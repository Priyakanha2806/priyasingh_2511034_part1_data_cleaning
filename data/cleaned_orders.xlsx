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  <sheet name="removed_exact_duplicates" sheetId="2" state="visible" r:id="rId4"/>
    <sheet name="raw_ord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<sst xmlns="http://schemas.openxmlformats.org/spreadsheetml/2006/main" count="36403" uniqueCount="7722">
  <si>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</si>
  <si>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</si>
  <si>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</si>
  <si>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</si>
  <si>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</si>
  <si>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</si>
  <si>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</si>
  <si>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region_was_missing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</si>
  <si>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</si>
  <si>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</si>
  <si>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</si>
  <si>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</si>
  <si>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</si>
  <si>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</si>
  <si>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ship_mode_was_missing</t>
  </si>
  <si>
    <t xml:space="preserve">quantity</t>
  </si>
  <si>
    <t xml:space="preserve">unit_price</t>
  </si>
  <si>
    <t xml:space="preserve">discount_original</t>
  </si>
  <si>
    <t xml:space="preserve">discount_value</t>
  </si>
  <si>
    <t xml:space="preserve">discount_status</t>
  </si>
  <si>
    <t xml:space="preserve">cleaned_discount</t>
  </si>
  <si>
    <t xml:space="preserve">sales_reported</t>
  </si>
  <si>
    <t xml:space="preserve">cost</t>
  </si>
  <si>
    <t xml:space="preserve">profit_reported</t>
  </si>
  <si>
    <t xml:space="preserve">calculated_sales</t>
  </si>
  <si>
    <t xml:space="preserve">calculated_profit</t>
  </si>
  <si>
    <t xml:space="preserve">profit_margin</t>
  </si>
  <si>
    <t xml:space="preserve">sales_mismatch_flag</t>
  </si>
  <si>
    <t xml:space="preserve">profit_mismatch_flag</t>
  </si>
  <si>
    <t xml:space="preserve">shipping_delay_days</t>
  </si>
  <si>
    <t xml:space="preserve">date_sequence_flag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</si>
  <si>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</si>
  <si>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</si>
  <si>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</si>
  <si>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</si>
  <si>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order_status_issue_flag</t>
  </si>
  <si>
    <t xml:space="preserve">duplicate_status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</si>
  <si>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</si>
  <si>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</si>
  <si>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</si>
  <si>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</si>
  <si>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</si>
  <si>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</si>
  <si>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No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</si>
  <si>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</si>
  <si>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</si>
  <si>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</si>
  <si>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</si>
  <si>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</si>
  <si>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</si>
  <si>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0.2</t>
  </si>
  <si>
    <t xml:space="preserve">Valid</t>
  </si>
  <si>
    <t xml:space="preserve">Paid</t>
  </si>
  <si>
    <t xml:space="preserve">Completed</t>
  </si>
  <si>
    <t xml:space="preserve">Unique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</si>
  <si>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</si>
  <si>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</si>
  <si>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</si>
  <si>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</si>
  <si>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</si>
  <si>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</si>
  <si>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</si>
  <si>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</si>
  <si>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</si>
  <si>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</si>
  <si>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</si>
  <si>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0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</si>
  <si>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</si>
  <si>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</si>
  <si>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</si>
  <si>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</si>
  <si>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</si>
  <si>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</si>
  <si>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0.55</t>
  </si>
  <si>
    <t xml:space="preserve">Above Allowed Range - Invalid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</si>
  <si>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</si>
  <si>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</si>
  <si>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</si>
  <si>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</si>
  <si>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</si>
  <si>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</si>
  <si>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</si>
  <si>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</si>
  <si>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</si>
  <si>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0.25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</si>
  <si>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</si>
  <si>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</si>
  <si>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</si>
  <si>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</si>
  <si>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</si>
  <si>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</si>
  <si>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</si>
  <si>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</si>
  <si>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</si>
  <si>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</si>
  <si>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</si>
  <si>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</si>
  <si>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</si>
  <si>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</si>
  <si>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</si>
  <si>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</si>
  <si>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</si>
  <si>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</si>
  <si>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</si>
  <si>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</si>
  <si>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</si>
  <si>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</si>
  <si>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0.15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</si>
  <si>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</si>
  <si>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</si>
  <si>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</si>
  <si>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</si>
  <si>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</si>
  <si>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</si>
  <si>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</si>
  <si>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</si>
  <si>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</si>
  <si>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</si>
  <si>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</si>
  <si>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</si>
  <si>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</si>
  <si>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</si>
  <si>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</si>
  <si>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</si>
  <si>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</si>
  <si>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</si>
  <si>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</si>
  <si>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</si>
  <si>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0.05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</si>
  <si>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</si>
  <si>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</si>
  <si>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</si>
  <si>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</si>
  <si>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</si>
  <si>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</si>
  <si>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</si>
  <si>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</si>
  <si>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</si>
  <si>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</si>
  <si>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</si>
  <si>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</si>
  <si>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</si>
  <si>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</si>
  <si>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</si>
  <si>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</si>
  <si>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</si>
  <si>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</si>
  <si>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</si>
  <si>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</si>
  <si>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</si>
  <si>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</si>
  <si>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</si>
  <si>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</si>
  <si>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</si>
  <si>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</si>
  <si>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</si>
  <si>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</si>
  <si>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</si>
  <si>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</si>
  <si>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</si>
  <si>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</si>
  <si>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</si>
  <si>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</si>
  <si>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</si>
  <si>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</si>
  <si>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</si>
  <si>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</si>
  <si>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</si>
  <si>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</si>
  <si>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</si>
  <si>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-0.19</t>
  </si>
  <si>
    <t xml:space="preserve">Negative - Invalid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</si>
  <si>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</si>
  <si>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</si>
  <si>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</si>
  <si>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</si>
  <si>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</si>
  <si>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</si>
  <si>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</si>
  <si>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</si>
  <si>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-0.23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</si>
  <si>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</si>
  <si>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</si>
  <si>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</si>
  <si>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</si>
  <si>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</si>
  <si>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</si>
  <si>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</si>
  <si>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</si>
  <si>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</si>
  <si>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</si>
  <si>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</si>
  <si>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</si>
  <si>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</si>
  <si>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</si>
  <si>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</si>
  <si>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</si>
  <si>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</si>
  <si>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</si>
  <si>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</si>
  <si>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</si>
  <si>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</si>
  <si>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</si>
  <si>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0.1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</si>
  <si>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</si>
  <si>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</si>
  <si>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</si>
  <si>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</si>
  <si>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</si>
  <si>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</si>
  <si>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</si>
  <si>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</si>
  <si>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</si>
  <si>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</si>
  <si>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</si>
  <si>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</si>
  <si>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</si>
  <si>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</si>
  <si>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</si>
  <si>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</si>
  <si>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</si>
  <si>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</si>
  <si>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</si>
  <si>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</si>
  <si>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</si>
  <si>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</si>
  <si>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</si>
  <si>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</si>
  <si>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</si>
  <si>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</si>
  <si>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Missing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</si>
  <si>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</si>
  <si>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</si>
  <si>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</si>
  <si>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</si>
  <si>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</si>
  <si>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</si>
  <si>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</si>
  <si>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Yes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</si>
  <si>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</si>
  <si>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</si>
  <si>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</si>
  <si>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</si>
  <si>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</si>
  <si>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</si>
  <si>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</si>
  <si>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</si>
  <si>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</si>
  <si>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</si>
  <si>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</si>
  <si>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</si>
  <si>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</si>
  <si>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</si>
  <si>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</si>
  <si>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</si>
  <si>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</si>
  <si>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</si>
  <si>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</si>
  <si>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</si>
  <si>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</si>
  <si>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</si>
  <si>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</si>
  <si>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</si>
  <si>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</si>
  <si>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</si>
  <si>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</si>
  <si>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</si>
  <si>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</si>
  <si>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</si>
  <si>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</si>
  <si>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</si>
  <si>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</si>
  <si>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</si>
  <si>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</si>
  <si>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</si>
  <si>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</si>
  <si>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</si>
  <si>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</si>
  <si>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</si>
  <si>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</si>
  <si>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</si>
  <si>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</si>
  <si>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</si>
  <si>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</si>
  <si>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</si>
  <si>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</si>
  <si>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</si>
  <si>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</si>
  <si>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</si>
  <si>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</si>
  <si>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</si>
  <si>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</si>
  <si>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</si>
  <si>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</si>
  <si>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</si>
  <si>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</si>
  <si>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</si>
  <si>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</si>
  <si>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</si>
  <si>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</si>
  <si>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</si>
  <si>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</si>
  <si>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</si>
  <si>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</si>
  <si>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</si>
  <si>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</si>
  <si>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</si>
  <si>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</si>
  <si>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</si>
  <si>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</si>
  <si>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</si>
  <si>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</si>
  <si>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</si>
  <si>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</si>
  <si>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</si>
  <si>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</si>
  <si>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</si>
  <si>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</si>
  <si>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</si>
  <si>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</si>
  <si>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</si>
  <si>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</si>
  <si>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</si>
  <si>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</si>
  <si>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</si>
  <si>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</si>
  <si>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</si>
  <si>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</si>
  <si>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</si>
  <si>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</si>
  <si>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</si>
  <si>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</si>
  <si>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</si>
  <si>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</si>
  <si>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</si>
  <si>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</si>
  <si>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</si>
  <si>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</si>
  <si>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</si>
  <si>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</si>
  <si>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</si>
  <si>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</si>
  <si>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</si>
  <si>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</si>
  <si>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</si>
  <si>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</si>
  <si>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</si>
  <si>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</si>
  <si>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</si>
  <si>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</si>
  <si>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</si>
  <si>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</si>
  <si>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</si>
  <si>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</si>
  <si>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</si>
  <si>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</si>
  <si>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</si>
  <si>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</si>
  <si>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</si>
  <si>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</si>
  <si>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</si>
  <si>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</si>
  <si>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</si>
  <si>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</si>
  <si>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</si>
  <si>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</si>
  <si>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</si>
  <si>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</si>
  <si>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</si>
  <si>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</si>
  <si>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</si>
  <si>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</si>
  <si>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</si>
  <si>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</si>
  <si>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</si>
  <si>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</si>
  <si>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</si>
  <si>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</si>
  <si>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</si>
  <si>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</si>
  <si>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</si>
  <si>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</si>
  <si>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</si>
  <si>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</si>
  <si>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</si>
  <si>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</si>
  <si>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</si>
  <si>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</si>
  <si>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</si>
  <si>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</si>
  <si>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</si>
  <si>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</si>
  <si>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</si>
  <si>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</si>
  <si>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</si>
  <si>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</si>
  <si>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</si>
  <si>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</si>
  <si>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</si>
  <si>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</si>
  <si>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</si>
  <si>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</si>
  <si>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</si>
  <si>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</si>
  <si>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</si>
  <si>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</si>
  <si>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</si>
  <si>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</si>
  <si>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</si>
  <si>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</si>
  <si>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</si>
  <si>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</si>
  <si>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</si>
  <si>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</si>
  <si>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</si>
  <si>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</si>
  <si>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</si>
  <si>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Conflicting Duplicate - Flagged for Review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</si>
  <si>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</si>
  <si>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</si>
  <si>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</si>
  <si>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</si>
  <si>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</si>
  <si>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</si>
  <si>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</si>
  <si>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</si>
  <si>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</si>
  <si>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-0.09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</si>
  <si>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</si>
  <si>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</si>
  <si>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</si>
  <si>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</si>
  <si>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</si>
  <si>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</si>
  <si>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</si>
  <si>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</si>
  <si>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</si>
  <si>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</si>
  <si>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</si>
  <si>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</si>
  <si>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</si>
  <si>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</si>
  <si>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</si>
  <si>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</si>
  <si>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</si>
  <si>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</si>
  <si>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</si>
  <si>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</si>
  <si>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</si>
  <si>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</si>
  <si>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</si>
  <si>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</si>
  <si>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</si>
  <si>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</si>
  <si>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</si>
  <si>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</si>
  <si>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</si>
  <si>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</si>
  <si>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</si>
  <si>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</si>
  <si>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</si>
  <si>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</si>
  <si>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</si>
  <si>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</si>
  <si>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</si>
  <si>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</si>
  <si>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</si>
  <si>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</si>
  <si>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</si>
  <si>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</si>
  <si>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</si>
  <si>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</si>
  <si>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</si>
  <si>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</si>
  <si>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</si>
  <si>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</si>
  <si>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</si>
  <si>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</si>
  <si>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</si>
  <si>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</si>
  <si>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</si>
  <si>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</si>
  <si>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</si>
  <si>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</si>
  <si>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</si>
  <si>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</si>
  <si>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</si>
  <si>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</si>
  <si>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</si>
  <si>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</si>
  <si>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</si>
  <si>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</si>
  <si>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</si>
  <si>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</si>
  <si>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</si>
  <si>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</si>
  <si>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</si>
  <si>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</si>
  <si>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</si>
  <si>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</si>
  <si>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</si>
  <si>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</si>
  <si>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</si>
  <si>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</si>
  <si>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</si>
  <si>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</si>
  <si>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</si>
  <si>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</si>
  <si>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</si>
  <si>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</si>
  <si>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</si>
  <si>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</si>
  <si>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</si>
  <si>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</si>
  <si>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</si>
  <si>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</si>
  <si>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</si>
  <si>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</si>
  <si>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</si>
  <si>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</si>
  <si>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</si>
  <si>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-0.15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</si>
  <si>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</si>
  <si>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</si>
  <si>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</si>
  <si>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</si>
  <si>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</si>
  <si>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</si>
  <si>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</si>
  <si>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</si>
  <si>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</si>
  <si>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</si>
  <si>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</si>
  <si>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</si>
  <si>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</si>
  <si>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</si>
  <si>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</si>
  <si>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</si>
  <si>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</si>
  <si>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</si>
  <si>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</si>
  <si>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</si>
  <si>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</si>
  <si>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</si>
  <si>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</si>
  <si>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</si>
  <si>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</si>
  <si>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</si>
  <si>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</si>
  <si>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</si>
  <si>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</si>
  <si>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</si>
  <si>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</si>
  <si>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</si>
  <si>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</si>
  <si>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</si>
  <si>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</si>
  <si>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</si>
  <si>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</si>
  <si>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</si>
  <si>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</si>
  <si>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</si>
  <si>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</si>
  <si>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</si>
  <si>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</si>
  <si>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</si>
  <si>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</si>
  <si>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</si>
  <si>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</si>
  <si>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</si>
  <si>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</si>
  <si>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</si>
  <si>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</si>
  <si>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</si>
  <si>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</si>
  <si>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</si>
  <si>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</si>
  <si>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</si>
  <si>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</si>
  <si>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</si>
  <si>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</si>
  <si>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</si>
  <si>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</si>
  <si>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</si>
  <si>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</si>
  <si>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</si>
  <si>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</si>
  <si>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</si>
  <si>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</si>
  <si>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</si>
  <si>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</si>
  <si>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</si>
  <si>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</si>
  <si>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</si>
  <si>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</si>
  <si>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</si>
  <si>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</si>
  <si>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</si>
  <si>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</si>
  <si>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</si>
  <si>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</si>
  <si>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</si>
  <si>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</si>
  <si>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</si>
  <si>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</si>
  <si>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</si>
  <si>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</si>
  <si>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</si>
  <si>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</si>
  <si>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</si>
  <si>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</si>
  <si>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</si>
  <si>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</si>
  <si>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</si>
  <si>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</si>
  <si>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</si>
  <si>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</si>
  <si>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</si>
  <si>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</si>
  <si>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</si>
  <si>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</si>
  <si>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</si>
  <si>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</si>
  <si>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</si>
  <si>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</si>
  <si>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</si>
  <si>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</si>
  <si>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</si>
  <si>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</si>
  <si>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</si>
  <si>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</si>
  <si>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</si>
  <si>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</si>
  <si>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</si>
  <si>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</si>
  <si>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</si>
  <si>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</si>
  <si>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</si>
  <si>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</si>
  <si>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</si>
  <si>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</si>
  <si>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</si>
  <si>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</si>
  <si>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</si>
  <si>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</si>
  <si>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</si>
  <si>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</si>
  <si>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</si>
  <si>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</si>
  <si>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</si>
  <si>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</si>
  <si>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</si>
  <si>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</si>
  <si>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</si>
  <si>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</si>
  <si>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</si>
  <si>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</si>
  <si>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</si>
  <si>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</si>
  <si>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</si>
  <si>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</si>
  <si>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</si>
  <si>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</si>
  <si>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</si>
  <si>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</si>
  <si>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</si>
  <si>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</si>
  <si>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</si>
  <si>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</si>
  <si>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</si>
  <si>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</si>
  <si>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</si>
  <si>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</si>
  <si>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</si>
  <si>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</si>
  <si>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</si>
  <si>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</si>
  <si>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</si>
  <si>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</si>
  <si>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</si>
  <si>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</si>
  <si>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</si>
  <si>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</si>
  <si>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</si>
  <si>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</si>
  <si>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</si>
  <si>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</si>
  <si>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</si>
  <si>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</si>
  <si>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</si>
  <si>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</si>
  <si>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</si>
  <si>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</si>
  <si>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</si>
  <si>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</si>
  <si>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</si>
  <si>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</si>
  <si>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</si>
  <si>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</si>
  <si>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</si>
  <si>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</si>
  <si>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</si>
  <si>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</si>
  <si>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</si>
  <si>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</si>
  <si>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</si>
  <si>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</si>
  <si>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</si>
  <si>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</si>
  <si>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</si>
  <si>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</si>
  <si>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</si>
  <si>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</si>
  <si>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</si>
  <si>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</si>
  <si>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</si>
  <si>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</si>
  <si>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</si>
  <si>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</si>
  <si>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</si>
  <si>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</si>
  <si>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0.65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</si>
  <si>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</si>
  <si>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</si>
  <si>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</si>
  <si>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</si>
  <si>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</si>
  <si>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</si>
  <si>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</si>
  <si>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</si>
  <si>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</si>
  <si>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</si>
  <si>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</si>
  <si>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</si>
  <si>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</si>
  <si>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</si>
  <si>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</si>
  <si>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</si>
  <si>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</si>
  <si>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</si>
  <si>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</si>
  <si>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</si>
  <si>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</si>
  <si>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</si>
  <si>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</si>
  <si>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</si>
  <si>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</si>
  <si>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</si>
  <si>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</si>
  <si>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</si>
  <si>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</si>
  <si>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-0.16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</si>
  <si>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</si>
  <si>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</si>
  <si>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</si>
  <si>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</si>
  <si>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</si>
  <si>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</si>
  <si>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</si>
  <si>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</si>
  <si>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</si>
  <si>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</si>
  <si>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</si>
  <si>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</si>
  <si>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</si>
  <si>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</si>
  <si>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</si>
  <si>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</si>
  <si>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</si>
  <si>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</si>
  <si>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</si>
  <si>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</si>
  <si>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</si>
  <si>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</si>
  <si>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</si>
  <si>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</si>
  <si>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</si>
  <si>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</si>
  <si>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</si>
  <si>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</si>
  <si>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</si>
  <si>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</si>
  <si>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</si>
  <si>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</si>
  <si>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</si>
  <si>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</si>
  <si>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</si>
  <si>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</si>
  <si>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</si>
  <si>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</si>
  <si>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</si>
  <si>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</si>
  <si>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</si>
  <si>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</si>
  <si>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</si>
  <si>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</si>
  <si>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</si>
  <si>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</si>
  <si>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</si>
  <si>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</si>
  <si>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</si>
  <si>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</si>
  <si>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</si>
  <si>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</si>
  <si>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</si>
  <si>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</si>
  <si>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</si>
  <si>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</si>
  <si>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</si>
  <si>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</si>
  <si>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</si>
  <si>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</si>
  <si>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</si>
  <si>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</si>
  <si>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</si>
  <si>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</si>
  <si>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</si>
  <si>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</si>
  <si>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</si>
  <si>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</si>
  <si>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</si>
  <si>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</si>
  <si>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</si>
  <si>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</si>
  <si>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</si>
  <si>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</si>
  <si>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</si>
  <si>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</si>
  <si>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</si>
  <si>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</si>
  <si>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</si>
  <si>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</si>
  <si>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</si>
  <si>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</si>
  <si>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</si>
  <si>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</si>
  <si>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</si>
  <si>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</si>
  <si>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</si>
  <si>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</si>
  <si>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</si>
  <si>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</si>
  <si>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</si>
  <si>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</si>
  <si>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</si>
  <si>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</si>
  <si>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</si>
  <si>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</si>
  <si>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</si>
  <si>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</si>
  <si>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</si>
  <si>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</si>
  <si>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</si>
  <si>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</si>
  <si>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</si>
  <si>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</si>
  <si>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</si>
  <si>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</si>
  <si>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</si>
  <si>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</si>
  <si>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</si>
  <si>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</si>
  <si>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</si>
  <si>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</si>
  <si>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</si>
  <si>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</si>
  <si>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</si>
  <si>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</si>
  <si>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</si>
  <si>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</si>
  <si>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</si>
  <si>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</si>
  <si>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</si>
  <si>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</si>
  <si>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</si>
  <si>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</si>
  <si>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</si>
  <si>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</si>
  <si>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</si>
  <si>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</si>
  <si>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</si>
  <si>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</si>
  <si>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</si>
  <si>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</si>
  <si>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</si>
  <si>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</si>
  <si>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</si>
  <si>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</si>
  <si>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</si>
  <si>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</si>
  <si>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</si>
  <si>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</si>
  <si>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</si>
  <si>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</si>
  <si>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</si>
  <si>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</si>
  <si>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</si>
  <si>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</si>
  <si>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</si>
  <si>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</si>
  <si>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</si>
  <si>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</si>
  <si>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</si>
  <si>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</si>
  <si>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</si>
  <si>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</si>
  <si>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</si>
  <si>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</si>
  <si>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</si>
  <si>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</si>
  <si>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</si>
  <si>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</si>
  <si>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</si>
  <si>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</si>
  <si>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</si>
  <si>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</si>
  <si>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</si>
  <si>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</si>
  <si>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</si>
  <si>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</si>
  <si>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</si>
  <si>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</si>
  <si>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</si>
  <si>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</si>
  <si>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</si>
  <si>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</si>
  <si>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</si>
  <si>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</si>
  <si>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</si>
  <si>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</si>
  <si>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</si>
  <si>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</si>
  <si>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</si>
  <si>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</si>
  <si>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</si>
  <si>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</si>
  <si>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</si>
  <si>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</si>
  <si>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</si>
  <si>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</si>
  <si>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</si>
  <si>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</si>
  <si>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</si>
  <si>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</si>
  <si>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</si>
  <si>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</si>
  <si>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</si>
  <si>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</si>
  <si>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</si>
  <si>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</si>
  <si>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</si>
  <si>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</si>
  <si>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</si>
  <si>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</si>
  <si>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</si>
  <si>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</si>
  <si>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</si>
  <si>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</si>
  <si>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</si>
  <si>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</si>
  <si>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</si>
  <si>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</si>
  <si>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</si>
  <si>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</si>
  <si>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</si>
  <si>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</si>
  <si>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</si>
  <si>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</si>
  <si>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</si>
  <si>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</si>
  <si>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</si>
  <si>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</si>
  <si>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</si>
  <si>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</si>
  <si>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</si>
  <si>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</si>
  <si>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</si>
  <si>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-0.14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</si>
  <si>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</si>
  <si>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</si>
  <si>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</si>
  <si>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</si>
  <si>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</si>
  <si>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</si>
  <si>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</si>
  <si>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</si>
  <si>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</si>
  <si>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</si>
  <si>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</si>
  <si>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</si>
  <si>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</si>
  <si>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</si>
  <si>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</si>
  <si>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</si>
  <si>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</si>
  <si>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</si>
  <si>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</si>
  <si>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</si>
  <si>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</si>
  <si>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</si>
  <si>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</si>
  <si>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</si>
  <si>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</si>
  <si>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</si>
  <si>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</si>
  <si>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</si>
  <si>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</si>
  <si>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</si>
  <si>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</si>
  <si>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</si>
  <si>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</si>
  <si>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</si>
  <si>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</si>
  <si>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</si>
  <si>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</si>
  <si>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</si>
  <si>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</si>
  <si>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</si>
  <si>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</si>
  <si>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</si>
  <si>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</si>
  <si>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</si>
  <si>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</si>
  <si>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</si>
  <si>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</si>
  <si>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</si>
  <si>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</si>
  <si>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</si>
  <si>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</si>
  <si>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</si>
  <si>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</si>
  <si>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</si>
  <si>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</si>
  <si>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</si>
  <si>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</si>
  <si>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</si>
  <si>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</si>
  <si>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</si>
  <si>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</si>
  <si>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</si>
  <si>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</si>
  <si>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</si>
  <si>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</si>
  <si>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</si>
  <si>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</si>
  <si>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</si>
  <si>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</si>
  <si>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</si>
  <si>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</si>
  <si>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</si>
  <si>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</si>
  <si>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</si>
  <si>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</si>
  <si>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</si>
  <si>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</si>
  <si>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</si>
  <si>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</si>
  <si>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</si>
  <si>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</si>
  <si>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</si>
  <si>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</si>
  <si>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</si>
  <si>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</si>
  <si>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</si>
  <si>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</si>
  <si>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</si>
  <si>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</si>
  <si>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</si>
  <si>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</si>
  <si>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</si>
  <si>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</si>
  <si>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</si>
  <si>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</si>
  <si>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</si>
  <si>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</si>
  <si>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</si>
  <si>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</si>
  <si>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</si>
  <si>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</si>
  <si>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</si>
  <si>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</si>
  <si>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</si>
  <si>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</si>
  <si>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</si>
  <si>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</si>
  <si>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</si>
  <si>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</si>
  <si>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</si>
  <si>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</si>
  <si>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</si>
  <si>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</si>
  <si>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</si>
  <si>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</si>
  <si>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</si>
  <si>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</si>
  <si>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</si>
  <si>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</si>
  <si>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</si>
  <si>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</si>
  <si>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</si>
  <si>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</si>
  <si>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</si>
  <si>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</si>
  <si>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</si>
  <si>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</si>
  <si>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</si>
  <si>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</si>
  <si>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</si>
  <si>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</si>
  <si>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</si>
  <si>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</si>
  <si>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</si>
  <si>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</si>
  <si>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</si>
  <si>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</si>
  <si>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</si>
  <si>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</si>
  <si>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</si>
  <si>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</si>
  <si>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</si>
  <si>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</si>
  <si>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</si>
  <si>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</si>
  <si>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</si>
  <si>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</si>
  <si>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</si>
  <si>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</si>
  <si>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</si>
  <si>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</si>
  <si>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</si>
  <si>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</si>
  <si>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</si>
  <si>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</si>
  <si>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</si>
  <si>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</si>
  <si>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</si>
  <si>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</si>
  <si>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</si>
  <si>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</si>
  <si>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</si>
  <si>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</si>
  <si>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</si>
  <si>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</si>
  <si>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</si>
  <si>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</si>
  <si>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</si>
  <si>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</si>
  <si>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</si>
  <si>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</si>
  <si>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</si>
  <si>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</si>
  <si>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</si>
  <si>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</si>
  <si>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</si>
  <si>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</si>
  <si>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</si>
  <si>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</si>
  <si>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</si>
  <si>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</si>
  <si>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</si>
  <si>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</si>
  <si>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</si>
  <si>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</si>
  <si>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</si>
  <si>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</si>
  <si>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</si>
  <si>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</si>
  <si>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</si>
  <si>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</si>
  <si>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</si>
  <si>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</si>
  <si>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</si>
  <si>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</si>
  <si>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</si>
  <si>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</si>
  <si>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</si>
  <si>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</si>
  <si>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</si>
  <si>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</si>
  <si>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</si>
  <si>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</si>
  <si>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</si>
  <si>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</si>
  <si>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</si>
  <si>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</si>
  <si>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</si>
  <si>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</si>
  <si>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</si>
  <si>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</si>
  <si>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</si>
  <si>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</si>
  <si>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</si>
  <si>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</si>
  <si>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</si>
  <si>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</si>
  <si>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</si>
  <si>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</si>
  <si>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</si>
  <si>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</si>
  <si>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</si>
  <si>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</si>
  <si>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</si>
  <si>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</si>
  <si>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</si>
  <si>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</si>
  <si>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</si>
  <si>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</si>
  <si>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</si>
  <si>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</si>
  <si>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-0.06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</si>
  <si>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</si>
  <si>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</si>
  <si>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</si>
  <si>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</si>
  <si>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</si>
  <si>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</si>
  <si>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</si>
  <si>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</si>
  <si>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</si>
  <si>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</si>
  <si>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</si>
  <si>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</si>
  <si>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</si>
  <si>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</si>
  <si>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</si>
  <si>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</si>
  <si>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</si>
  <si>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</si>
  <si>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</si>
  <si>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</si>
  <si>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</si>
  <si>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</si>
  <si>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</si>
  <si>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</si>
  <si>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</si>
  <si>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</si>
  <si>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</si>
  <si>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</si>
  <si>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</si>
  <si>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</si>
  <si>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</si>
  <si>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</si>
  <si>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</si>
  <si>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</si>
  <si>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</si>
  <si>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</si>
  <si>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</si>
  <si>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</si>
  <si>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</si>
  <si>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</si>
  <si>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</si>
  <si>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</si>
  <si>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</si>
  <si>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</si>
  <si>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</si>
  <si>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</si>
  <si>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</si>
  <si>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</si>
  <si>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</si>
  <si>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</si>
  <si>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</si>
  <si>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</si>
  <si>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</si>
  <si>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</si>
  <si>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</si>
  <si>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</si>
  <si>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</si>
  <si>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</si>
  <si>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</si>
  <si>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</si>
  <si>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</si>
  <si>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</si>
  <si>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</si>
  <si>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</si>
  <si>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</si>
  <si>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</si>
  <si>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</si>
  <si>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</si>
  <si>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</si>
  <si>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</si>
  <si>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</si>
  <si>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</si>
  <si>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</si>
  <si>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</si>
  <si>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</si>
  <si>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</si>
  <si>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</si>
  <si>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</si>
  <si>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</si>
  <si>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</si>
  <si>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</si>
  <si>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</si>
  <si>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</si>
  <si>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</si>
  <si>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</si>
  <si>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</si>
  <si>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</si>
  <si>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</si>
  <si>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</si>
  <si>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</si>
  <si>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</si>
  <si>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</si>
  <si>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</si>
  <si>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</si>
  <si>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</si>
  <si>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</si>
  <si>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</si>
  <si>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</si>
  <si>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</si>
  <si>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</si>
  <si>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</si>
  <si>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</si>
  <si>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</si>
  <si>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</si>
  <si>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</si>
  <si>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</si>
  <si>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</si>
  <si>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</si>
  <si>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</si>
  <si>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</si>
  <si>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</si>
  <si>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</si>
  <si>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</si>
  <si>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</si>
  <si>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</si>
  <si>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</si>
  <si>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</si>
  <si>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</si>
  <si>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</si>
  <si>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</si>
  <si>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</si>
  <si>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</si>
  <si>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</si>
  <si>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</si>
  <si>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</si>
  <si>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</si>
  <si>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</si>
  <si>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</si>
  <si>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</si>
  <si>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</si>
  <si>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</si>
  <si>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</si>
  <si>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</si>
  <si>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</si>
  <si>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</si>
  <si>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</si>
  <si>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-0.1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</si>
  <si>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</si>
  <si>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</si>
  <si>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</si>
  <si>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</si>
  <si>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</si>
  <si>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</si>
  <si>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</si>
  <si>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</si>
  <si>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</si>
  <si>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</si>
  <si>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</si>
  <si>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</si>
  <si>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</si>
  <si>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</si>
  <si>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</si>
  <si>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</si>
  <si>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</si>
  <si>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</si>
  <si>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</si>
  <si>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</si>
  <si>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</si>
  <si>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</si>
  <si>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</si>
  <si>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</si>
  <si>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</si>
  <si>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</si>
  <si>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</si>
  <si>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</si>
  <si>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</si>
  <si>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</si>
  <si>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</si>
  <si>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</si>
  <si>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</si>
  <si>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</si>
  <si>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</si>
  <si>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</si>
  <si>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</si>
  <si>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</si>
  <si>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</si>
  <si>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</si>
  <si>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</si>
  <si>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</si>
  <si>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</si>
  <si>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</si>
  <si>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</si>
  <si>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</si>
  <si>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</si>
  <si>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</si>
  <si>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</si>
  <si>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</si>
  <si>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</si>
  <si>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</si>
  <si>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</si>
  <si>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</si>
  <si>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</si>
  <si>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</si>
  <si>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</si>
  <si>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</si>
  <si>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</si>
  <si>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</si>
  <si>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</si>
  <si>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</si>
  <si>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</si>
  <si>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</si>
  <si>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</si>
  <si>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</si>
  <si>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</si>
  <si>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</si>
  <si>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</si>
  <si>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</si>
  <si>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</si>
  <si>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</si>
  <si>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</si>
  <si>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</si>
  <si>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</si>
  <si>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</si>
  <si>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</si>
  <si>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</si>
  <si>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</si>
  <si>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</si>
  <si>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</si>
  <si>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</si>
  <si>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</si>
  <si>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</si>
  <si>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</si>
  <si>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</si>
  <si>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</si>
  <si>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</si>
  <si>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</si>
  <si>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</si>
  <si>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</si>
  <si>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</si>
  <si>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</si>
  <si>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</si>
  <si>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</si>
  <si>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</si>
  <si>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</si>
  <si>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</si>
  <si>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</si>
  <si>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</si>
  <si>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</si>
  <si>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</si>
  <si>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</si>
  <si>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</si>
  <si>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</si>
  <si>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</si>
  <si>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</si>
  <si>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</si>
  <si>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</si>
  <si>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</si>
  <si>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</si>
  <si>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</si>
  <si>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</si>
  <si>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</si>
  <si>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</si>
  <si>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</si>
  <si>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</si>
  <si>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</si>
  <si>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</si>
  <si>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</si>
  <si>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</si>
  <si>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</si>
  <si>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</si>
  <si>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</si>
  <si>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</si>
  <si>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</si>
  <si>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</si>
  <si>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</si>
  <si>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</si>
  <si>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</si>
  <si>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</si>
  <si>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</si>
  <si>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</si>
  <si>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</si>
  <si>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</si>
  <si>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</si>
  <si>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</si>
  <si>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</si>
  <si>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</si>
  <si>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</si>
  <si>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</si>
  <si>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</si>
  <si>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</si>
  <si>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</si>
  <si>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</si>
  <si>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</si>
  <si>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</si>
  <si>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</si>
  <si>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</si>
  <si>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</si>
  <si>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</si>
  <si>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</si>
  <si>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</si>
  <si>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</si>
  <si>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</si>
  <si>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</si>
  <si>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</si>
  <si>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</si>
  <si>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</si>
  <si>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</si>
  <si>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</si>
  <si>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</si>
  <si>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</si>
  <si>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</si>
  <si>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</si>
  <si>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</si>
  <si>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</si>
  <si>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</si>
  <si>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</si>
  <si>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</si>
  <si>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</si>
  <si>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</si>
  <si>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</si>
  <si>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</si>
  <si>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</si>
  <si>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</si>
  <si>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</si>
  <si>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</si>
  <si>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</si>
  <si>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</si>
  <si>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</si>
  <si>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</si>
  <si>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</si>
  <si>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</si>
  <si>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</si>
  <si>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</si>
  <si>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</si>
  <si>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</si>
  <si>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</si>
  <si>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</si>
  <si>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</si>
  <si>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</si>
  <si>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</si>
  <si>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</si>
  <si>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</si>
  <si>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</si>
  <si>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</si>
  <si>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</si>
  <si>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</si>
  <si>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</si>
  <si>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</si>
  <si>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</si>
  <si>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</si>
  <si>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</si>
  <si>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</si>
  <si>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</si>
  <si>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</si>
  <si>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</si>
  <si>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</si>
  <si>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</si>
  <si>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</si>
  <si>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</si>
  <si>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</si>
  <si>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</si>
  <si>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</si>
  <si>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</si>
  <si>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</si>
  <si>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</si>
  <si>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</si>
  <si>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</si>
  <si>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</si>
  <si>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</si>
  <si>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</si>
  <si>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</si>
  <si>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</si>
  <si>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</si>
  <si>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</si>
  <si>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</si>
  <si>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</si>
  <si>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</si>
  <si>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</si>
  <si>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</si>
  <si>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</si>
  <si>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</si>
  <si>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</si>
  <si>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</si>
  <si>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</si>
  <si>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</si>
  <si>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</si>
  <si>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</si>
  <si>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</si>
  <si>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</si>
  <si>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</si>
  <si>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</si>
  <si>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</si>
  <si>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</si>
  <si>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</si>
  <si>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</si>
  <si>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</si>
  <si>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</si>
  <si>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</si>
  <si>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</si>
  <si>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</si>
  <si>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</si>
  <si>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</si>
  <si>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</si>
  <si>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</si>
  <si>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</si>
  <si>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</si>
  <si>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</si>
  <si>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</si>
  <si>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</si>
  <si>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</si>
  <si>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</si>
  <si>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</si>
  <si>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</si>
  <si>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</si>
  <si>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</si>
  <si>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</si>
  <si>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</si>
  <si>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</si>
  <si>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</si>
  <si>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</si>
  <si>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</si>
  <si>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</si>
  <si>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</si>
  <si>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</si>
  <si>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</si>
  <si>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</si>
  <si>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</si>
  <si>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-0.13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</si>
  <si>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</si>
  <si>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</si>
  <si>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</si>
  <si>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</si>
  <si>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</si>
  <si>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</si>
  <si>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</si>
  <si>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</si>
  <si>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</si>
  <si>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</si>
  <si>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</si>
  <si>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</si>
  <si>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</si>
  <si>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</si>
  <si>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</si>
  <si>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</si>
  <si>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</si>
  <si>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</si>
  <si>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</si>
  <si>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</si>
  <si>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</si>
  <si>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</si>
  <si>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</si>
  <si>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</si>
  <si>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</si>
  <si>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</si>
  <si>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</si>
  <si>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</si>
  <si>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</si>
  <si>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</si>
  <si>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</si>
  <si>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</si>
  <si>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</si>
  <si>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</si>
  <si>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</si>
  <si>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</si>
  <si>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</si>
  <si>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</si>
  <si>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</si>
  <si>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</si>
  <si>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</si>
  <si>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</si>
  <si>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</si>
  <si>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</si>
  <si>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</si>
  <si>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</si>
  <si>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</si>
  <si>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</si>
  <si>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</si>
  <si>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</si>
  <si>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</si>
  <si>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</si>
  <si>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</si>
  <si>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</si>
  <si>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</si>
  <si>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</si>
  <si>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</si>
  <si>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</si>
  <si>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</si>
  <si>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</si>
  <si>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</si>
  <si>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-0.07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</si>
  <si>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</si>
  <si>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</si>
  <si>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</si>
  <si>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</si>
  <si>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</si>
  <si>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</si>
  <si>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</si>
  <si>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</si>
  <si>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</si>
  <si>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</si>
  <si>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</si>
  <si>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</si>
  <si>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</si>
  <si>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</si>
  <si>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</si>
  <si>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</si>
  <si>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</si>
  <si>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</si>
  <si>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</si>
  <si>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</si>
  <si>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</si>
  <si>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</si>
  <si>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</si>
  <si>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</si>
  <si>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</si>
  <si>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</si>
  <si>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</si>
  <si>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</si>
  <si>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</si>
  <si>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</si>
  <si>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</si>
  <si>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</si>
  <si>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</si>
  <si>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</si>
  <si>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</si>
  <si>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</si>
  <si>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</si>
  <si>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</si>
  <si>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</si>
  <si>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</si>
  <si>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</si>
  <si>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</si>
  <si>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</si>
  <si>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</si>
  <si>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</si>
  <si>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</si>
  <si>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</si>
  <si>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</si>
  <si>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</si>
  <si>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</si>
  <si>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</si>
  <si>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</si>
  <si>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</si>
  <si>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</si>
  <si>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</si>
  <si>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</si>
  <si>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</si>
  <si>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</si>
  <si>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</si>
  <si>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</si>
  <si>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</si>
  <si>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</si>
  <si>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</si>
  <si>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</si>
  <si>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</si>
  <si>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</si>
  <si>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</si>
  <si>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</si>
  <si>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</si>
  <si>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</si>
  <si>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</si>
  <si>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</si>
  <si>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</si>
  <si>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</si>
  <si>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</si>
  <si>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</si>
  <si>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</si>
  <si>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</si>
  <si>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</si>
  <si>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</si>
  <si>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</si>
  <si>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</si>
  <si>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</si>
  <si>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</si>
  <si>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</si>
  <si>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</si>
  <si>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</si>
  <si>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</si>
  <si>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</si>
  <si>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</si>
  <si>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</si>
  <si>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</si>
  <si>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</si>
  <si>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</si>
  <si>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</si>
  <si>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</si>
  <si>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</si>
  <si>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</si>
  <si>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</si>
  <si>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</si>
  <si>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</si>
  <si>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</si>
  <si>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</si>
  <si>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</si>
  <si>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</si>
  <si>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</si>
  <si>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</si>
  <si>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</si>
  <si>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</si>
  <si>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</si>
  <si>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</si>
  <si>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</si>
  <si>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</si>
  <si>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</si>
  <si>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</si>
  <si>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</si>
  <si>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</si>
  <si>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</si>
  <si>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</si>
  <si>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</si>
  <si>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</si>
  <si>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</si>
  <si>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</si>
  <si>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</si>
  <si>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</si>
  <si>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</si>
  <si>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</si>
  <si>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</si>
  <si>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</si>
  <si>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</si>
  <si>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</si>
  <si>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</si>
  <si>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</si>
  <si>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</si>
  <si>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</si>
  <si>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</si>
  <si>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</si>
  <si>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</si>
  <si>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</si>
  <si>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</si>
  <si>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</si>
  <si>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</si>
  <si>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</si>
  <si>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</si>
  <si>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</si>
  <si>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</si>
  <si>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</si>
  <si>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</si>
  <si>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</si>
  <si>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</si>
  <si>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</si>
  <si>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</si>
  <si>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</si>
  <si>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</si>
  <si>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</si>
  <si>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</si>
  <si>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</si>
  <si>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</si>
  <si>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</si>
  <si>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</si>
  <si>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</si>
  <si>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</si>
  <si>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</si>
  <si>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</si>
  <si>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</si>
  <si>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</si>
  <si>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</si>
  <si>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</si>
  <si>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</si>
  <si>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</si>
  <si>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</si>
  <si>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</si>
  <si>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</si>
  <si>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</si>
  <si>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</si>
  <si>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</si>
  <si>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</si>
  <si>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</si>
  <si>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</si>
  <si>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</si>
  <si>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</si>
  <si>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</si>
  <si>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</si>
  <si>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</si>
  <si>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</si>
  <si>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</si>
  <si>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</si>
  <si>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</si>
  <si>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</si>
  <si>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</si>
  <si>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</si>
  <si>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</si>
  <si>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</si>
  <si>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</si>
  <si>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</si>
  <si>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</si>
  <si>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</si>
  <si>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</si>
  <si>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</si>
  <si>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</si>
  <si>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</si>
  <si>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</si>
  <si>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</si>
  <si>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</si>
  <si>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</si>
  <si>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</si>
  <si>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</si>
  <si>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</si>
  <si>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</si>
  <si>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</si>
  <si>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</si>
  <si>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</si>
  <si>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</si>
  <si>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</si>
  <si>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</si>
  <si>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</si>
  <si>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</si>
  <si>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</si>
  <si>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</si>
  <si>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</si>
  <si>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</si>
  <si>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</si>
  <si>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</si>
  <si>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</si>
  <si>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</si>
  <si>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</si>
  <si>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</si>
  <si>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</si>
  <si>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</si>
  <si>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</si>
  <si>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</si>
  <si>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</si>
  <si>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</si>
  <si>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</si>
  <si>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</si>
  <si>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</si>
  <si>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</si>
  <si>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</si>
  <si>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</si>
  <si>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</si>
  <si>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</si>
  <si>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</si>
  <si>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</si>
  <si>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</si>
  <si>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</si>
  <si>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</si>
  <si>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</si>
  <si>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</si>
  <si>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</si>
  <si>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</si>
  <si>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</si>
  <si>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</si>
  <si>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</si>
  <si>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</si>
  <si>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</si>
  <si>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</si>
  <si>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</si>
  <si>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</si>
  <si>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</si>
  <si>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</si>
  <si>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</si>
  <si>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</si>
  <si>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</si>
  <si>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</si>
  <si>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</si>
  <si>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</si>
  <si>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</si>
  <si>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</si>
  <si>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</si>
  <si>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</si>
  <si>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</si>
  <si>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</si>
  <si>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</si>
  <si>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</si>
  <si>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</si>
  <si>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</si>
  <si>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</si>
  <si>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</si>
  <si>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</si>
  <si>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</si>
  <si>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</si>
  <si>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</si>
  <si>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</si>
  <si>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</si>
  <si>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</si>
  <si>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</si>
  <si>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</si>
  <si>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</si>
  <si>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</si>
  <si>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</si>
  <si>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</si>
  <si>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</si>
  <si>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</si>
  <si>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</si>
  <si>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</si>
  <si>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</si>
  <si>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</si>
  <si>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</si>
  <si>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</si>
  <si>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</si>
  <si>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</si>
  <si>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</si>
  <si>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</si>
  <si>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</si>
  <si>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</si>
  <si>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</si>
  <si>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</si>
  <si>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</si>
  <si>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</si>
  <si>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</si>
  <si>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</si>
  <si>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</si>
  <si>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</si>
  <si>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</si>
  <si>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</si>
  <si>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</si>
  <si>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</si>
  <si>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</si>
  <si>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</si>
  <si>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</si>
  <si>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</si>
  <si>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</si>
  <si>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</si>
  <si>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</si>
  <si>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</si>
  <si>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</si>
  <si>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</si>
  <si>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</si>
  <si>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</si>
  <si>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</si>
  <si>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</si>
  <si>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</si>
  <si>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</si>
  <si>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</si>
  <si>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</si>
  <si>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</si>
  <si>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</si>
  <si>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</si>
  <si>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</si>
  <si>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</si>
  <si>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</si>
  <si>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</si>
  <si>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</si>
  <si>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</si>
  <si>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</si>
  <si>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</si>
  <si>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</si>
  <si>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</si>
  <si>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</si>
  <si>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</si>
  <si>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</si>
  <si>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</si>
  <si>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</si>
  <si>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</si>
  <si>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</si>
  <si>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</si>
  <si>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</si>
  <si>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</si>
  <si>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</si>
  <si>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</si>
  <si>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</si>
  <si>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</si>
  <si>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</si>
  <si>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</si>
  <si>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</si>
  <si>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</si>
  <si>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</si>
  <si>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</si>
  <si>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</si>
  <si>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</si>
  <si>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</si>
  <si>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</si>
  <si>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</si>
  <si>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</si>
  <si>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</si>
  <si>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</si>
  <si>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</si>
  <si>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</si>
  <si>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</si>
  <si>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</si>
  <si>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</si>
  <si>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</si>
  <si>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</si>
  <si>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</si>
  <si>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</si>
  <si>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</si>
  <si>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</si>
  <si>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</si>
  <si>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</si>
  <si>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</si>
  <si>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</si>
  <si>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</si>
  <si>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</si>
  <si>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</si>
  <si>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</si>
  <si>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</si>
  <si>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</si>
  <si>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</si>
  <si>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</si>
  <si>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</si>
  <si>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</si>
  <si>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</si>
  <si>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</si>
  <si>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</si>
  <si>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</si>
  <si>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</si>
  <si>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</si>
  <si>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</si>
  <si>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</si>
  <si>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</si>
  <si>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</si>
  <si>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-0.05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</si>
  <si>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</si>
  <si>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</si>
  <si>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</si>
  <si>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</si>
  <si>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</si>
  <si>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</si>
  <si>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</si>
  <si>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</si>
  <si>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</si>
  <si>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</si>
  <si>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</si>
  <si>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</si>
  <si>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</si>
  <si>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</si>
  <si>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</si>
  <si>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</si>
  <si>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</si>
  <si>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</si>
  <si>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</si>
  <si>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</si>
  <si>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</si>
  <si>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-0.24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</si>
  <si>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</si>
  <si>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</si>
  <si>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</si>
  <si>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</si>
  <si>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</si>
  <si>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</si>
  <si>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</si>
  <si>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</si>
  <si>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</si>
  <si>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</si>
  <si>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</si>
  <si>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</si>
  <si>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</si>
  <si>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</si>
  <si>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</si>
  <si>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</si>
  <si>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</si>
  <si>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</si>
  <si>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</si>
  <si>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</si>
  <si>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</si>
  <si>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</si>
  <si>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</si>
  <si>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</si>
  <si>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</si>
  <si>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</si>
  <si>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</si>
  <si>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</si>
  <si>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</si>
  <si>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</si>
  <si>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</si>
  <si>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</si>
  <si>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</si>
  <si>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</si>
  <si>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</si>
  <si>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</si>
  <si>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</si>
  <si>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</si>
  <si>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</si>
  <si>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</si>
  <si>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</si>
  <si>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</si>
  <si>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</si>
  <si>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</si>
  <si>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</si>
  <si>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</si>
  <si>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</si>
  <si>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</si>
  <si>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</si>
  <si>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</si>
  <si>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</si>
  <si>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</si>
  <si>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</si>
  <si>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</si>
  <si>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</si>
  <si>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</si>
  <si>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</si>
  <si>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</si>
  <si>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</si>
  <si>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</si>
  <si>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</si>
  <si>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</si>
  <si>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</si>
  <si>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</si>
  <si>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</si>
  <si>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</si>
  <si>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</si>
  <si>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</si>
  <si>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</si>
  <si>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</si>
  <si>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</si>
  <si>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</si>
  <si>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</si>
  <si>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</si>
  <si>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</si>
  <si>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</si>
  <si>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</si>
  <si>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</si>
  <si>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</si>
  <si>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</si>
  <si>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</si>
  <si>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</si>
  <si>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</si>
  <si>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</si>
  <si>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</si>
  <si>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</si>
  <si>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</si>
  <si>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</si>
  <si>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</si>
  <si>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</si>
  <si>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</si>
  <si>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</si>
  <si>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</si>
  <si>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</si>
  <si>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</si>
  <si>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</si>
  <si>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</si>
  <si>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</si>
  <si>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</si>
  <si>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</si>
  <si>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</si>
  <si>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</si>
  <si>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</si>
  <si>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</si>
  <si>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</si>
  <si>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</si>
  <si>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</si>
  <si>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</si>
  <si>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</si>
  <si>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</si>
  <si>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</si>
  <si>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</si>
  <si>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</si>
  <si>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</si>
  <si>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</si>
  <si>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</si>
  <si>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</si>
  <si>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</si>
  <si>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</si>
  <si>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</si>
  <si>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</si>
  <si>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</si>
  <si>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</si>
  <si>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</si>
  <si>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</si>
  <si>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</si>
  <si>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</si>
  <si>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</si>
  <si>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</si>
  <si>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</si>
  <si>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</si>
  <si>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</si>
  <si>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</si>
  <si>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</si>
  <si>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</si>
  <si>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</si>
  <si>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</si>
  <si>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</si>
  <si>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</si>
  <si>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</si>
  <si>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</si>
  <si>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</si>
  <si>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</si>
  <si>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</si>
  <si>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</si>
  <si>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</si>
  <si>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</si>
  <si>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</si>
  <si>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</si>
  <si>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</si>
  <si>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</si>
  <si>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</si>
  <si>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</si>
  <si>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</si>
  <si>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</si>
  <si>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</si>
  <si>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</si>
  <si>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</si>
  <si>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</si>
  <si>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</si>
  <si>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</si>
  <si>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</si>
  <si>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</si>
  <si>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</si>
  <si>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</si>
  <si>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</si>
  <si>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</si>
  <si>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</si>
  <si>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</si>
  <si>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</si>
  <si>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</si>
  <si>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</si>
  <si>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</si>
  <si>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</si>
  <si>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</si>
  <si>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</si>
  <si>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</si>
  <si>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</si>
  <si>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</si>
  <si>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</si>
  <si>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</si>
  <si>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</si>
  <si>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</si>
  <si>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</si>
  <si>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</si>
  <si>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</si>
  <si>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</si>
  <si>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</si>
  <si>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</si>
  <si>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</si>
  <si>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</si>
  <si>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</si>
  <si>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</si>
  <si>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</si>
  <si>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</si>
  <si>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</si>
  <si>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</si>
  <si>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</si>
  <si>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</si>
  <si>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</si>
  <si>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</si>
  <si>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</si>
  <si>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</si>
  <si>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</si>
  <si>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</si>
  <si>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</si>
  <si>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</si>
  <si>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</si>
  <si>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</si>
  <si>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</si>
  <si>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</si>
  <si>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</si>
  <si>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</si>
  <si>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</si>
  <si>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</si>
  <si>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</si>
  <si>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</si>
  <si>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</si>
  <si>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</si>
  <si>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</si>
  <si>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</si>
  <si>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</si>
  <si>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</si>
  <si>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</si>
  <si>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</si>
  <si>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</si>
  <si>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</si>
  <si>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</si>
  <si>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</si>
  <si>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</si>
  <si>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</si>
  <si>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</si>
  <si>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</si>
  <si>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</si>
  <si>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</si>
  <si>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</si>
  <si>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</si>
  <si>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</si>
  <si>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</si>
  <si>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</si>
  <si>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</si>
  <si>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</si>
  <si>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</si>
  <si>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</si>
  <si>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</si>
  <si>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</si>
  <si>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</si>
  <si>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</si>
  <si>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</si>
  <si>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</si>
  <si>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</si>
  <si>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</si>
  <si>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</si>
  <si>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</si>
  <si>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</si>
  <si>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</si>
  <si>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</si>
  <si>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</si>
  <si>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</si>
  <si>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</si>
  <si>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</si>
  <si>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</si>
  <si>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</si>
  <si>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</si>
  <si>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</si>
  <si>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</si>
  <si>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</si>
  <si>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</si>
  <si>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</si>
  <si>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</si>
  <si>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</si>
  <si>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</si>
  <si>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</si>
  <si>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</si>
  <si>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</si>
  <si>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</si>
  <si>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</si>
  <si>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</si>
  <si>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</si>
  <si>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</si>
  <si>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</si>
  <si>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</si>
  <si>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</si>
  <si>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</si>
  <si>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</si>
  <si>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</si>
  <si>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</si>
  <si>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</si>
  <si>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</si>
  <si>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</si>
  <si>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</si>
  <si>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</si>
  <si>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</si>
  <si>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</si>
  <si>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</si>
  <si>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</si>
  <si>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</si>
  <si>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</si>
  <si>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</si>
  <si>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</si>
  <si>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</si>
  <si>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</si>
  <si>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</si>
  <si>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</si>
  <si>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</si>
  <si>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</si>
  <si>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</si>
  <si>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</si>
  <si>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</si>
  <si>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</si>
  <si>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</si>
  <si>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</si>
  <si>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</si>
  <si>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</si>
  <si>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</si>
  <si>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</si>
  <si>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</si>
  <si>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</si>
  <si>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</si>
  <si>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</si>
  <si>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</si>
  <si>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</si>
  <si>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</si>
  <si>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</si>
  <si>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</si>
  <si>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</si>
  <si>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</si>
  <si>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</si>
  <si>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</si>
  <si>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</si>
  <si>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</si>
  <si>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</si>
  <si>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</si>
  <si>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</si>
  <si>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</si>
  <si>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</si>
  <si>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</si>
  <si>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</si>
  <si>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</si>
  <si>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</si>
  <si>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</si>
  <si>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</si>
  <si>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</si>
  <si>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</si>
  <si>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</si>
  <si>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</si>
  <si>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</si>
  <si>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</si>
  <si>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</si>
  <si>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</si>
  <si>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</si>
  <si>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</si>
  <si>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</si>
  <si>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</si>
  <si>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</si>
  <si>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</si>
  <si>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</si>
  <si>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</si>
  <si>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</si>
  <si>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</si>
  <si>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</si>
  <si>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</si>
  <si>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</si>
  <si>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</si>
  <si>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</si>
  <si>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</si>
  <si>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</si>
  <si>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</si>
  <si>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</si>
  <si>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</si>
  <si>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</si>
  <si>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</si>
  <si>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</si>
  <si>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</si>
  <si>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</si>
  <si>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</si>
  <si>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</si>
  <si>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</si>
  <si>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</si>
  <si>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</si>
  <si>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</si>
  <si>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</si>
  <si>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</si>
  <si>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</si>
  <si>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</si>
  <si>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</si>
  <si>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</si>
  <si>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</si>
  <si>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</si>
  <si>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</si>
  <si>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</si>
  <si>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</si>
  <si>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</si>
  <si>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</si>
  <si>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</si>
  <si>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</si>
  <si>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</si>
  <si>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</si>
  <si>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</si>
  <si>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</si>
  <si>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</si>
  <si>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</si>
  <si>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</si>
  <si>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</si>
  <si>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</si>
  <si>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</si>
  <si>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</si>
  <si>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</si>
  <si>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</si>
  <si>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</si>
  <si>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</si>
  <si>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</si>
  <si>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</si>
  <si>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</si>
  <si>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</si>
  <si>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</si>
  <si>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</si>
  <si>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</si>
  <si>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</si>
  <si>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</si>
  <si>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</si>
  <si>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</si>
  <si>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</si>
  <si>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</si>
  <si>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</si>
  <si>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</si>
  <si>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</si>
  <si>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</si>
  <si>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</si>
  <si>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</si>
  <si>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</si>
  <si>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</si>
  <si>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</si>
  <si>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</si>
  <si>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</si>
  <si>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</si>
  <si>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</si>
  <si>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</si>
  <si>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</si>
  <si>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</si>
  <si>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</si>
  <si>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</si>
  <si>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</si>
  <si>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</si>
  <si>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</si>
  <si>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</si>
  <si>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</si>
  <si>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</si>
  <si>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</si>
  <si>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</si>
  <si>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</si>
  <si>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</si>
  <si>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</si>
  <si>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</si>
  <si>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</si>
  <si>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</si>
  <si>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</si>
  <si>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</si>
  <si>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</si>
  <si>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</si>
  <si>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</si>
  <si>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</si>
  <si>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</si>
  <si>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</si>
  <si>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</si>
  <si>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</si>
  <si>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</si>
  <si>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</si>
  <si>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</si>
  <si>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</si>
  <si>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</si>
  <si>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</si>
  <si>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</si>
  <si>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</si>
  <si>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</si>
  <si>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</si>
  <si>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</si>
  <si>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</si>
  <si>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</si>
  <si>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</si>
  <si>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</si>
  <si>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</si>
  <si>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</si>
  <si>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</si>
  <si>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</si>
  <si>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</si>
  <si>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</si>
  <si>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</si>
  <si>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</si>
  <si>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</si>
  <si>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</si>
  <si>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</si>
  <si>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</si>
  <si>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</si>
  <si>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</si>
  <si>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</si>
  <si>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</si>
  <si>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</si>
  <si>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</si>
  <si>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</si>
  <si>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</si>
  <si>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</si>
  <si>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</si>
  <si>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</si>
  <si>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</si>
  <si>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</si>
  <si>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</si>
  <si>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</si>
  <si>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</si>
  <si>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</si>
  <si>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</si>
  <si>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</si>
  <si>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</si>
  <si>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</si>
  <si>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</si>
  <si>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</si>
  <si>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</si>
  <si>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</si>
  <si>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</si>
  <si>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</si>
  <si>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</si>
  <si>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</si>
  <si>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</si>
  <si>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</si>
  <si>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</si>
  <si>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</si>
  <si>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-0.02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</si>
  <si>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</si>
  <si>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</si>
  <si>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</si>
  <si>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</si>
  <si>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</si>
  <si>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</si>
  <si>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</si>
  <si>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</si>
  <si>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</si>
  <si>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</si>
  <si>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</si>
  <si>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</si>
  <si>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</si>
  <si>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</si>
  <si>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</si>
  <si>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</si>
  <si>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</si>
  <si>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</si>
  <si>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</si>
  <si>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</si>
  <si>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</si>
  <si>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</si>
  <si>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</si>
  <si>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</si>
  <si>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</si>
  <si>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</si>
  <si>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</si>
  <si>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</si>
  <si>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</si>
  <si>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</si>
  <si>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</si>
  <si>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</si>
  <si>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</si>
  <si>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</si>
  <si>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</si>
  <si>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</si>
  <si>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</si>
  <si>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</si>
  <si>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</si>
  <si>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</si>
  <si>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</si>
  <si>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</si>
  <si>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</si>
  <si>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</si>
  <si>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</si>
  <si>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</si>
  <si>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</si>
  <si>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</si>
  <si>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</si>
  <si>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</si>
  <si>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</si>
  <si>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</si>
  <si>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</si>
  <si>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</si>
  <si>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</si>
  <si>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</si>
  <si>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</si>
  <si>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</si>
  <si>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</si>
  <si>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</si>
  <si>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</si>
  <si>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</si>
  <si>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</si>
  <si>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</si>
  <si>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</si>
  <si>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</si>
  <si>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</si>
  <si>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</si>
  <si>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</si>
  <si>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</si>
  <si>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</si>
  <si>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</si>
  <si>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</si>
  <si>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</si>
  <si>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</si>
  <si>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</si>
  <si>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</si>
  <si>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</si>
  <si>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</si>
  <si>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</si>
  <si>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</si>
  <si>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</si>
  <si>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</si>
  <si>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</si>
  <si>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</si>
  <si>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</si>
  <si>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</si>
  <si>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</si>
  <si>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</si>
  <si>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</si>
  <si>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</si>
  <si>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</si>
  <si>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</si>
  <si>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</si>
  <si>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</si>
  <si>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</si>
  <si>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</si>
  <si>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</si>
  <si>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</si>
  <si>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</si>
  <si>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</si>
  <si>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</si>
  <si>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</si>
  <si>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</si>
  <si>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</si>
  <si>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</si>
  <si>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</si>
  <si>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</si>
  <si>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</si>
  <si>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</si>
  <si>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</si>
  <si>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</si>
  <si>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</si>
  <si>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</si>
  <si>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</si>
  <si>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</si>
  <si>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</si>
  <si>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</si>
  <si>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</si>
  <si>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</si>
  <si>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</si>
  <si>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</si>
  <si>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</si>
  <si>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</si>
  <si>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</si>
  <si>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</si>
  <si>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</si>
  <si>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</si>
  <si>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</si>
  <si>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</si>
  <si>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</si>
  <si>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</si>
  <si>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</si>
  <si>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</si>
  <si>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</si>
  <si>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</si>
  <si>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</si>
  <si>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</si>
  <si>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</si>
  <si>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</si>
  <si>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</si>
  <si>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</si>
  <si>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</si>
  <si>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</si>
  <si>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</si>
  <si>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</si>
  <si>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</si>
  <si>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</si>
  <si>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</si>
  <si>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</si>
  <si>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</si>
  <si>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</si>
  <si>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</si>
  <si>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</si>
  <si>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</si>
  <si>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</si>
  <si>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</si>
  <si>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</si>
  <si>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NOTE: These rows were identical full-row duplicates of rows kept in cleaned_orders. Removed during Task 4 deduplication.</t>
  </si>
  <si>
    <t xml:space="preserve">discount</t>
  </si>
  <si>
    <t xml:space="preserve">sales</t>
  </si>
  <si>
    <t xml:space="preserve">profit</t>
  </si>
  <si>
    <t xml:space="preserve">04/01/2024</t>
  </si>
  <si>
    <t xml:space="preserve">2024-04-09</t>
  </si>
  <si>
    <t xml:space="preserve">6</t>
  </si>
  <si>
    <t xml:space="preserve">826.93</t>
  </si>
  <si>
    <t xml:space="preserve">4465.42</t>
  </si>
  <si>
    <t xml:space="preserve">3377.1</t>
  </si>
  <si>
    <t xml:space="preserve">1088.32</t>
  </si>
  <si>
    <t xml:space="preserve">08/17/2024</t>
  </si>
  <si>
    <t xml:space="preserve">08/24/2024</t>
  </si>
  <si>
    <t xml:space="preserve">3</t>
  </si>
  <si>
    <t xml:space="preserve">1490.69</t>
  </si>
  <si>
    <t xml:space="preserve">3354.05</t>
  </si>
  <si>
    <t xml:space="preserve">2672.67</t>
  </si>
  <si>
    <t xml:space="preserve">681.38</t>
  </si>
  <si>
    <t xml:space="preserve">01-08-2025</t>
  </si>
  <si>
    <t xml:space="preserve">09-08-2025</t>
  </si>
  <si>
    <t xml:space="preserve">5</t>
  </si>
  <si>
    <t xml:space="preserve">2736.24</t>
  </si>
  <si>
    <t xml:space="preserve">11629.02</t>
  </si>
  <si>
    <t xml:space="preserve">9627.21</t>
  </si>
  <si>
    <t xml:space="preserve">2001.81</t>
  </si>
  <si>
    <t xml:space="preserve">2024-03-13</t>
  </si>
  <si>
    <t xml:space="preserve">03/20/2024</t>
  </si>
  <si>
    <t xml:space="preserve">1</t>
  </si>
  <si>
    <t xml:space="preserve">2825.63</t>
  </si>
  <si>
    <t xml:space="preserve">2401.79</t>
  </si>
  <si>
    <t xml:space="preserve">1820.34</t>
  </si>
  <si>
    <t xml:space="preserve">581.45</t>
  </si>
  <si>
    <t xml:space="preserve">22-01-2024</t>
  </si>
  <si>
    <t xml:space="preserve">23-01-2024</t>
  </si>
  <si>
    <t xml:space="preserve">3391.53</t>
  </si>
  <si>
    <t xml:space="preserve">15261.89</t>
  </si>
  <si>
    <t xml:space="preserve">8413.53</t>
  </si>
  <si>
    <t xml:space="preserve">6848.36</t>
  </si>
  <si>
    <t xml:space="preserve">15-04-2025</t>
  </si>
  <si>
    <t xml:space="preserve">16-04-2025</t>
  </si>
  <si>
    <t xml:space="preserve">2850.53</t>
  </si>
  <si>
    <t xml:space="preserve">14252.65</t>
  </si>
  <si>
    <t xml:space="preserve">11558.31</t>
  </si>
  <si>
    <t xml:space="preserve">2694.34</t>
  </si>
  <si>
    <t xml:space="preserve">17-05-2025</t>
  </si>
  <si>
    <t xml:space="preserve">25 May 2025</t>
  </si>
  <si>
    <t xml:space="preserve">1810.63</t>
  </si>
  <si>
    <t xml:space="preserve">9234.21</t>
  </si>
  <si>
    <t xml:space="preserve">5516.52</t>
  </si>
  <si>
    <t xml:space="preserve">3717.69</t>
  </si>
  <si>
    <t xml:space="preserve">2024-12-13</t>
  </si>
  <si>
    <t xml:space="preserve">12/18/2024</t>
  </si>
  <si>
    <t xml:space="preserve">8</t>
  </si>
  <si>
    <t xml:space="preserve">3372.15</t>
  </si>
  <si>
    <t xml:space="preserve">22930.62</t>
  </si>
  <si>
    <t xml:space="preserve">16875.55</t>
  </si>
  <si>
    <t xml:space="preserve">6055.07</t>
  </si>
  <si>
    <t xml:space="preserve">08 Sep 2025</t>
  </si>
  <si>
    <t xml:space="preserve">2025-09-09</t>
  </si>
  <si>
    <t xml:space="preserve">2</t>
  </si>
  <si>
    <t xml:space="preserve">2372.41</t>
  </si>
  <si>
    <t xml:space="preserve">3795.86</t>
  </si>
  <si>
    <t xml:space="preserve">2264.92</t>
  </si>
  <si>
    <t xml:space="preserve">1530.94</t>
  </si>
  <si>
    <t xml:space="preserve">04/24/2025</t>
  </si>
  <si>
    <t xml:space="preserve">2025-04-29</t>
  </si>
  <si>
    <t xml:space="preserve">4358.5</t>
  </si>
  <si>
    <t xml:space="preserve">3268.88</t>
  </si>
  <si>
    <t xml:space="preserve">1993.74</t>
  </si>
  <si>
    <t xml:space="preserve">1275.14</t>
  </si>
  <si>
    <t xml:space="preserve">05/24/2024</t>
  </si>
  <si>
    <t xml:space="preserve">25 May 2024</t>
  </si>
  <si>
    <t xml:space="preserve">NORTH</t>
  </si>
  <si>
    <t xml:space="preserve">634.13</t>
  </si>
  <si>
    <t xml:space="preserve">453.35</t>
  </si>
  <si>
    <t xml:space="preserve">180.78</t>
  </si>
  <si>
    <t xml:space="preserve">02/21/2024</t>
  </si>
  <si>
    <t xml:space="preserve">02/27/2024</t>
  </si>
  <si>
    <t xml:space="preserve">3373.86</t>
  </si>
  <si>
    <t xml:space="preserve">14338.9</t>
  </si>
  <si>
    <t xml:space="preserve">11897.65</t>
  </si>
  <si>
    <t xml:space="preserve">2441.25</t>
  </si>
  <si>
    <t xml:space="preserve">24 May 2025</t>
  </si>
  <si>
    <t xml:space="preserve">30-05-2025</t>
  </si>
  <si>
    <t xml:space="preserve">storage</t>
  </si>
  <si>
    <t xml:space="preserve">2564.74</t>
  </si>
  <si>
    <t xml:space="preserve">1754.58</t>
  </si>
  <si>
    <t xml:space="preserve">810.16</t>
  </si>
  <si>
    <t xml:space="preserve">12/23/2024</t>
  </si>
  <si>
    <t xml:space="preserve">26-12-2024</t>
  </si>
  <si>
    <t xml:space="preserve">9</t>
  </si>
  <si>
    <t xml:space="preserve">993.67</t>
  </si>
  <si>
    <t xml:space="preserve">8943.03</t>
  </si>
  <si>
    <t xml:space="preserve">5165.38</t>
  </si>
  <si>
    <t xml:space="preserve">3777.65</t>
  </si>
  <si>
    <t xml:space="preserve">10 Feb 2024</t>
  </si>
  <si>
    <t xml:space="preserve">18 Feb 2024</t>
  </si>
  <si>
    <t xml:space="preserve">7</t>
  </si>
  <si>
    <t xml:space="preserve">1382.86</t>
  </si>
  <si>
    <t xml:space="preserve">9680.02</t>
  </si>
  <si>
    <t xml:space="preserve">6876.66</t>
  </si>
  <si>
    <t xml:space="preserve">2803.36</t>
  </si>
  <si>
    <t xml:space="preserve">10/11/2025</t>
  </si>
  <si>
    <t xml:space="preserve">13 Oct 2025</t>
  </si>
  <si>
    <t xml:space="preserve">3804.27</t>
  </si>
  <si>
    <t xml:space="preserve">10271.53</t>
  </si>
  <si>
    <t xml:space="preserve">8272.24</t>
  </si>
  <si>
    <t xml:space="preserve">1999.29</t>
  </si>
  <si>
    <t xml:space="preserve">2024-03-06</t>
  </si>
  <si>
    <t xml:space="preserve">12-03-2024</t>
  </si>
  <si>
    <t xml:space="preserve">679.63</t>
  </si>
  <si>
    <t xml:space="preserve">1631.11</t>
  </si>
  <si>
    <t xml:space="preserve">898.73</t>
  </si>
  <si>
    <t xml:space="preserve">396.58</t>
  </si>
  <si>
    <t xml:space="preserve">01/30/2025</t>
  </si>
  <si>
    <t xml:space="preserve">26-01-2025</t>
  </si>
  <si>
    <t xml:space="preserve">3039.3</t>
  </si>
  <si>
    <t xml:space="preserve">5774.67</t>
  </si>
  <si>
    <t xml:space="preserve">3518.36</t>
  </si>
  <si>
    <t xml:space="preserve">2256.31</t>
  </si>
  <si>
    <t xml:space="preserve">09/11/2025</t>
  </si>
  <si>
    <t xml:space="preserve">09/18/2025</t>
  </si>
  <si>
    <t xml:space="preserve">3411.21</t>
  </si>
  <si>
    <t xml:space="preserve">20296.7</t>
  </si>
  <si>
    <t xml:space="preserve">14920.87</t>
  </si>
  <si>
    <t xml:space="preserve">5375.83</t>
  </si>
  <si>
    <t xml:space="preserve">04/10/2025</t>
  </si>
  <si>
    <t xml:space="preserve">04/16/2025</t>
  </si>
  <si>
    <t xml:space="preserve">4</t>
  </si>
  <si>
    <t xml:space="preserve">1719.87</t>
  </si>
  <si>
    <t xml:space="preserve">5847.56</t>
  </si>
  <si>
    <t xml:space="preserve">4727.25</t>
  </si>
  <si>
    <t xml:space="preserve">1120.31</t>
  </si>
  <si>
    <t xml:space="preserve">21 Jul 2024</t>
  </si>
  <si>
    <t xml:space="preserve">07/27/2024</t>
  </si>
  <si>
    <t xml:space="preserve">2976.45</t>
  </si>
  <si>
    <t xml:space="preserve">19049.28</t>
  </si>
  <si>
    <t xml:space="preserve">15841.89</t>
  </si>
  <si>
    <t xml:space="preserve">3207.39</t>
  </si>
  <si>
    <t xml:space="preserve">08/31/2024</t>
  </si>
  <si>
    <t xml:space="preserve">05 Sep 2024</t>
  </si>
  <si>
    <t xml:space="preserve">2437.5</t>
  </si>
  <si>
    <t xml:space="preserve">7312.5</t>
  </si>
  <si>
    <t xml:space="preserve">4904.73</t>
  </si>
  <si>
    <t xml:space="preserve">2407.77</t>
  </si>
  <si>
    <t xml:space="preserve">06/08/2024</t>
  </si>
  <si>
    <t xml:space="preserve">15 Jun 2024</t>
  </si>
  <si>
    <t xml:space="preserve">1065.43</t>
  </si>
  <si>
    <t xml:space="preserve">4261.72</t>
  </si>
  <si>
    <t xml:space="preserve">2465.69</t>
  </si>
  <si>
    <t xml:space="preserve">1796.03</t>
  </si>
  <si>
    <t xml:space="preserve">28-11-2024</t>
  </si>
  <si>
    <t xml:space="preserve">11/29/2024</t>
  </si>
  <si>
    <t xml:space="preserve">1848.43</t>
  </si>
  <si>
    <t xml:space="preserve">8317.93</t>
  </si>
  <si>
    <t xml:space="preserve">6796.77</t>
  </si>
  <si>
    <t xml:space="preserve">1521.16</t>
  </si>
  <si>
    <t xml:space="preserve">29 Aug 2025</t>
  </si>
  <si>
    <t xml:space="preserve">2025-09-01</t>
  </si>
  <si>
    <t xml:space="preserve">2973.76</t>
  </si>
  <si>
    <t xml:space="preserve">20816.32</t>
  </si>
  <si>
    <t xml:space="preserve">17705.37</t>
  </si>
  <si>
    <t xml:space="preserve">3110.95</t>
  </si>
  <si>
    <t xml:space="preserve">2024-05-24</t>
  </si>
  <si>
    <t xml:space="preserve">28-05-2024</t>
  </si>
  <si>
    <t xml:space="preserve">1053.11</t>
  </si>
  <si>
    <t xml:space="preserve">2527.46</t>
  </si>
  <si>
    <t xml:space="preserve">1533.58</t>
  </si>
  <si>
    <t xml:space="preserve">993.88</t>
  </si>
  <si>
    <t xml:space="preserve">2025-02-23</t>
  </si>
  <si>
    <t xml:space="preserve">26-02-2025</t>
  </si>
  <si>
    <t xml:space="preserve">2980.71</t>
  </si>
  <si>
    <t xml:space="preserve">2357.22</t>
  </si>
  <si>
    <t xml:space="preserve">623.49</t>
  </si>
  <si>
    <t xml:space="preserve">11/05/2024</t>
  </si>
  <si>
    <t xml:space="preserve">11/10/2024</t>
  </si>
  <si>
    <t xml:space="preserve">3134.2</t>
  </si>
  <si>
    <t xml:space="preserve">25073.6</t>
  </si>
  <si>
    <t xml:space="preserve">17347.23</t>
  </si>
  <si>
    <t xml:space="preserve">7726.37</t>
  </si>
  <si>
    <t xml:space="preserve">07-09-2025</t>
  </si>
  <si>
    <t xml:space="preserve">09/12/2025</t>
  </si>
  <si>
    <t xml:space="preserve">852.04</t>
  </si>
  <si>
    <t xml:space="preserve">6134.69</t>
  </si>
  <si>
    <t xml:space="preserve">3800.19</t>
  </si>
  <si>
    <t xml:space="preserve">2334.5</t>
  </si>
  <si>
    <t xml:space="preserve">20 May 2025</t>
  </si>
  <si>
    <t xml:space="preserve">05/20/2025</t>
  </si>
  <si>
    <t xml:space="preserve">3534.83</t>
  </si>
  <si>
    <t xml:space="preserve">10074.27</t>
  </si>
  <si>
    <t xml:space="preserve">6048.27</t>
  </si>
  <si>
    <t xml:space="preserve">4026</t>
  </si>
  <si>
    <t xml:space="preserve">2024-07-22</t>
  </si>
  <si>
    <t xml:space="preserve">23-07-2024</t>
  </si>
  <si>
    <t xml:space="preserve">2005.95</t>
  </si>
  <si>
    <t xml:space="preserve">9628.56</t>
  </si>
  <si>
    <t xml:space="preserve">8038.59</t>
  </si>
  <si>
    <t xml:space="preserve">1589.97</t>
  </si>
  <si>
    <t xml:space="preserve">20 Dec 2024</t>
  </si>
  <si>
    <t xml:space="preserve">12/21/2024</t>
  </si>
  <si>
    <t xml:space="preserve">702.14</t>
  </si>
  <si>
    <t xml:space="preserve">596.82</t>
  </si>
  <si>
    <t xml:space="preserve">380.25</t>
  </si>
  <si>
    <t xml:space="preserve">216.57</t>
  </si>
  <si>
    <t xml:space="preserve">2025-10-12</t>
  </si>
  <si>
    <t xml:space="preserve">16-10-2025</t>
  </si>
  <si>
    <t xml:space="preserve">3964.72</t>
  </si>
  <si>
    <t xml:space="preserve">26365.39</t>
  </si>
  <si>
    <t xml:space="preserve">22306.24</t>
  </si>
  <si>
    <t xml:space="preserve">4059.15</t>
  </si>
  <si>
    <t xml:space="preserve">27 Dec 2024</t>
  </si>
  <si>
    <t xml:space="preserve">12/28/2024</t>
  </si>
  <si>
    <t xml:space="preserve">2737.83</t>
  </si>
  <si>
    <t xml:space="preserve">4106.74</t>
  </si>
  <si>
    <t xml:space="preserve">2666.3</t>
  </si>
  <si>
    <t xml:space="preserve">1440.44</t>
  </si>
  <si>
    <t xml:space="preserve">07/09/2024</t>
  </si>
  <si>
    <t xml:space="preserve">09 Jul 2024</t>
  </si>
  <si>
    <t xml:space="preserve">3965.76</t>
  </si>
  <si>
    <t xml:space="preserve">23794.56</t>
  </si>
  <si>
    <t xml:space="preserve">15698.47</t>
  </si>
  <si>
    <t xml:space="preserve">8096.09</t>
  </si>
  <si>
    <t xml:space="preserve">05/08/2024</t>
  </si>
  <si>
    <t xml:space="preserve">15-05-2024</t>
  </si>
  <si>
    <t xml:space="preserve">3323.51</t>
  </si>
  <si>
    <t xml:space="preserve">9970.53</t>
  </si>
  <si>
    <t xml:space="preserve">5668.17</t>
  </si>
  <si>
    <t xml:space="preserve">4302.36</t>
  </si>
  <si>
    <t xml:space="preserve">01/07/2024</t>
  </si>
  <si>
    <t xml:space="preserve">2024-01-08</t>
  </si>
  <si>
    <t xml:space="preserve">1526.78</t>
  </si>
  <si>
    <t xml:space="preserve">7633.9</t>
  </si>
  <si>
    <t xml:space="preserve">4706.91</t>
  </si>
  <si>
    <t xml:space="preserve">2926.99</t>
  </si>
  <si>
    <t xml:space="preserve">07/15/2025</t>
  </si>
  <si>
    <t xml:space="preserve">17-07-2025</t>
  </si>
  <si>
    <t xml:space="preserve">1997.99</t>
  </si>
  <si>
    <t xml:space="preserve">3995.98</t>
  </si>
  <si>
    <t xml:space="preserve">2633.2</t>
  </si>
  <si>
    <t xml:space="preserve">1362.78</t>
  </si>
  <si>
    <t xml:space="preserve">31 Jul 2024</t>
  </si>
  <si>
    <t xml:space="preserve">3887.94</t>
  </si>
  <si>
    <t xml:space="preserve">9331.06</t>
  </si>
  <si>
    <t xml:space="preserve">7529.31</t>
  </si>
  <si>
    <t xml:space="preserve">1801.75</t>
  </si>
  <si>
    <t xml:space="preserve">21-01-2025</t>
  </si>
  <si>
    <t xml:space="preserve">23 Jan 2025</t>
  </si>
  <si>
    <t xml:space="preserve">4373.06</t>
  </si>
  <si>
    <t xml:space="preserve">16398.98</t>
  </si>
  <si>
    <t xml:space="preserve">9556.52</t>
  </si>
  <si>
    <t xml:space="preserve">6842.46</t>
  </si>
  <si>
    <t xml:space="preserve">24-01-2025</t>
  </si>
  <si>
    <t xml:space="preserve">697.69</t>
  </si>
  <si>
    <t xml:space="preserve">2790.76</t>
  </si>
  <si>
    <t xml:space="preserve">2037.71</t>
  </si>
  <si>
    <t xml:space="preserve">753.05</t>
  </si>
  <si>
    <t xml:space="preserve">19 Jan 2025</t>
  </si>
  <si>
    <t xml:space="preserve">2025-01-21</t>
  </si>
  <si>
    <t xml:space="preserve">1219.34</t>
  </si>
  <si>
    <t xml:space="preserve">8291.51</t>
  </si>
  <si>
    <t xml:space="preserve">6685.03</t>
  </si>
  <si>
    <t xml:space="preserve">1606.48</t>
  </si>
  <si>
    <t xml:space="preserve">31-08-2025</t>
  </si>
  <si>
    <t xml:space="preserve">1958.01</t>
  </si>
  <si>
    <t xml:space="preserve">6265.63</t>
  </si>
  <si>
    <t xml:space="preserve">4321.86</t>
  </si>
  <si>
    <t xml:space="preserve">1943.77</t>
  </si>
  <si>
    <t xml:space="preserve">2024-03-04</t>
  </si>
  <si>
    <t xml:space="preserve">03/01/2024</t>
  </si>
  <si>
    <t xml:space="preserve">4492.94</t>
  </si>
  <si>
    <t xml:space="preserve">13478.82</t>
  </si>
  <si>
    <t xml:space="preserve">10937.35</t>
  </si>
  <si>
    <t xml:space="preserve">2541.47</t>
  </si>
  <si>
    <t xml:space="preserve">11-10-2024</t>
  </si>
  <si>
    <t xml:space="preserve">2024-10-19</t>
  </si>
  <si>
    <t xml:space="preserve">4315.2</t>
  </si>
  <si>
    <t xml:space="preserve">7335.84</t>
  </si>
  <si>
    <t xml:space="preserve">4968.41</t>
  </si>
  <si>
    <t xml:space="preserve">2367.43</t>
  </si>
  <si>
    <t xml:space="preserve">23-11-2024</t>
  </si>
  <si>
    <t xml:space="preserve">23 Nov 2024</t>
  </si>
  <si>
    <t xml:space="preserve">716.13</t>
  </si>
  <si>
    <t xml:space="preserve">2578.07</t>
  </si>
  <si>
    <t xml:space="preserve">1527.55</t>
  </si>
  <si>
    <t xml:space="preserve">1050.52</t>
  </si>
  <si>
    <t xml:space="preserve">29 Sep 2025</t>
  </si>
  <si>
    <t xml:space="preserve">05-10-2025</t>
  </si>
  <si>
    <t xml:space="preserve">1806.51</t>
  </si>
  <si>
    <t xml:space="preserve">6774.41</t>
  </si>
  <si>
    <t xml:space="preserve">4710.36</t>
  </si>
  <si>
    <t xml:space="preserve">2064.05</t>
  </si>
  <si>
    <t xml:space="preserve">18-10-2024</t>
  </si>
  <si>
    <t xml:space="preserve">1942.22</t>
  </si>
  <si>
    <t xml:space="preserve">2913.33</t>
  </si>
  <si>
    <t xml:space="preserve">2122.33</t>
  </si>
  <si>
    <t xml:space="preserve">791</t>
  </si>
  <si>
    <t xml:space="preserve">13 Aug 2025</t>
  </si>
  <si>
    <t xml:space="preserve">13-08-2025</t>
  </si>
  <si>
    <t xml:space="preserve">256.01</t>
  </si>
  <si>
    <t xml:space="preserve">217.61</t>
  </si>
  <si>
    <t xml:space="preserve">119.77</t>
  </si>
  <si>
    <t xml:space="preserve">97.84</t>
  </si>
  <si>
    <t xml:space="preserve">09 Feb 2024</t>
  </si>
  <si>
    <t xml:space="preserve">02/12/2024</t>
  </si>
  <si>
    <t xml:space="preserve">3421.77</t>
  </si>
  <si>
    <t xml:space="preserve">3079.59</t>
  </si>
  <si>
    <t xml:space="preserve">2001.89</t>
  </si>
  <si>
    <t xml:space="preserve">1077.7</t>
  </si>
  <si>
    <t xml:space="preserve">15-06-2025</t>
  </si>
  <si>
    <t xml:space="preserve">19-06-2025</t>
  </si>
  <si>
    <t xml:space="preserve">3092.55</t>
  </si>
  <si>
    <t xml:space="preserve">27832.95</t>
  </si>
  <si>
    <t xml:space="preserve">17769.75</t>
  </si>
  <si>
    <t xml:space="preserve">10063.2</t>
  </si>
  <si>
    <t xml:space="preserve">22-11-2024</t>
  </si>
  <si>
    <t xml:space="preserve">2024-11-26</t>
  </si>
  <si>
    <t xml:space="preserve">4001.25</t>
  </si>
  <si>
    <t xml:space="preserve">9002.81</t>
  </si>
  <si>
    <t xml:space="preserve">7529.92</t>
  </si>
  <si>
    <t xml:space="preserve">1472.89</t>
  </si>
  <si>
    <t xml:space="preserve">07/22/2024</t>
  </si>
  <si>
    <t xml:space="preserve">27-07-2024</t>
  </si>
  <si>
    <t xml:space="preserve">492.41</t>
  </si>
  <si>
    <t xml:space="preserve">2585.15</t>
  </si>
  <si>
    <t xml:space="preserve">2070.73</t>
  </si>
  <si>
    <t xml:space="preserve">514.42</t>
  </si>
  <si>
    <t xml:space="preserve">2025-01-31</t>
  </si>
  <si>
    <t xml:space="preserve">2025-02-05</t>
  </si>
  <si>
    <t xml:space="preserve">4159.69</t>
  </si>
  <si>
    <t xml:space="preserve">6655.5</t>
  </si>
  <si>
    <t xml:space="preserve">4340.21</t>
  </si>
  <si>
    <t xml:space="preserve">2607.32</t>
  </si>
  <si>
    <t xml:space="preserve">29-05-2024</t>
  </si>
  <si>
    <t xml:space="preserve">29 May 2024</t>
  </si>
  <si>
    <t xml:space="preserve">2507.12</t>
  </si>
  <si>
    <t xml:space="preserve">19054.11</t>
  </si>
  <si>
    <t xml:space="preserve">15313.83</t>
  </si>
  <si>
    <t xml:space="preserve">3740.28</t>
  </si>
  <si>
    <t xml:space="preserve">2024-10-25</t>
  </si>
  <si>
    <t xml:space="preserve">28 Oct 2024</t>
  </si>
  <si>
    <t xml:space="preserve">3126.47</t>
  </si>
  <si>
    <t xml:space="preserve">9379.41</t>
  </si>
  <si>
    <t xml:space="preserve">6670.85</t>
  </si>
  <si>
    <t xml:space="preserve">2708.56</t>
  </si>
  <si>
    <t xml:space="preserve">29-07-2025</t>
  </si>
  <si>
    <t xml:space="preserve">STANDARD CLASS</t>
  </si>
  <si>
    <t xml:space="preserve">1327.54</t>
  </si>
  <si>
    <t xml:space="preserve">4248.13</t>
  </si>
  <si>
    <t xml:space="preserve">3321.09</t>
  </si>
  <si>
    <t xml:space="preserve">927.04</t>
  </si>
  <si>
    <t xml:space="preserve">2024-06-17</t>
  </si>
  <si>
    <t xml:space="preserve">22-06-2024</t>
  </si>
  <si>
    <t xml:space="preserve">2210.68</t>
  </si>
  <si>
    <t xml:space="preserve">13927.28</t>
  </si>
  <si>
    <t xml:space="preserve">10504.87</t>
  </si>
  <si>
    <t xml:space="preserve">3422.41</t>
  </si>
  <si>
    <t xml:space="preserve">12/11/2024</t>
  </si>
  <si>
    <t xml:space="preserve">2024-12-11</t>
  </si>
  <si>
    <t xml:space="preserve">1370.92</t>
  </si>
  <si>
    <t xml:space="preserve">4935.31</t>
  </si>
  <si>
    <t xml:space="preserve">3374.77</t>
  </si>
  <si>
    <t xml:space="preserve">1560.54</t>
  </si>
  <si>
    <t xml:space="preserve">10-10-2024</t>
  </si>
  <si>
    <t xml:space="preserve">16 Oct 2024</t>
  </si>
  <si>
    <t xml:space="preserve">2509.27</t>
  </si>
  <si>
    <t xml:space="preserve">14051.91</t>
  </si>
  <si>
    <t xml:space="preserve">11990.37</t>
  </si>
  <si>
    <t xml:space="preserve">2061.54</t>
  </si>
  <si>
    <t xml:space="preserve">03/12/2024</t>
  </si>
  <si>
    <t xml:space="preserve">17-03-2024</t>
  </si>
  <si>
    <t xml:space="preserve">855.81</t>
  </si>
  <si>
    <t xml:space="preserve">6846.48</t>
  </si>
  <si>
    <t xml:space="preserve">4239.89</t>
  </si>
  <si>
    <t xml:space="preserve">2606.59</t>
  </si>
  <si>
    <t xml:space="preserve">2025-10-10</t>
  </si>
  <si>
    <t xml:space="preserve">15 Oct 2025</t>
  </si>
  <si>
    <t xml:space="preserve">979.87</t>
  </si>
  <si>
    <t xml:space="preserve">7447.01</t>
  </si>
  <si>
    <t xml:space="preserve">4496.22</t>
  </si>
  <si>
    <t xml:space="preserve">2950.79</t>
  </si>
  <si>
    <t xml:space="preserve">07/08/2024</t>
  </si>
  <si>
    <t xml:space="preserve">07/14/2024</t>
  </si>
  <si>
    <t xml:space="preserve">1010.23</t>
  </si>
  <si>
    <t xml:space="preserve">3030.69</t>
  </si>
  <si>
    <t xml:space="preserve">1721.08</t>
  </si>
  <si>
    <t xml:space="preserve">1309.61</t>
  </si>
  <si>
    <t xml:space="preserve">06/22/2024</t>
  </si>
  <si>
    <t xml:space="preserve">25-06-2024</t>
  </si>
  <si>
    <t xml:space="preserve">3329.77</t>
  </si>
  <si>
    <t xml:space="preserve">26971.14</t>
  </si>
  <si>
    <t xml:space="preserve">17376.2</t>
  </si>
  <si>
    <t xml:space="preserve">9594.94</t>
  </si>
  <si>
    <t xml:space="preserve">18 Jan 2024</t>
  </si>
  <si>
    <t xml:space="preserve">24-01-2024</t>
  </si>
  <si>
    <t xml:space="preserve">3927.82</t>
  </si>
  <si>
    <t xml:space="preserve">29851.43</t>
  </si>
  <si>
    <t xml:space="preserve">17487.48</t>
  </si>
  <si>
    <t xml:space="preserve">12363.95</t>
  </si>
  <si>
    <t xml:space="preserve">19-07-2024</t>
  </si>
  <si>
    <t xml:space="preserve">2386.79</t>
  </si>
  <si>
    <t xml:space="preserve">16110.83</t>
  </si>
  <si>
    <t xml:space="preserve">10680.03</t>
  </si>
  <si>
    <t xml:space="preserve">5430.8</t>
  </si>
  <si>
    <t xml:space="preserve">12-08-2024</t>
  </si>
  <si>
    <t xml:space="preserve">2024-08-12</t>
  </si>
  <si>
    <t xml:space="preserve">2445.31</t>
  </si>
  <si>
    <t xml:space="preserve">17606.23</t>
  </si>
  <si>
    <t xml:space="preserve">12438.96</t>
  </si>
  <si>
    <t xml:space="preserve">5167.27</t>
  </si>
  <si>
    <t xml:space="preserve">30 Jan 2025</t>
  </si>
  <si>
    <t xml:space="preserve">05 Feb 2025</t>
  </si>
  <si>
    <t xml:space="preserve">4063.66</t>
  </si>
  <si>
    <t xml:space="preserve">28445.62</t>
  </si>
  <si>
    <t xml:space="preserve">20938.59</t>
  </si>
  <si>
    <t xml:space="preserve">7507.03</t>
  </si>
  <si>
    <t xml:space="preserve">2024-04-06</t>
  </si>
  <si>
    <t xml:space="preserve">13 Apr 2024</t>
  </si>
  <si>
    <t xml:space="preserve">792.11</t>
  </si>
  <si>
    <t xml:space="preserve">6772.54</t>
  </si>
  <si>
    <t xml:space="preserve">5755.46</t>
  </si>
  <si>
    <t xml:space="preserve">1017.08</t>
  </si>
  <si>
    <t xml:space="preserve">05/11/2025</t>
  </si>
  <si>
    <t xml:space="preserve">19 May 2025</t>
  </si>
  <si>
    <t xml:space="preserve">2382.8</t>
  </si>
  <si>
    <t xml:space="preserve">2025.38</t>
  </si>
  <si>
    <t xml:space="preserve">1140.65</t>
  </si>
  <si>
    <t xml:space="preserve">884.73</t>
  </si>
  <si>
    <t xml:space="preserve">24 Apr 2024</t>
  </si>
  <si>
    <t xml:space="preserve">29 Apr 2024</t>
  </si>
  <si>
    <t xml:space="preserve">1528.08</t>
  </si>
  <si>
    <t xml:space="preserve">9168.48</t>
  </si>
  <si>
    <t xml:space="preserve">7439.77</t>
  </si>
  <si>
    <t xml:space="preserve">1728.71</t>
  </si>
  <si>
    <t xml:space="preserve">26-10-2024</t>
  </si>
  <si>
    <t xml:space="preserve">2024-10-28</t>
  </si>
  <si>
    <t xml:space="preserve">1399.63</t>
  </si>
  <si>
    <t xml:space="preserve">12596.67</t>
  </si>
  <si>
    <t xml:space="preserve">10603.29</t>
  </si>
  <si>
    <t xml:space="preserve">1993.38</t>
  </si>
  <si>
    <t xml:space="preserve">31 Mar 2025</t>
  </si>
  <si>
    <t xml:space="preserve">2025-03-31</t>
  </si>
  <si>
    <t xml:space="preserve">1207.47</t>
  </si>
  <si>
    <t xml:space="preserve">5131.75</t>
  </si>
  <si>
    <t xml:space="preserve">2838.68</t>
  </si>
  <si>
    <t xml:space="preserve">2293.07</t>
  </si>
  <si>
    <t xml:space="preserve">30 May 2025</t>
  </si>
  <si>
    <t xml:space="preserve">2025-06-02</t>
  </si>
  <si>
    <t xml:space="preserve">474.37</t>
  </si>
  <si>
    <t xml:space="preserve">3415.46</t>
  </si>
  <si>
    <t xml:space="preserve">1993.23</t>
  </si>
  <si>
    <t xml:space="preserve">1422.23</t>
  </si>
  <si>
    <t xml:space="preserve">01-07-2025</t>
  </si>
  <si>
    <t xml:space="preserve">03-07-2025</t>
  </si>
  <si>
    <t xml:space="preserve">1516.24</t>
  </si>
  <si>
    <t xml:space="preserve">3411.54</t>
  </si>
  <si>
    <t xml:space="preserve">2803.13</t>
  </si>
  <si>
    <t xml:space="preserve">608.41</t>
  </si>
  <si>
    <t xml:space="preserve">2025-01-05</t>
  </si>
  <si>
    <t xml:space="preserve">06-01-2025</t>
  </si>
  <si>
    <t xml:space="preserve">3155.61</t>
  </si>
  <si>
    <t xml:space="preserve">9466.83</t>
  </si>
  <si>
    <t xml:space="preserve">6557.83</t>
  </si>
  <si>
    <t xml:space="preserve">2909</t>
  </si>
  <si>
    <t xml:space="preserve">2024-02-07</t>
  </si>
  <si>
    <t xml:space="preserve">15 Feb 2024</t>
  </si>
  <si>
    <t xml:space="preserve">255.87</t>
  </si>
  <si>
    <t xml:space="preserve">1279.35</t>
  </si>
  <si>
    <t xml:space="preserve">1091.54</t>
  </si>
  <si>
    <t xml:space="preserve">187.81</t>
  </si>
  <si>
    <t xml:space="preserve">2024-09-01</t>
  </si>
  <si>
    <t xml:space="preserve">2024-09-07</t>
  </si>
  <si>
    <t xml:space="preserve">1389.48</t>
  </si>
  <si>
    <t xml:space="preserve">11254.79</t>
  </si>
  <si>
    <t xml:space="preserve">6578.06</t>
  </si>
  <si>
    <t xml:space="preserve">4676.73</t>
  </si>
  <si>
    <t xml:space="preserve">20-07-2024</t>
  </si>
  <si>
    <t xml:space="preserve">25 Jul 2024</t>
  </si>
  <si>
    <t xml:space="preserve">4133.85</t>
  </si>
  <si>
    <t xml:space="preserve">16535.4</t>
  </si>
  <si>
    <t xml:space="preserve">12990.21</t>
  </si>
  <si>
    <t xml:space="preserve">3545.19</t>
  </si>
  <si>
    <t xml:space="preserve">07/13/2024</t>
  </si>
  <si>
    <t xml:space="preserve">2024-07-19</t>
  </si>
  <si>
    <t xml:space="preserve">275.76</t>
  </si>
  <si>
    <t xml:space="preserve">661.82</t>
  </si>
  <si>
    <t xml:space="preserve">481.47</t>
  </si>
  <si>
    <t xml:space="preserve">180.35</t>
  </si>
  <si>
    <t xml:space="preserve">16 Apr 2024</t>
  </si>
  <si>
    <t xml:space="preserve">04/16/2024</t>
  </si>
  <si>
    <t xml:space="preserve">949.59</t>
  </si>
  <si>
    <t xml:space="preserve">751.25</t>
  </si>
  <si>
    <t xml:space="preserve">198.34</t>
  </si>
  <si>
    <t xml:space="preserve">30 Oct 2024</t>
  </si>
  <si>
    <t xml:space="preserve">02-11-2024</t>
  </si>
  <si>
    <t xml:space="preserve">3042.29</t>
  </si>
  <si>
    <t xml:space="preserve">21904.49</t>
  </si>
  <si>
    <t xml:space="preserve">13570.55</t>
  </si>
  <si>
    <t xml:space="preserve">8333.94</t>
  </si>
  <si>
    <t xml:space="preserve">2024-01-25</t>
  </si>
  <si>
    <t xml:space="preserve">01-02-2024</t>
  </si>
  <si>
    <t xml:space="preserve">2832.77</t>
  </si>
  <si>
    <t xml:space="preserve">4815.71</t>
  </si>
  <si>
    <t xml:space="preserve">3027.75</t>
  </si>
  <si>
    <t xml:space="preserve">1917.47</t>
  </si>
  <si>
    <t xml:space="preserve">2024-12-23</t>
  </si>
  <si>
    <t xml:space="preserve">12/29/2024</t>
  </si>
  <si>
    <t xml:space="preserve">447.84</t>
  </si>
  <si>
    <t xml:space="preserve">3134.88</t>
  </si>
  <si>
    <t xml:space="preserve">2367.63</t>
  </si>
  <si>
    <t xml:space="preserve">767.25</t>
  </si>
  <si>
    <t xml:space="preserve">22 Apr 2024</t>
  </si>
  <si>
    <t xml:space="preserve">2024-04-27</t>
  </si>
  <si>
    <t xml:space="preserve">4280.19</t>
  </si>
  <si>
    <t xml:space="preserve">4066.18</t>
  </si>
  <si>
    <t xml:space="preserve">2628.92</t>
  </si>
  <si>
    <t xml:space="preserve">1437.26</t>
  </si>
  <si>
    <t xml:space="preserve">08/28/2025</t>
  </si>
  <si>
    <t xml:space="preserve">01 Sep 2025</t>
  </si>
  <si>
    <t xml:space="preserve">1057.46</t>
  </si>
  <si>
    <t xml:space="preserve">7032.11</t>
  </si>
  <si>
    <t xml:space="preserve">4610.34</t>
  </si>
  <si>
    <t xml:space="preserve">2421.77</t>
  </si>
  <si>
    <t xml:space="preserve">03 Feb 2025</t>
  </si>
  <si>
    <t xml:space="preserve">07-02-2025</t>
  </si>
  <si>
    <t xml:space="preserve">3609.34</t>
  </si>
  <si>
    <t xml:space="preserve">24002.11</t>
  </si>
  <si>
    <t xml:space="preserve">18707.57</t>
  </si>
  <si>
    <t xml:space="preserve">5294.54</t>
  </si>
  <si>
    <t xml:space="preserve">13 Nov 2024</t>
  </si>
  <si>
    <t xml:space="preserve">2211.12</t>
  </si>
  <si>
    <t xml:space="preserve">19900.08</t>
  </si>
  <si>
    <t xml:space="preserve">10962.66</t>
  </si>
  <si>
    <t xml:space="preserve">8937.42</t>
  </si>
  <si>
    <t xml:space="preserve">09 Apr 2024</t>
  </si>
  <si>
    <t xml:space="preserve">04/14/2024</t>
  </si>
  <si>
    <t xml:space="preserve">3417.09</t>
  </si>
  <si>
    <t xml:space="preserve">21527.67</t>
  </si>
  <si>
    <t xml:space="preserve">18287.58</t>
  </si>
  <si>
    <t xml:space="preserve">3240.09</t>
  </si>
  <si>
    <t xml:space="preserve">2025-08-22</t>
  </si>
  <si>
    <t xml:space="preserve">27 Aug 2025</t>
  </si>
  <si>
    <t xml:space="preserve">905.87</t>
  </si>
  <si>
    <t xml:space="preserve">1539.98</t>
  </si>
  <si>
    <t xml:space="preserve">1070.2</t>
  </si>
  <si>
    <t xml:space="preserve">469.78</t>
  </si>
  <si>
    <t xml:space="preserve">2025-04-23</t>
  </si>
  <si>
    <t xml:space="preserve">2027.32</t>
  </si>
  <si>
    <t xml:space="preserve">10947.53</t>
  </si>
  <si>
    <t xml:space="preserve">6447.36</t>
  </si>
  <si>
    <t xml:space="preserve">4500.17</t>
  </si>
  <si>
    <t xml:space="preserve">2024-02-11</t>
  </si>
  <si>
    <t xml:space="preserve">07 Feb 2024</t>
  </si>
  <si>
    <t xml:space="preserve">2287.47</t>
  </si>
  <si>
    <t xml:space="preserve">13610.45</t>
  </si>
  <si>
    <t xml:space="preserve">10039.05</t>
  </si>
  <si>
    <t xml:space="preserve">3571.4</t>
  </si>
  <si>
    <t xml:space="preserve">29-03-2025</t>
  </si>
  <si>
    <t xml:space="preserve">04/03/2025</t>
  </si>
  <si>
    <t xml:space="preserve">1425.74</t>
  </si>
  <si>
    <t xml:space="preserve">7128.7</t>
  </si>
  <si>
    <t xml:space="preserve">4382.15</t>
  </si>
  <si>
    <t xml:space="preserve">2746.55</t>
  </si>
  <si>
    <t xml:space="preserve">02/27/2025</t>
  </si>
  <si>
    <t xml:space="preserve">2025-03-01</t>
  </si>
  <si>
    <t xml:space="preserve">551.64</t>
  </si>
  <si>
    <t xml:space="preserve">3309.84</t>
  </si>
  <si>
    <t xml:space="preserve">2671.08</t>
  </si>
  <si>
    <t xml:space="preserve">638.76</t>
  </si>
  <si>
    <t xml:space="preserve">22-08-2025</t>
  </si>
  <si>
    <t xml:space="preserve">08/27/2025</t>
  </si>
  <si>
    <t xml:space="preserve">3294.82</t>
  </si>
  <si>
    <t xml:space="preserve">7907.57</t>
  </si>
  <si>
    <t xml:space="preserve">5391.18</t>
  </si>
  <si>
    <t xml:space="preserve">2516.39</t>
  </si>
  <si>
    <t xml:space="preserve">03 Nov 2024</t>
  </si>
  <si>
    <t xml:space="preserve">11-11-2024</t>
  </si>
  <si>
    <t xml:space="preserve">3406.27</t>
  </si>
  <si>
    <t xml:space="preserve">10218.81</t>
  </si>
  <si>
    <t xml:space="preserve">7616.97</t>
  </si>
  <si>
    <t xml:space="preserve">2601.84</t>
  </si>
  <si>
    <t xml:space="preserve">07/08/2025</t>
  </si>
  <si>
    <t xml:space="preserve">12-07-2025</t>
  </si>
  <si>
    <t xml:space="preserve">2582.2</t>
  </si>
  <si>
    <t xml:space="preserve">2194.87</t>
  </si>
  <si>
    <t xml:space="preserve">1223.17</t>
  </si>
  <si>
    <t xml:space="preserve">971.7</t>
  </si>
  <si>
    <t xml:space="preserve">07/16/2025</t>
  </si>
  <si>
    <t xml:space="preserve">21-07-2025</t>
  </si>
  <si>
    <t xml:space="preserve">2129.51</t>
  </si>
  <si>
    <t xml:space="preserve">9050.42</t>
  </si>
  <si>
    <t xml:space="preserve">6778.85</t>
  </si>
  <si>
    <t xml:space="preserve">2271.57</t>
  </si>
  <si>
    <t xml:space="preserve">2025-09-27</t>
  </si>
  <si>
    <t xml:space="preserve">2025-10-03</t>
  </si>
  <si>
    <t xml:space="preserve">4131.52</t>
  </si>
  <si>
    <t xml:space="preserve">33465.31</t>
  </si>
  <si>
    <t xml:space="preserve">24781.26</t>
  </si>
  <si>
    <t xml:space="preserve">8684.05</t>
  </si>
  <si>
    <t xml:space="preserve">2024-08-10</t>
  </si>
  <si>
    <t xml:space="preserve">2024-08-14</t>
  </si>
  <si>
    <t xml:space="preserve">1182.32</t>
  </si>
  <si>
    <t xml:space="preserve">4256.35</t>
  </si>
  <si>
    <t xml:space="preserve">2495.33</t>
  </si>
  <si>
    <t xml:space="preserve">1761.02</t>
  </si>
  <si>
    <t xml:space="preserve">2025-03-16</t>
  </si>
  <si>
    <t xml:space="preserve">17-03-2025</t>
  </si>
  <si>
    <t xml:space="preserve">1841.91</t>
  </si>
  <si>
    <t xml:space="preserve">5525.73</t>
  </si>
  <si>
    <t xml:space="preserve">3093.42</t>
  </si>
  <si>
    <t xml:space="preserve">2432.31</t>
  </si>
  <si>
    <t xml:space="preserve">2024-08-03</t>
  </si>
  <si>
    <t xml:space="preserve">04-08-2024</t>
  </si>
  <si>
    <t xml:space="preserve">1001.73</t>
  </si>
  <si>
    <t xml:space="preserve">6010.38</t>
  </si>
  <si>
    <t xml:space="preserve">3762.85</t>
  </si>
  <si>
    <t xml:space="preserve">2247.53</t>
  </si>
  <si>
    <t xml:space="preserve">29-10-2024</t>
  </si>
  <si>
    <t xml:space="preserve">131.74</t>
  </si>
  <si>
    <t xml:space="preserve">948.53</t>
  </si>
  <si>
    <t xml:space="preserve">674.62</t>
  </si>
  <si>
    <t xml:space="preserve">273.91</t>
  </si>
  <si>
    <t xml:space="preserve">01 Oct 2024</t>
  </si>
  <si>
    <t xml:space="preserve">2024-10-03</t>
  </si>
  <si>
    <t xml:space="preserve">570.28</t>
  </si>
  <si>
    <t xml:space="preserve">2737.34</t>
  </si>
  <si>
    <t xml:space="preserve">2085.44</t>
  </si>
  <si>
    <t xml:space="preserve">651.9</t>
  </si>
  <si>
    <t xml:space="preserve">2024-07-30</t>
  </si>
  <si>
    <t xml:space="preserve">08/05/2024</t>
  </si>
  <si>
    <t xml:space="preserve">608.64</t>
  </si>
  <si>
    <t xml:space="preserve">343.99</t>
  </si>
  <si>
    <t xml:space="preserve">264.65</t>
  </si>
  <si>
    <t xml:space="preserve">01 Jul 2024</t>
  </si>
  <si>
    <t xml:space="preserve">885.28</t>
  </si>
  <si>
    <t xml:space="preserve">2390.26</t>
  </si>
  <si>
    <t xml:space="preserve">1495.94</t>
  </si>
  <si>
    <t xml:space="preserve">894.32</t>
  </si>
  <si>
    <t xml:space="preserve">02-08-2024</t>
  </si>
  <si>
    <t xml:space="preserve">3345.22</t>
  </si>
  <si>
    <t xml:space="preserve">23416.54</t>
  </si>
  <si>
    <t xml:space="preserve">15490.89</t>
  </si>
  <si>
    <t xml:space="preserve">7925.65</t>
  </si>
  <si>
    <t xml:space="preserve">03/24/2024</t>
  </si>
  <si>
    <t xml:space="preserve">27 Mar 2024</t>
  </si>
  <si>
    <t xml:space="preserve">3284.75</t>
  </si>
  <si>
    <t xml:space="preserve">6241.02</t>
  </si>
  <si>
    <t xml:space="preserve">5345.88</t>
  </si>
  <si>
    <t xml:space="preserve">895.14</t>
  </si>
  <si>
    <t xml:space="preserve">3761.09</t>
  </si>
  <si>
    <t xml:space="preserve">21062.1</t>
  </si>
  <si>
    <t xml:space="preserve">12057.13</t>
  </si>
  <si>
    <t xml:space="preserve">9004.97</t>
  </si>
  <si>
    <t xml:space="preserve">08/24/2025</t>
  </si>
  <si>
    <t xml:space="preserve">3703.96</t>
  </si>
  <si>
    <t xml:space="preserve">9445.1</t>
  </si>
  <si>
    <t xml:space="preserve">5586.28</t>
  </si>
  <si>
    <t xml:space="preserve">3858.82</t>
  </si>
  <si>
    <t xml:space="preserve">02-03-2025</t>
  </si>
  <si>
    <t xml:space="preserve">03/08/2025</t>
  </si>
  <si>
    <t xml:space="preserve">269.68</t>
  </si>
  <si>
    <t xml:space="preserve">2427.12</t>
  </si>
  <si>
    <t xml:space="preserve">1538.35</t>
  </si>
  <si>
    <t xml:space="preserve">804.53</t>
  </si>
  <si>
    <t xml:space="preserve">01/26/2025</t>
  </si>
  <si>
    <t xml:space="preserve">4458.26</t>
  </si>
  <si>
    <t xml:space="preserve">36111.91</t>
  </si>
  <si>
    <t xml:space="preserve">29194.5</t>
  </si>
  <si>
    <t xml:space="preserve">6917.41</t>
  </si>
  <si>
    <t xml:space="preserve">13-01-2024</t>
  </si>
  <si>
    <t xml:space="preserve">2788.97</t>
  </si>
  <si>
    <t xml:space="preserve">19522.79</t>
  </si>
  <si>
    <t xml:space="preserve">12455.78</t>
  </si>
  <si>
    <t xml:space="preserve">7067.01</t>
  </si>
  <si>
    <t xml:space="preserve">09/06/2024</t>
  </si>
  <si>
    <t xml:space="preserve">09 Sep 2024</t>
  </si>
  <si>
    <t xml:space="preserve">3781.53</t>
  </si>
  <si>
    <t xml:space="preserve">26470.71</t>
  </si>
  <si>
    <t xml:space="preserve">21367.6</t>
  </si>
  <si>
    <t xml:space="preserve">5103.11</t>
  </si>
  <si>
    <t xml:space="preserve">05-09-2025</t>
  </si>
  <si>
    <t xml:space="preserve">09/10/2025</t>
  </si>
  <si>
    <t xml:space="preserve">1754.13</t>
  </si>
  <si>
    <t xml:space="preserve">10524.78</t>
  </si>
  <si>
    <t xml:space="preserve">8841.05</t>
  </si>
  <si>
    <t xml:space="preserve">1683.73</t>
  </si>
  <si>
    <t xml:space="preserve">05 Jun 2024</t>
  </si>
  <si>
    <t xml:space="preserve">07-06-2024</t>
  </si>
  <si>
    <t xml:space="preserve">2259.24</t>
  </si>
  <si>
    <t xml:space="preserve">3840.71</t>
  </si>
  <si>
    <t xml:space="preserve">2516.29</t>
  </si>
  <si>
    <t xml:space="preserve">1324.42</t>
  </si>
  <si>
    <t xml:space="preserve">08 Aug 2025</t>
  </si>
  <si>
    <t xml:space="preserve">2025-08-11</t>
  </si>
  <si>
    <t xml:space="preserve">3602.36</t>
  </si>
  <si>
    <t xml:space="preserve">14409.44</t>
  </si>
  <si>
    <t xml:space="preserve">8809.97</t>
  </si>
  <si>
    <t xml:space="preserve">5599.47</t>
  </si>
  <si>
    <t xml:space="preserve">2024-01-26</t>
  </si>
  <si>
    <t xml:space="preserve">02/01/2024</t>
  </si>
  <si>
    <t xml:space="preserve">2108.93</t>
  </si>
  <si>
    <t xml:space="preserve">15184.3</t>
  </si>
  <si>
    <t xml:space="preserve">11270.74</t>
  </si>
  <si>
    <t xml:space="preserve">3913.56</t>
  </si>
  <si>
    <t xml:space="preserve">11-01-2025</t>
  </si>
  <si>
    <t xml:space="preserve">2165.29</t>
  </si>
  <si>
    <t xml:space="preserve">6495.87</t>
  </si>
  <si>
    <t xml:space="preserve">4700.89</t>
  </si>
  <si>
    <t xml:space="preserve">1794.98</t>
  </si>
  <si>
    <t xml:space="preserve">12 Sep 2025</t>
  </si>
  <si>
    <t xml:space="preserve">18 Sep 2025</t>
  </si>
  <si>
    <t xml:space="preserve">1673.8</t>
  </si>
  <si>
    <t xml:space="preserve">9540.66</t>
  </si>
  <si>
    <t xml:space="preserve">5561.49</t>
  </si>
  <si>
    <t xml:space="preserve">3979.17</t>
  </si>
  <si>
    <t xml:space="preserve">26-06-2024</t>
  </si>
  <si>
    <t xml:space="preserve">4396.52</t>
  </si>
  <si>
    <t xml:space="preserve">16486.95</t>
  </si>
  <si>
    <t xml:space="preserve">12054.14</t>
  </si>
  <si>
    <t xml:space="preserve">4432.81</t>
  </si>
  <si>
    <t xml:space="preserve">12 Jul 2025</t>
  </si>
  <si>
    <t xml:space="preserve">2025-07-16</t>
  </si>
  <si>
    <t xml:space="preserve">2865.71</t>
  </si>
  <si>
    <t xml:space="preserve">11462.84</t>
  </si>
  <si>
    <t xml:space="preserve">8979.78</t>
  </si>
  <si>
    <t xml:space="preserve">2483.06</t>
  </si>
  <si>
    <t xml:space="preserve">05/02/2025</t>
  </si>
  <si>
    <t xml:space="preserve">05/10/2025</t>
  </si>
  <si>
    <t xml:space="preserve">2440.34</t>
  </si>
  <si>
    <t xml:space="preserve">7809.09</t>
  </si>
  <si>
    <t xml:space="preserve">6657.75</t>
  </si>
  <si>
    <t xml:space="preserve">1151.34</t>
  </si>
  <si>
    <t xml:space="preserve">2025-02-01</t>
  </si>
  <si>
    <t xml:space="preserve">02/08/2025</t>
  </si>
  <si>
    <t xml:space="preserve">2112.54</t>
  </si>
  <si>
    <t xml:space="preserve">8260.46</t>
  </si>
  <si>
    <t xml:space="preserve">5619.95</t>
  </si>
  <si>
    <t xml:space="preserve">2302.08</t>
  </si>
  <si>
    <t xml:space="preserve">06/24/2024</t>
  </si>
  <si>
    <t xml:space="preserve">29-06-2024</t>
  </si>
  <si>
    <t xml:space="preserve">685</t>
  </si>
  <si>
    <t xml:space="preserve">1233</t>
  </si>
  <si>
    <t xml:space="preserve">1006.9</t>
  </si>
  <si>
    <t xml:space="preserve">226.1</t>
  </si>
  <si>
    <t xml:space="preserve">20-02-2024</t>
  </si>
  <si>
    <t xml:space="preserve">28 Feb 2024</t>
  </si>
  <si>
    <t xml:space="preserve">4004.04</t>
  </si>
  <si>
    <t xml:space="preserve">7207.27</t>
  </si>
  <si>
    <t xml:space="preserve">5709.39</t>
  </si>
  <si>
    <t xml:space="preserve">1497.88</t>
  </si>
  <si>
    <t xml:space="preserve">29 Oct 2024</t>
  </si>
  <si>
    <t xml:space="preserve">2024-11-04</t>
  </si>
  <si>
    <t xml:space="preserve">4302.89</t>
  </si>
  <si>
    <t xml:space="preserve">12263.24</t>
  </si>
  <si>
    <t xml:space="preserve">8925.57</t>
  </si>
  <si>
    <t xml:space="preserve">3337.67</t>
  </si>
  <si>
    <t xml:space="preserve">15 Aug 2024</t>
  </si>
  <si>
    <t xml:space="preserve">08/23/2024</t>
  </si>
  <si>
    <t xml:space="preserve">537.54</t>
  </si>
  <si>
    <t xml:space="preserve">806.31</t>
  </si>
  <si>
    <t xml:space="preserve">498.5</t>
  </si>
  <si>
    <t xml:space="preserve">307.81</t>
  </si>
  <si>
    <t xml:space="preserve">23-08-2025</t>
  </si>
  <si>
    <t xml:space="preserve">2788.62</t>
  </si>
  <si>
    <t xml:space="preserve">2091.47</t>
  </si>
  <si>
    <t xml:space="preserve">1317.22</t>
  </si>
  <si>
    <t xml:space="preserve">774.25</t>
  </si>
  <si>
    <t xml:space="preserve">10/18/2024</t>
  </si>
  <si>
    <t xml:space="preserve">2024-10-24</t>
  </si>
  <si>
    <t xml:space="preserve">2250.47</t>
  </si>
  <si>
    <t xml:space="preserve">4500.94</t>
  </si>
  <si>
    <t xml:space="preserve">2607.73</t>
  </si>
  <si>
    <t xml:space="preserve">1893.21</t>
  </si>
  <si>
    <t xml:space="preserve">06/27/2025</t>
  </si>
  <si>
    <t xml:space="preserve">2025-06-30</t>
  </si>
  <si>
    <t xml:space="preserve">1708.44</t>
  </si>
  <si>
    <t xml:space="preserve">1623.02</t>
  </si>
  <si>
    <t xml:space="preserve">1077.46</t>
  </si>
  <si>
    <t xml:space="preserve">545.56</t>
  </si>
  <si>
    <t xml:space="preserve">10 Jan 2024</t>
  </si>
  <si>
    <t xml:space="preserve">14-01-2024</t>
  </si>
  <si>
    <t xml:space="preserve">3829.48</t>
  </si>
  <si>
    <t xml:space="preserve">10914.02</t>
  </si>
  <si>
    <t xml:space="preserve">6548.74</t>
  </si>
  <si>
    <t xml:space="preserve">4365.28</t>
  </si>
  <si>
    <t xml:space="preserve">12-02-2024</t>
  </si>
  <si>
    <t xml:space="preserve">1089.15</t>
  </si>
  <si>
    <t xml:space="preserve">2450.59</t>
  </si>
  <si>
    <t xml:space="preserve">1639.89</t>
  </si>
  <si>
    <t xml:space="preserve">810.7</t>
  </si>
  <si>
    <t xml:space="preserve">2024-09-25</t>
  </si>
  <si>
    <t xml:space="preserve">30 Sep 2024</t>
  </si>
  <si>
    <t xml:space="preserve">4388.4</t>
  </si>
  <si>
    <t xml:space="preserve">3949.56</t>
  </si>
  <si>
    <t xml:space="preserve">3186.73</t>
  </si>
  <si>
    <t xml:space="preserve">762.83</t>
  </si>
  <si>
    <t xml:space="preserve">2024-12-27</t>
  </si>
  <si>
    <t xml:space="preserve">01-01-2025</t>
  </si>
  <si>
    <t xml:space="preserve">446.34</t>
  </si>
  <si>
    <t xml:space="preserve">758.78</t>
  </si>
  <si>
    <t xml:space="preserve">490.74</t>
  </si>
  <si>
    <t xml:space="preserve">268.04</t>
  </si>
  <si>
    <t xml:space="preserve">2025-02-15</t>
  </si>
  <si>
    <t xml:space="preserve">19 Feb 2025</t>
  </si>
  <si>
    <t xml:space="preserve">531.99</t>
  </si>
  <si>
    <t xml:space="preserve">3590.93</t>
  </si>
  <si>
    <t xml:space="preserve">3061.39</t>
  </si>
  <si>
    <t xml:space="preserve">529.54</t>
  </si>
  <si>
    <t xml:space="preserve">2024-02-15</t>
  </si>
  <si>
    <t xml:space="preserve">17 Feb 2024</t>
  </si>
  <si>
    <t xml:space="preserve">3324.55</t>
  </si>
  <si>
    <t xml:space="preserve">25432.81</t>
  </si>
  <si>
    <t xml:space="preserve">20370.16</t>
  </si>
  <si>
    <t xml:space="preserve">5062.65</t>
  </si>
  <si>
    <t xml:space="preserve">06/10/2024</t>
  </si>
  <si>
    <t xml:space="preserve">2024-06-18</t>
  </si>
  <si>
    <t xml:space="preserve">Vikram  Iyer</t>
  </si>
  <si>
    <t xml:space="preserve">1580.27</t>
  </si>
  <si>
    <t xml:space="preserve">6321.08</t>
  </si>
  <si>
    <t xml:space="preserve">4407.22</t>
  </si>
  <si>
    <t xml:space="preserve">1913.86</t>
  </si>
  <si>
    <t xml:space="preserve">12 Jun 2024</t>
  </si>
  <si>
    <t xml:space="preserve">19 Jun 2024</t>
  </si>
  <si>
    <t xml:space="preserve">314.05</t>
  </si>
  <si>
    <t xml:space="preserve">1884.3</t>
  </si>
  <si>
    <t xml:space="preserve">1517.69</t>
  </si>
  <si>
    <t xml:space="preserve">366.61</t>
  </si>
  <si>
    <t xml:space="preserve">2024-08-18</t>
  </si>
  <si>
    <t xml:space="preserve">1823.67</t>
  </si>
  <si>
    <t xml:space="preserve">1458.94</t>
  </si>
  <si>
    <t xml:space="preserve">893.2</t>
  </si>
  <si>
    <t xml:space="preserve">565.74</t>
  </si>
  <si>
    <t xml:space="preserve">08/22/2025</t>
  </si>
  <si>
    <t xml:space="preserve">08/26/2025</t>
  </si>
  <si>
    <t xml:space="preserve">Small  Business</t>
  </si>
  <si>
    <t xml:space="preserve">3482.92</t>
  </si>
  <si>
    <t xml:space="preserve">17414.6</t>
  </si>
  <si>
    <t xml:space="preserve">11760.91</t>
  </si>
  <si>
    <t xml:space="preserve">5653.69</t>
  </si>
  <si>
    <t xml:space="preserve">11/30/2024</t>
  </si>
  <si>
    <t xml:space="preserve">04-12-2024</t>
  </si>
  <si>
    <t xml:space="preserve">170.35</t>
  </si>
  <si>
    <t xml:space="preserve">511.05</t>
  </si>
  <si>
    <t xml:space="preserve">367.18</t>
  </si>
  <si>
    <t xml:space="preserve">143.87</t>
  </si>
  <si>
    <t xml:space="preserve">07/24/2024</t>
  </si>
  <si>
    <t xml:space="preserve">465.06</t>
  </si>
  <si>
    <t xml:space="preserve">4185.54</t>
  </si>
  <si>
    <t xml:space="preserve">3443.74</t>
  </si>
  <si>
    <t xml:space="preserve">741.8</t>
  </si>
  <si>
    <t xml:space="preserve">2025-07-17</t>
  </si>
  <si>
    <t xml:space="preserve">18-07-2025</t>
  </si>
  <si>
    <t xml:space="preserve">3235.27</t>
  </si>
  <si>
    <t xml:space="preserve">14558.72</t>
  </si>
  <si>
    <t xml:space="preserve">9591.48</t>
  </si>
  <si>
    <t xml:space="preserve">4967.24</t>
  </si>
  <si>
    <t xml:space="preserve">24-09-2025</t>
  </si>
  <si>
    <t xml:space="preserve">26 Sep 2025</t>
  </si>
  <si>
    <t xml:space="preserve">1593.86</t>
  </si>
  <si>
    <t xml:space="preserve">4303.42</t>
  </si>
  <si>
    <t xml:space="preserve">2568.57</t>
  </si>
  <si>
    <t xml:space="preserve">1734.85</t>
  </si>
  <si>
    <t xml:space="preserve">13 Dec 2024</t>
  </si>
  <si>
    <t xml:space="preserve">16 Dec 2024</t>
  </si>
  <si>
    <t xml:space="preserve">923.45</t>
  </si>
  <si>
    <t xml:space="preserve">4386.39</t>
  </si>
  <si>
    <t xml:space="preserve">3366.88</t>
  </si>
  <si>
    <t xml:space="preserve">1019.51</t>
  </si>
  <si>
    <t xml:space="preserve">25-07-2024</t>
  </si>
  <si>
    <t xml:space="preserve">2741.29</t>
  </si>
  <si>
    <t xml:space="preserve">18229.58</t>
  </si>
  <si>
    <t xml:space="preserve">15139.15</t>
  </si>
  <si>
    <t xml:space="preserve">3090.43</t>
  </si>
  <si>
    <t xml:space="preserve">2024-01-27</t>
  </si>
  <si>
    <t xml:space="preserve">02 Feb 2024</t>
  </si>
  <si>
    <t xml:space="preserve">218.42</t>
  </si>
  <si>
    <t xml:space="preserve">873.68</t>
  </si>
  <si>
    <t xml:space="preserve">661.72</t>
  </si>
  <si>
    <t xml:space="preserve">211.96</t>
  </si>
  <si>
    <t xml:space="preserve">09/29/2025</t>
  </si>
  <si>
    <t xml:space="preserve">2025-10-04</t>
  </si>
  <si>
    <t xml:space="preserve">373.91</t>
  </si>
  <si>
    <t xml:space="preserve">2692.15</t>
  </si>
  <si>
    <t xml:space="preserve">2044.49</t>
  </si>
  <si>
    <t xml:space="preserve">647.66</t>
  </si>
  <si>
    <t xml:space="preserve">04 Nov 2024</t>
  </si>
  <si>
    <t xml:space="preserve">533.08</t>
  </si>
  <si>
    <t xml:space="preserve">1066.16</t>
  </si>
  <si>
    <t xml:space="preserve">656.3</t>
  </si>
  <si>
    <t xml:space="preserve">409.86</t>
  </si>
  <si>
    <t xml:space="preserve">07/14/2025</t>
  </si>
  <si>
    <t xml:space="preserve">2025-07-14</t>
  </si>
  <si>
    <t xml:space="preserve">383.1</t>
  </si>
  <si>
    <t xml:space="preserve">1436.62</t>
  </si>
  <si>
    <t xml:space="preserve">912.52</t>
  </si>
  <si>
    <t xml:space="preserve">524.1</t>
  </si>
  <si>
    <t xml:space="preserve">2025-08-24</t>
  </si>
  <si>
    <t xml:space="preserve">3424.78</t>
  </si>
  <si>
    <t xml:space="preserve">1951.45</t>
  </si>
  <si>
    <t xml:space="preserve">1473.33</t>
  </si>
  <si>
    <t xml:space="preserve">09-02-2025</t>
  </si>
  <si>
    <t xml:space="preserve">15-02-2025</t>
  </si>
  <si>
    <t xml:space="preserve">Standard  Class</t>
  </si>
  <si>
    <t xml:space="preserve">4330.33</t>
  </si>
  <si>
    <t xml:space="preserve">31178.38</t>
  </si>
  <si>
    <t xml:space="preserve">21421.09</t>
  </si>
  <si>
    <t xml:space="preserve">9757.29</t>
  </si>
  <si>
    <t xml:space="preserve">01/09/2025</t>
  </si>
  <si>
    <t xml:space="preserve">2025-01-09</t>
  </si>
  <si>
    <t xml:space="preserve">2667.07</t>
  </si>
  <si>
    <t xml:space="preserve">19202.9</t>
  </si>
  <si>
    <t xml:space="preserve">15526.62</t>
  </si>
  <si>
    <t xml:space="preserve">3676.28</t>
  </si>
  <si>
    <t xml:space="preserve">2024-01-20</t>
  </si>
  <si>
    <t xml:space="preserve">26-01-2024</t>
  </si>
  <si>
    <t xml:space="preserve">4003.05</t>
  </si>
  <si>
    <t xml:space="preserve">24018.3</t>
  </si>
  <si>
    <t xml:space="preserve">14070.78</t>
  </si>
  <si>
    <t xml:space="preserve">9947.52</t>
  </si>
  <si>
    <t xml:space="preserve">03/02/2025</t>
  </si>
  <si>
    <t xml:space="preserve">07-03-2025</t>
  </si>
  <si>
    <t xml:space="preserve">1287.63</t>
  </si>
  <si>
    <t xml:space="preserve">10301.04</t>
  </si>
  <si>
    <t xml:space="preserve">6564.06</t>
  </si>
  <si>
    <t xml:space="preserve">3736.98</t>
  </si>
  <si>
    <t xml:space="preserve">31-05-2024</t>
  </si>
  <si>
    <t xml:space="preserve">01 Jun 2024</t>
  </si>
  <si>
    <t xml:space="preserve">2914.55</t>
  </si>
  <si>
    <t xml:space="preserve">8743.65</t>
  </si>
  <si>
    <t xml:space="preserve">6603.76</t>
  </si>
  <si>
    <t xml:space="preserve">2139.89</t>
  </si>
  <si>
    <t xml:space="preserve">03/23/2024</t>
  </si>
  <si>
    <t xml:space="preserve">2024-03-29</t>
  </si>
  <si>
    <t xml:space="preserve">634.29</t>
  </si>
  <si>
    <t xml:space="preserve">3996.03</t>
  </si>
  <si>
    <t xml:space="preserve">2859.51</t>
  </si>
  <si>
    <t xml:space="preserve">1136.52</t>
  </si>
  <si>
    <t xml:space="preserve">30 Mar 2024</t>
  </si>
  <si>
    <t xml:space="preserve">26 Mar 2024</t>
  </si>
  <si>
    <t xml:space="preserve">907.54</t>
  </si>
  <si>
    <t xml:space="preserve">3857.04</t>
  </si>
  <si>
    <t xml:space="preserve">2769.26</t>
  </si>
  <si>
    <t xml:space="preserve">1087.78</t>
  </si>
  <si>
    <t xml:space="preserve">2024-03-26</t>
  </si>
  <si>
    <t xml:space="preserve">3409.5</t>
  </si>
  <si>
    <t xml:space="preserve">3068.55</t>
  </si>
  <si>
    <t xml:space="preserve">1916.16</t>
  </si>
  <si>
    <t xml:space="preserve">1152.39</t>
  </si>
  <si>
    <t xml:space="preserve">2024-06-15</t>
  </si>
  <si>
    <t xml:space="preserve">2147.99</t>
  </si>
  <si>
    <t xml:space="preserve">11276.95</t>
  </si>
  <si>
    <t xml:space="preserve">6908.76</t>
  </si>
  <si>
    <t xml:space="preserve">4368.19</t>
  </si>
  <si>
    <t xml:space="preserve">11-04-2025</t>
  </si>
  <si>
    <t xml:space="preserve">04/13/2025</t>
  </si>
  <si>
    <t xml:space="preserve">4182.15</t>
  </si>
  <si>
    <t xml:space="preserve">15055.74</t>
  </si>
  <si>
    <t xml:space="preserve">9808.83</t>
  </si>
  <si>
    <t xml:space="preserve">5246.91</t>
  </si>
  <si>
    <t xml:space="preserve">30 Jul 2025</t>
  </si>
  <si>
    <t xml:space="preserve">08/01/2025</t>
  </si>
  <si>
    <t xml:space="preserve">3165.43</t>
  </si>
  <si>
    <t xml:space="preserve">25639.98</t>
  </si>
  <si>
    <t xml:space="preserve">21635.08</t>
  </si>
  <si>
    <t xml:space="preserve">4004.9</t>
  </si>
  <si>
    <t xml:space="preserve">23-12-2024</t>
  </si>
  <si>
    <t xml:space="preserve">2024-12-30</t>
  </si>
  <si>
    <t xml:space="preserve">386.1</t>
  </si>
  <si>
    <t xml:space="preserve">2779.92</t>
  </si>
  <si>
    <t xml:space="preserve">1744.05</t>
  </si>
  <si>
    <t xml:space="preserve">1035.87</t>
  </si>
  <si>
    <t xml:space="preserve">09 Feb 2025</t>
  </si>
  <si>
    <t xml:space="preserve">13-02-2025</t>
  </si>
  <si>
    <t xml:space="preserve">1696.07</t>
  </si>
  <si>
    <t xml:space="preserve">10176.42</t>
  </si>
  <si>
    <t xml:space="preserve">7604.47</t>
  </si>
  <si>
    <t xml:space="preserve">2571.95</t>
  </si>
  <si>
    <t xml:space="preserve">30-01-2024</t>
  </si>
  <si>
    <t xml:space="preserve">west</t>
  </si>
  <si>
    <t xml:space="preserve">2527.61</t>
  </si>
  <si>
    <t xml:space="preserve">13269.95</t>
  </si>
  <si>
    <t xml:space="preserve">8977.1</t>
  </si>
  <si>
    <t xml:space="preserve">4292.85</t>
  </si>
  <si>
    <t xml:space="preserve">04-03-2024</t>
  </si>
  <si>
    <t xml:space="preserve">2024-03-12</t>
  </si>
  <si>
    <t xml:space="preserve">1554.12</t>
  </si>
  <si>
    <t xml:space="preserve">1398.71</t>
  </si>
  <si>
    <t xml:space="preserve">1056.92</t>
  </si>
  <si>
    <t xml:space="preserve">341.79</t>
  </si>
  <si>
    <t xml:space="preserve">27 Jun 2024</t>
  </si>
  <si>
    <t xml:space="preserve">06/27/2024</t>
  </si>
  <si>
    <t xml:space="preserve">3859.11</t>
  </si>
  <si>
    <t xml:space="preserve">7718.22</t>
  </si>
  <si>
    <t xml:space="preserve">5355.93</t>
  </si>
  <si>
    <t xml:space="preserve">2362.29</t>
  </si>
  <si>
    <t xml:space="preserve">14 Jun 2024</t>
  </si>
  <si>
    <t xml:space="preserve">06/17/2024</t>
  </si>
  <si>
    <t xml:space="preserve">1088.04</t>
  </si>
  <si>
    <t xml:space="preserve">5875.42</t>
  </si>
  <si>
    <t xml:space="preserve">4380.55</t>
  </si>
  <si>
    <t xml:space="preserve">1494.87</t>
  </si>
  <si>
    <t xml:space="preserve">23 Sep 2025</t>
  </si>
  <si>
    <t xml:space="preserve">2025-09-25</t>
  </si>
  <si>
    <t xml:space="preserve">3280.31</t>
  </si>
  <si>
    <t xml:space="preserve">22962.17</t>
  </si>
  <si>
    <t xml:space="preserve">15716.5</t>
  </si>
  <si>
    <t xml:space="preserve">7245.67</t>
  </si>
  <si>
    <t xml:space="preserve">12 Feb 2024</t>
  </si>
  <si>
    <t xml:space="preserve">02/11/2024</t>
  </si>
  <si>
    <t xml:space="preserve">2599.12</t>
  </si>
  <si>
    <t xml:space="preserve">2209.25</t>
  </si>
  <si>
    <t xml:space="preserve">1523.78</t>
  </si>
  <si>
    <t xml:space="preserve">685.47</t>
  </si>
  <si>
    <t xml:space="preserve">2859.32</t>
  </si>
  <si>
    <t xml:space="preserve">7720.16</t>
  </si>
  <si>
    <t xml:space="preserve">5881</t>
  </si>
  <si>
    <t xml:space="preserve">1839.16</t>
  </si>
  <si>
    <t xml:space="preserve">27-03-2025</t>
  </si>
  <si>
    <t xml:space="preserve">27 Mar 2025</t>
  </si>
  <si>
    <t xml:space="preserve">2305.37</t>
  </si>
  <si>
    <t xml:space="preserve">12103.19</t>
  </si>
  <si>
    <t xml:space="preserve">6717.87</t>
  </si>
  <si>
    <t xml:space="preserve">5385.32</t>
  </si>
  <si>
    <t xml:space="preserve">10/22/2024</t>
  </si>
  <si>
    <t xml:space="preserve">24-10-2024</t>
  </si>
  <si>
    <t xml:space="preserve">915.84</t>
  </si>
  <si>
    <t xml:space="preserve">2335.39</t>
  </si>
  <si>
    <t xml:space="preserve">1466.15</t>
  </si>
  <si>
    <t xml:space="preserve">869.24</t>
  </si>
  <si>
    <t xml:space="preserve">2024-09-09</t>
  </si>
  <si>
    <t xml:space="preserve">09/11/2024</t>
  </si>
  <si>
    <t xml:space="preserve">4199.54</t>
  </si>
  <si>
    <t xml:space="preserve">3989.56</t>
  </si>
  <si>
    <t xml:space="preserve">2381.38</t>
  </si>
  <si>
    <t xml:space="preserve">1608.18</t>
  </si>
  <si>
    <t xml:space="preserve">2025-01-30</t>
  </si>
  <si>
    <t xml:space="preserve">04-02-2025</t>
  </si>
  <si>
    <t xml:space="preserve">4430.5</t>
  </si>
  <si>
    <t xml:space="preserve">33893.32</t>
  </si>
  <si>
    <t xml:space="preserve">25750.35</t>
  </si>
  <si>
    <t xml:space="preserve">8142.97</t>
  </si>
  <si>
    <t xml:space="preserve">08-10-2025</t>
  </si>
  <si>
    <t xml:space="preserve">10/06/2025</t>
  </si>
  <si>
    <t xml:space="preserve">1260.42</t>
  </si>
  <si>
    <t xml:space="preserve">4789.6</t>
  </si>
  <si>
    <t xml:space="preserve">4037.64</t>
  </si>
  <si>
    <t xml:space="preserve">751.96</t>
  </si>
  <si>
    <t xml:space="preserve">2025-07-24</t>
  </si>
  <si>
    <t xml:space="preserve">30-07-2025</t>
  </si>
  <si>
    <t xml:space="preserve">consumer</t>
  </si>
  <si>
    <t xml:space="preserve">1643.41</t>
  </si>
  <si>
    <t xml:space="preserve">907.4</t>
  </si>
  <si>
    <t xml:space="preserve">736.01</t>
  </si>
  <si>
    <t xml:space="preserve">2024-03-09</t>
  </si>
  <si>
    <t xml:space="preserve">14 Mar 2024</t>
  </si>
  <si>
    <t xml:space="preserve">4472.84</t>
  </si>
  <si>
    <t xml:space="preserve">35997.62</t>
  </si>
  <si>
    <t xml:space="preserve">26424.41</t>
  </si>
  <si>
    <t xml:space="preserve">9358.31</t>
  </si>
  <si>
    <t xml:space="preserve">09/21/2025</t>
  </si>
  <si>
    <t xml:space="preserve">2903.58</t>
  </si>
  <si>
    <t xml:space="preserve">15679.33</t>
  </si>
  <si>
    <t xml:space="preserve">12477.82</t>
  </si>
  <si>
    <t xml:space="preserve">3201.51</t>
  </si>
  <si>
    <t xml:space="preserve">09 Sep 2025</t>
  </si>
  <si>
    <t xml:space="preserve">09/14/2025</t>
  </si>
  <si>
    <t xml:space="preserve">3154.42</t>
  </si>
  <si>
    <t xml:space="preserve">2365.82</t>
  </si>
  <si>
    <t xml:space="preserve">1547.99</t>
  </si>
  <si>
    <t xml:space="preserve">817.83</t>
  </si>
  <si>
    <t xml:space="preserve">11/22/2024</t>
  </si>
  <si>
    <t xml:space="preserve">29-11-2024</t>
  </si>
  <si>
    <t xml:space="preserve">3422.99</t>
  </si>
  <si>
    <t xml:space="preserve">10268.97</t>
  </si>
  <si>
    <t xml:space="preserve">6470.92</t>
  </si>
  <si>
    <t xml:space="preserve">3798.05</t>
  </si>
  <si>
    <t xml:space="preserve">20-02-2025</t>
  </si>
  <si>
    <t xml:space="preserve">OFFICE SUPPLIES</t>
  </si>
  <si>
    <t xml:space="preserve">2557.85</t>
  </si>
  <si>
    <t xml:space="preserve">2046.28</t>
  </si>
  <si>
    <t xml:space="preserve">1449.54</t>
  </si>
  <si>
    <t xml:space="preserve">596.74</t>
  </si>
  <si>
    <t xml:space="preserve">2025-08-18</t>
  </si>
  <si>
    <t xml:space="preserve">08/18/2025</t>
  </si>
  <si>
    <t xml:space="preserve">3030.93</t>
  </si>
  <si>
    <t xml:space="preserve">23186.61</t>
  </si>
  <si>
    <t xml:space="preserve">17906.54</t>
  </si>
  <si>
    <t xml:space="preserve">5280.07</t>
  </si>
  <si>
    <t xml:space="preserve">01/20/2025</t>
  </si>
  <si>
    <t xml:space="preserve">639.27</t>
  </si>
  <si>
    <t xml:space="preserve">2557.08</t>
  </si>
  <si>
    <t xml:space="preserve">2025.69</t>
  </si>
  <si>
    <t xml:space="preserve">531.39</t>
  </si>
  <si>
    <t xml:space="preserve">2025-09-13</t>
  </si>
  <si>
    <t xml:space="preserve">09/13/2025</t>
  </si>
  <si>
    <t xml:space="preserve">733.9</t>
  </si>
  <si>
    <t xml:space="preserve">5577.64</t>
  </si>
  <si>
    <t xml:space="preserve">3541.29</t>
  </si>
  <si>
    <t xml:space="preserve">2036.35</t>
  </si>
  <si>
    <t xml:space="preserve">09/15/2025</t>
  </si>
  <si>
    <t xml:space="preserve">1711.32</t>
  </si>
  <si>
    <t xml:space="preserve">5133.96</t>
  </si>
  <si>
    <t xml:space="preserve">3930</t>
  </si>
  <si>
    <t xml:space="preserve">1203.96</t>
  </si>
  <si>
    <t xml:space="preserve">02/25/2025</t>
  </si>
  <si>
    <t xml:space="preserve">4246.27</t>
  </si>
  <si>
    <t xml:space="preserve">15923.51</t>
  </si>
  <si>
    <t xml:space="preserve">11291.8</t>
  </si>
  <si>
    <t xml:space="preserve">4631.71</t>
  </si>
  <si>
    <t xml:space="preserve">02-08-2025</t>
  </si>
  <si>
    <t xml:space="preserve">10-08-2025</t>
  </si>
  <si>
    <t xml:space="preserve">2962.62</t>
  </si>
  <si>
    <t xml:space="preserve">23997.22</t>
  </si>
  <si>
    <t xml:space="preserve">16134.63</t>
  </si>
  <si>
    <t xml:space="preserve">7862.59</t>
  </si>
  <si>
    <t xml:space="preserve">02-05-2024</t>
  </si>
  <si>
    <t xml:space="preserve">08 May 2024</t>
  </si>
  <si>
    <t xml:space="preserve">PRIYA MENON</t>
  </si>
  <si>
    <t xml:space="preserve">2312.25</t>
  </si>
  <si>
    <t xml:space="preserve">1734.19</t>
  </si>
  <si>
    <t xml:space="preserve">1386.07</t>
  </si>
  <si>
    <t xml:space="preserve">348.12</t>
  </si>
  <si>
    <t xml:space="preserve">28 Sep 2025</t>
  </si>
  <si>
    <t xml:space="preserve">04-10-2025</t>
  </si>
  <si>
    <t xml:space="preserve">1620.53</t>
  </si>
  <si>
    <t xml:space="preserve">8264.7</t>
  </si>
  <si>
    <t xml:space="preserve">4768.75</t>
  </si>
  <si>
    <t xml:space="preserve">3495.95</t>
  </si>
  <si>
    <t xml:space="preserve">2024-02-03</t>
  </si>
  <si>
    <t xml:space="preserve">2673.42</t>
  </si>
  <si>
    <t xml:space="preserve">15906.85</t>
  </si>
  <si>
    <t xml:space="preserve">11014.46</t>
  </si>
  <si>
    <t xml:space="preserve">4892.39</t>
  </si>
  <si>
    <t xml:space="preserve">18-03-2025</t>
  </si>
  <si>
    <t xml:space="preserve">03/26/2025</t>
  </si>
  <si>
    <t xml:space="preserve">3563.09</t>
  </si>
  <si>
    <t xml:space="preserve">24229.01</t>
  </si>
  <si>
    <t xml:space="preserve">13910.64</t>
  </si>
  <si>
    <t xml:space="preserve">10318.37</t>
  </si>
  <si>
    <t xml:space="preserve">01-06-2024</t>
  </si>
  <si>
    <t xml:space="preserve">06/03/2024</t>
  </si>
  <si>
    <t xml:space="preserve">3879.95</t>
  </si>
  <si>
    <t xml:space="preserve">31039.6</t>
  </si>
  <si>
    <t xml:space="preserve">20866.72</t>
  </si>
  <si>
    <t xml:space="preserve">10172.88</t>
  </si>
  <si>
    <t xml:space="preserve">30-09-2024</t>
  </si>
  <si>
    <t xml:space="preserve">2024-09-30</t>
  </si>
  <si>
    <t xml:space="preserve">3281.74</t>
  </si>
  <si>
    <t xml:space="preserve">13126.96</t>
  </si>
  <si>
    <t xml:space="preserve">10732.44</t>
  </si>
  <si>
    <t xml:space="preserve">2394.52</t>
  </si>
  <si>
    <t xml:space="preserve">2024-03-15</t>
  </si>
  <si>
    <t xml:space="preserve">03/19/2024</t>
  </si>
  <si>
    <t xml:space="preserve">3186.3</t>
  </si>
  <si>
    <t xml:space="preserve">9558.9</t>
  </si>
  <si>
    <t xml:space="preserve">5516.76</t>
  </si>
  <si>
    <t xml:space="preserve">4042.14</t>
  </si>
  <si>
    <t xml:space="preserve">2024-08-26</t>
  </si>
  <si>
    <t xml:space="preserve">26-08-2024</t>
  </si>
  <si>
    <t xml:space="preserve">844.59</t>
  </si>
  <si>
    <t xml:space="preserve">5320.92</t>
  </si>
  <si>
    <t xml:space="preserve">3041.5</t>
  </si>
  <si>
    <t xml:space="preserve">2279.42</t>
  </si>
  <si>
    <t xml:space="preserve">09/09/2025</t>
  </si>
  <si>
    <t xml:space="preserve">10-09-2025</t>
  </si>
  <si>
    <t xml:space="preserve">2551.45</t>
  </si>
  <si>
    <t xml:space="preserve">10205.8</t>
  </si>
  <si>
    <t xml:space="preserve">5986.31</t>
  </si>
  <si>
    <t xml:space="preserve">4219.49</t>
  </si>
  <si>
    <t xml:space="preserve">775.77</t>
  </si>
  <si>
    <t xml:space="preserve">5430.39</t>
  </si>
  <si>
    <t xml:space="preserve">3707.66</t>
  </si>
  <si>
    <t xml:space="preserve">1722.73</t>
  </si>
  <si>
    <t xml:space="preserve">2025-06-24</t>
  </si>
  <si>
    <t xml:space="preserve">27-06-2025</t>
  </si>
  <si>
    <t xml:space="preserve">2304.86</t>
  </si>
  <si>
    <t xml:space="preserve">12907.22</t>
  </si>
  <si>
    <t xml:space="preserve">8327.89</t>
  </si>
  <si>
    <t xml:space="preserve">4579.33</t>
  </si>
  <si>
    <t xml:space="preserve">2024-04-02</t>
  </si>
  <si>
    <t xml:space="preserve">888.98</t>
  </si>
  <si>
    <t xml:space="preserve">1777.96</t>
  </si>
  <si>
    <t xml:space="preserve">1021.16</t>
  </si>
  <si>
    <t xml:space="preserve">756.8</t>
  </si>
  <si>
    <t xml:space="preserve">2024-11-13</t>
  </si>
  <si>
    <t xml:space="preserve">1003.17</t>
  </si>
  <si>
    <t xml:space="preserve">1605.07</t>
  </si>
  <si>
    <t xml:space="preserve">1337.28</t>
  </si>
  <si>
    <t xml:space="preserve">267.79</t>
  </si>
  <si>
    <t xml:space="preserve">20 Jul 2024</t>
  </si>
  <si>
    <t xml:space="preserve">3608.43</t>
  </si>
  <si>
    <t xml:space="preserve">23996.06</t>
  </si>
  <si>
    <t xml:space="preserve">20167.28</t>
  </si>
  <si>
    <t xml:space="preserve">3828.78</t>
  </si>
  <si>
    <t xml:space="preserve">2025-05-01</t>
  </si>
  <si>
    <t xml:space="preserve">02 May 2025</t>
  </si>
  <si>
    <t xml:space="preserve">2905.74</t>
  </si>
  <si>
    <t xml:space="preserve">8717.22</t>
  </si>
  <si>
    <t xml:space="preserve">6215.96</t>
  </si>
  <si>
    <t xml:space="preserve">2501.26</t>
  </si>
  <si>
    <t xml:space="preserve">2025-05-21</t>
  </si>
  <si>
    <t xml:space="preserve">28 May 2025</t>
  </si>
  <si>
    <t xml:space="preserve">3559.57</t>
  </si>
  <si>
    <t xml:space="preserve">6553.95</t>
  </si>
  <si>
    <t xml:space="preserve">4923.09</t>
  </si>
  <si>
    <t xml:space="preserve">1484.14</t>
  </si>
  <si>
    <t xml:space="preserve">2025-05-06</t>
  </si>
  <si>
    <t xml:space="preserve">07 May 2025</t>
  </si>
  <si>
    <t xml:space="preserve">3318.24</t>
  </si>
  <si>
    <t xml:space="preserve">25384.54</t>
  </si>
  <si>
    <t xml:space="preserve">16872.39</t>
  </si>
  <si>
    <t xml:space="preserve">8512.15</t>
  </si>
  <si>
    <t xml:space="preserve">completed</t>
  </si>
  <si>
    <t xml:space="preserve">20-04-2025</t>
  </si>
  <si>
    <t xml:space="preserve">04/21/2025</t>
  </si>
  <si>
    <t xml:space="preserve">540.09</t>
  </si>
  <si>
    <t xml:space="preserve">1458.24</t>
  </si>
  <si>
    <t xml:space="preserve">943.32</t>
  </si>
  <si>
    <t xml:space="preserve">514.92</t>
  </si>
  <si>
    <t xml:space="preserve">19-10-2024</t>
  </si>
  <si>
    <t xml:space="preserve">4308.4</t>
  </si>
  <si>
    <t xml:space="preserve">25850.4</t>
  </si>
  <si>
    <t xml:space="preserve">19397.68</t>
  </si>
  <si>
    <t xml:space="preserve">6452.72</t>
  </si>
  <si>
    <t xml:space="preserve">2024-12-09</t>
  </si>
  <si>
    <t xml:space="preserve">12/16/2024</t>
  </si>
  <si>
    <t xml:space="preserve">2191.03</t>
  </si>
  <si>
    <t xml:space="preserve">8764.12</t>
  </si>
  <si>
    <t xml:space="preserve">7220.05</t>
  </si>
  <si>
    <t xml:space="preserve">1544.07</t>
  </si>
  <si>
    <t xml:space="preserve">2024-06-23</t>
  </si>
  <si>
    <t xml:space="preserve">28-06-2024</t>
  </si>
  <si>
    <t xml:space="preserve">1956.63</t>
  </si>
  <si>
    <t xml:space="preserve">9391.82</t>
  </si>
  <si>
    <t xml:space="preserve">6013.22</t>
  </si>
  <si>
    <t xml:space="preserve">3378.6</t>
  </si>
  <si>
    <t xml:space="preserve">2025-01-28</t>
  </si>
  <si>
    <t xml:space="preserve">01/31/2025</t>
  </si>
  <si>
    <t xml:space="preserve">WEST</t>
  </si>
  <si>
    <t xml:space="preserve">858.39</t>
  </si>
  <si>
    <t xml:space="preserve">7339.23</t>
  </si>
  <si>
    <t xml:space="preserve">5434.12</t>
  </si>
  <si>
    <t xml:space="preserve">1905.11</t>
  </si>
  <si>
    <t xml:space="preserve">22 Jul 2025</t>
  </si>
  <si>
    <t xml:space="preserve">07/24/2025</t>
  </si>
  <si>
    <t xml:space="preserve">1922.83</t>
  </si>
  <si>
    <t xml:space="preserve">9614.15</t>
  </si>
  <si>
    <t xml:space="preserve">7576.84</t>
  </si>
  <si>
    <t xml:space="preserve">2037.31</t>
  </si>
  <si>
    <t xml:space="preserve">25 Jan 2024</t>
  </si>
  <si>
    <t xml:space="preserve">1212.03</t>
  </si>
  <si>
    <t xml:space="preserve">3272.48</t>
  </si>
  <si>
    <t xml:space="preserve">2517.44</t>
  </si>
  <si>
    <t xml:space="preserve">755.04</t>
  </si>
  <si>
    <t xml:space="preserve">07-04-2025</t>
  </si>
  <si>
    <t xml:space="preserve">4096.44</t>
  </si>
  <si>
    <t xml:space="preserve">17409.87</t>
  </si>
  <si>
    <t xml:space="preserve">14076.25</t>
  </si>
  <si>
    <t xml:space="preserve">3333.62</t>
  </si>
  <si>
    <t xml:space="preserve">05-06-2024</t>
  </si>
  <si>
    <t xml:space="preserve">06/06/2024</t>
  </si>
  <si>
    <t xml:space="preserve">1184.58</t>
  </si>
  <si>
    <t xml:space="preserve">1125.35</t>
  </si>
  <si>
    <t xml:space="preserve">676.97</t>
  </si>
  <si>
    <t xml:space="preserve">448.38</t>
  </si>
  <si>
    <t xml:space="preserve">2185.58</t>
  </si>
  <si>
    <t xml:space="preserve">9835.11</t>
  </si>
  <si>
    <t xml:space="preserve">5437.64</t>
  </si>
  <si>
    <t xml:space="preserve">4397.47</t>
  </si>
  <si>
    <t xml:space="preserve">05 Jul 2025</t>
  </si>
  <si>
    <t xml:space="preserve">2868.44</t>
  </si>
  <si>
    <t xml:space="preserve">12907.98</t>
  </si>
  <si>
    <t xml:space="preserve">9197.08</t>
  </si>
  <si>
    <t xml:space="preserve">3710.9</t>
  </si>
  <si>
    <t xml:space="preserve">26-07-2025</t>
  </si>
  <si>
    <t xml:space="preserve">08/03/2025</t>
  </si>
  <si>
    <t xml:space="preserve">2503.53</t>
  </si>
  <si>
    <t xml:space="preserve">4756.71</t>
  </si>
  <si>
    <t xml:space="preserve">2954.86</t>
  </si>
  <si>
    <t xml:space="preserve">1801.85</t>
  </si>
  <si>
    <t xml:space="preserve">2025-03-28</t>
  </si>
  <si>
    <t xml:space="preserve">28 Mar 2025</t>
  </si>
  <si>
    <t xml:space="preserve">1740.94</t>
  </si>
  <si>
    <t xml:space="preserve">13231.14</t>
  </si>
  <si>
    <t xml:space="preserve">11290.06</t>
  </si>
  <si>
    <t xml:space="preserve">1941.08</t>
  </si>
  <si>
    <t xml:space="preserve">28 Mar 2024</t>
  </si>
  <si>
    <t xml:space="preserve">2024-03-30</t>
  </si>
  <si>
    <t xml:space="preserve">570.34</t>
  </si>
  <si>
    <t xml:space="preserve">484.79</t>
  </si>
  <si>
    <t xml:space="preserve">333.54</t>
  </si>
  <si>
    <t xml:space="preserve">151.25</t>
  </si>
  <si>
    <t xml:space="preserve">20-07-2025</t>
  </si>
  <si>
    <t xml:space="preserve">2025-07-23</t>
  </si>
  <si>
    <t xml:space="preserve">477.69</t>
  </si>
  <si>
    <t xml:space="preserve">1624.15</t>
  </si>
  <si>
    <t xml:space="preserve">1217.99</t>
  </si>
  <si>
    <t xml:space="preserve">406.16</t>
  </si>
  <si>
    <t xml:space="preserve">21-04-2025</t>
  </si>
  <si>
    <t xml:space="preserve">04/26/2025</t>
  </si>
  <si>
    <t xml:space="preserve">873.59</t>
  </si>
  <si>
    <t xml:space="preserve">4193.23</t>
  </si>
  <si>
    <t xml:space="preserve">3329.99</t>
  </si>
  <si>
    <t xml:space="preserve">863.24</t>
  </si>
  <si>
    <t xml:space="preserve">05/18/2025</t>
  </si>
  <si>
    <t xml:space="preserve">215.13</t>
  </si>
  <si>
    <t xml:space="preserve">430.26</t>
  </si>
  <si>
    <t xml:space="preserve">286.38</t>
  </si>
  <si>
    <t xml:space="preserve">143.88</t>
  </si>
  <si>
    <t xml:space="preserve">10 Jul 2024</t>
  </si>
  <si>
    <t xml:space="preserve">2024-07-16</t>
  </si>
  <si>
    <t xml:space="preserve">1095.45</t>
  </si>
  <si>
    <t xml:space="preserve">1752.72</t>
  </si>
  <si>
    <t xml:space="preserve">996.41</t>
  </si>
  <si>
    <t xml:space="preserve">756.31</t>
  </si>
  <si>
    <t xml:space="preserve">06/29/2025</t>
  </si>
  <si>
    <t xml:space="preserve">05-07-2025</t>
  </si>
  <si>
    <t xml:space="preserve">999.83</t>
  </si>
  <si>
    <t xml:space="preserve">634.91</t>
  </si>
  <si>
    <t xml:space="preserve">364.92</t>
  </si>
  <si>
    <t xml:space="preserve">08/13/2025</t>
  </si>
  <si>
    <t xml:space="preserve">08/14/2025</t>
  </si>
  <si>
    <t xml:space="preserve">864.98</t>
  </si>
  <si>
    <t xml:space="preserve">7006.34</t>
  </si>
  <si>
    <t xml:space="preserve">4640.88</t>
  </si>
  <si>
    <t xml:space="preserve">2365.46</t>
  </si>
  <si>
    <t xml:space="preserve">03/15/2024</t>
  </si>
  <si>
    <t xml:space="preserve">18-03-2024</t>
  </si>
  <si>
    <t xml:space="preserve">4131.36</t>
  </si>
  <si>
    <t xml:space="preserve">2937.07</t>
  </si>
  <si>
    <t xml:space="preserve">1194.29</t>
  </si>
  <si>
    <t xml:space="preserve">05/16/2024</t>
  </si>
  <si>
    <t xml:space="preserve">05/17/2024</t>
  </si>
  <si>
    <t xml:space="preserve">EAST</t>
  </si>
  <si>
    <t xml:space="preserve">4221.95</t>
  </si>
  <si>
    <t xml:space="preserve">27020.48</t>
  </si>
  <si>
    <t xml:space="preserve">22885.24</t>
  </si>
  <si>
    <t xml:space="preserve">4135.24</t>
  </si>
  <si>
    <t xml:space="preserve">09/21/2024</t>
  </si>
  <si>
    <t xml:space="preserve">2024-09-21</t>
  </si>
  <si>
    <t xml:space="preserve">214.5</t>
  </si>
  <si>
    <t xml:space="preserve">364.65</t>
  </si>
  <si>
    <t xml:space="preserve">280.74</t>
  </si>
  <si>
    <t xml:space="preserve">83.91</t>
  </si>
  <si>
    <t xml:space="preserve">15 May 2024</t>
  </si>
  <si>
    <t xml:space="preserve">21-05-2024</t>
  </si>
  <si>
    <t xml:space="preserve">4332.73</t>
  </si>
  <si>
    <t xml:space="preserve">13864.74</t>
  </si>
  <si>
    <t xml:space="preserve">11294.06</t>
  </si>
  <si>
    <t xml:space="preserve">2570.68</t>
  </si>
  <si>
    <t xml:space="preserve">17 Mar 2024</t>
  </si>
  <si>
    <t xml:space="preserve">23-03-2024</t>
  </si>
  <si>
    <t xml:space="preserve">248.18</t>
  </si>
  <si>
    <t xml:space="preserve">707.31</t>
  </si>
  <si>
    <t xml:space="preserve">569</t>
  </si>
  <si>
    <t xml:space="preserve">138.31</t>
  </si>
  <si>
    <t xml:space="preserve">01-03-2024</t>
  </si>
  <si>
    <t xml:space="preserve">3202.4</t>
  </si>
  <si>
    <t xml:space="preserve">19214.4</t>
  </si>
  <si>
    <t xml:space="preserve">10916.01</t>
  </si>
  <si>
    <t xml:space="preserve">8298.39</t>
  </si>
  <si>
    <t xml:space="preserve">15 Apr 2025</t>
  </si>
  <si>
    <t xml:space="preserve">1839.87</t>
  </si>
  <si>
    <t xml:space="preserve">11039.22</t>
  </si>
  <si>
    <t xml:space="preserve">7642.91</t>
  </si>
  <si>
    <t xml:space="preserve">3396.31</t>
  </si>
  <si>
    <t xml:space="preserve">01-04-2025</t>
  </si>
  <si>
    <t xml:space="preserve">04/08/2025</t>
  </si>
  <si>
    <t xml:space="preserve">1021.28</t>
  </si>
  <si>
    <t xml:space="preserve">4595.76</t>
  </si>
  <si>
    <t xml:space="preserve">3396.8</t>
  </si>
  <si>
    <t xml:space="preserve">1198.96</t>
  </si>
  <si>
    <t xml:space="preserve">26 Feb 2025</t>
  </si>
  <si>
    <t xml:space="preserve">27-02-2025</t>
  </si>
  <si>
    <t xml:space="preserve">258.28</t>
  </si>
  <si>
    <t xml:space="preserve">1291.4</t>
  </si>
  <si>
    <t xml:space="preserve">756.93</t>
  </si>
  <si>
    <t xml:space="preserve">534.47</t>
  </si>
  <si>
    <t xml:space="preserve">06/19/2024</t>
  </si>
  <si>
    <t xml:space="preserve">121.49</t>
  </si>
  <si>
    <t xml:space="preserve">242.98</t>
  </si>
  <si>
    <t xml:space="preserve">161.42</t>
  </si>
  <si>
    <t xml:space="preserve">81.56</t>
  </si>
  <si>
    <t xml:space="preserve">09/03/2024</t>
  </si>
  <si>
    <t xml:space="preserve">2810.17</t>
  </si>
  <si>
    <t xml:space="preserve">9554.58</t>
  </si>
  <si>
    <t xml:space="preserve">6068.47</t>
  </si>
  <si>
    <t xml:space="preserve">3486.11</t>
  </si>
  <si>
    <t xml:space="preserve">12-01-2025</t>
  </si>
  <si>
    <t xml:space="preserve">2025-01-15</t>
  </si>
  <si>
    <t xml:space="preserve">1531.53</t>
  </si>
  <si>
    <t xml:space="preserve">4900.9</t>
  </si>
  <si>
    <t xml:space="preserve">3552.69</t>
  </si>
  <si>
    <t xml:space="preserve">1348.21</t>
  </si>
  <si>
    <t xml:space="preserve">04/29/2025</t>
  </si>
  <si>
    <t xml:space="preserve">4308.09</t>
  </si>
  <si>
    <t xml:space="preserve">25848.54</t>
  </si>
  <si>
    <t xml:space="preserve">17729.09</t>
  </si>
  <si>
    <t xml:space="preserve">8119.45</t>
  </si>
  <si>
    <t xml:space="preserve">19-02-2025</t>
  </si>
  <si>
    <t xml:space="preserve">02/26/2025</t>
  </si>
  <si>
    <t xml:space="preserve">490.3</t>
  </si>
  <si>
    <t xml:space="preserve">1176.72</t>
  </si>
  <si>
    <t xml:space="preserve">654.33</t>
  </si>
  <si>
    <t xml:space="preserve">522.39</t>
  </si>
  <si>
    <t xml:space="preserve">10/02/2025</t>
  </si>
  <si>
    <t xml:space="preserve">08 Oct 2025</t>
  </si>
  <si>
    <t xml:space="preserve">3944.64</t>
  </si>
  <si>
    <t xml:space="preserve">11833.92</t>
  </si>
  <si>
    <t xml:space="preserve">6682.92</t>
  </si>
  <si>
    <t xml:space="preserve">5151</t>
  </si>
  <si>
    <t xml:space="preserve">02 Sep 2024</t>
  </si>
  <si>
    <t xml:space="preserve">2024-09-10</t>
  </si>
  <si>
    <t xml:space="preserve">1032.47</t>
  </si>
  <si>
    <t xml:space="preserve">5265.6</t>
  </si>
  <si>
    <t xml:space="preserve">4293.11</t>
  </si>
  <si>
    <t xml:space="preserve">787.57</t>
  </si>
  <si>
    <t xml:space="preserve">10-04-2025</t>
  </si>
  <si>
    <t xml:space="preserve">2208.27</t>
  </si>
  <si>
    <t xml:space="preserve">1987.44</t>
  </si>
  <si>
    <t xml:space="preserve">1110.23</t>
  </si>
  <si>
    <t xml:space="preserve">877.21</t>
  </si>
  <si>
    <t xml:space="preserve">2024-07-05</t>
  </si>
  <si>
    <t xml:space="preserve">12 Jul 2024</t>
  </si>
  <si>
    <t xml:space="preserve">SMALL BUSINESS</t>
  </si>
  <si>
    <t xml:space="preserve">577.75</t>
  </si>
  <si>
    <t xml:space="preserve">1473.26</t>
  </si>
  <si>
    <t xml:space="preserve">899.86</t>
  </si>
  <si>
    <t xml:space="preserve">573.4</t>
  </si>
  <si>
    <t xml:space="preserve">24-04-2024</t>
  </si>
  <si>
    <t xml:space="preserve">28 Apr 2024</t>
  </si>
  <si>
    <t xml:space="preserve">3194.37</t>
  </si>
  <si>
    <t xml:space="preserve">2715.21</t>
  </si>
  <si>
    <t xml:space="preserve">1551.55</t>
  </si>
  <si>
    <t xml:space="preserve">1163.66</t>
  </si>
  <si>
    <t xml:space="preserve">2025-06-28</t>
  </si>
  <si>
    <t xml:space="preserve">07/04/2025</t>
  </si>
  <si>
    <t xml:space="preserve">2886.23</t>
  </si>
  <si>
    <t xml:space="preserve">8658.69</t>
  </si>
  <si>
    <t xml:space="preserve">5535.94</t>
  </si>
  <si>
    <t xml:space="preserve">3122.75</t>
  </si>
  <si>
    <t xml:space="preserve">03-06-2024</t>
  </si>
  <si>
    <t xml:space="preserve">1540.33</t>
  </si>
  <si>
    <t xml:space="preserve">11090.38</t>
  </si>
  <si>
    <t xml:space="preserve">8840.95</t>
  </si>
  <si>
    <t xml:space="preserve">2249.43</t>
  </si>
  <si>
    <t xml:space="preserve">2024-05-02</t>
  </si>
  <si>
    <t xml:space="preserve">05/02/2024</t>
  </si>
  <si>
    <t xml:space="preserve">Office  Supplies</t>
  </si>
  <si>
    <t xml:space="preserve">2183.38</t>
  </si>
  <si>
    <t xml:space="preserve">11462.74</t>
  </si>
  <si>
    <t xml:space="preserve">7163.54</t>
  </si>
  <si>
    <t xml:space="preserve">4299.2</t>
  </si>
  <si>
    <t xml:space="preserve">2025-06-04</t>
  </si>
  <si>
    <t xml:space="preserve">2025-06-10</t>
  </si>
  <si>
    <t xml:space="preserve">223.37</t>
  </si>
  <si>
    <t xml:space="preserve">670.11</t>
  </si>
  <si>
    <t xml:space="preserve">559.57</t>
  </si>
  <si>
    <t xml:space="preserve">110.54</t>
  </si>
  <si>
    <t xml:space="preserve">14-10-2024</t>
  </si>
  <si>
    <t xml:space="preserve">10/14/2024</t>
  </si>
  <si>
    <t xml:space="preserve">3904.59</t>
  </si>
  <si>
    <t xml:space="preserve">31236.72</t>
  </si>
  <si>
    <t xml:space="preserve">26377.7</t>
  </si>
  <si>
    <t xml:space="preserve">4859.02</t>
  </si>
  <si>
    <t xml:space="preserve">09/02/2024</t>
  </si>
  <si>
    <t xml:space="preserve">03 Sep 2024</t>
  </si>
  <si>
    <t xml:space="preserve">1353.61</t>
  </si>
  <si>
    <t xml:space="preserve">10964.24</t>
  </si>
  <si>
    <t xml:space="preserve">9262.47</t>
  </si>
  <si>
    <t xml:space="preserve">1701.77</t>
  </si>
  <si>
    <t xml:space="preserve">11/02/2024</t>
  </si>
  <si>
    <t xml:space="preserve">11/03/2024</t>
  </si>
  <si>
    <t xml:space="preserve">2671.29</t>
  </si>
  <si>
    <t xml:space="preserve">15226.35</t>
  </si>
  <si>
    <t xml:space="preserve">11145.28</t>
  </si>
  <si>
    <t xml:space="preserve">4081.07</t>
  </si>
  <si>
    <t xml:space="preserve">21 Oct 2024</t>
  </si>
  <si>
    <t xml:space="preserve">4062.78</t>
  </si>
  <si>
    <t xml:space="preserve">24376.68</t>
  </si>
  <si>
    <t xml:space="preserve">18533.39</t>
  </si>
  <si>
    <t xml:space="preserve">5843.29</t>
  </si>
  <si>
    <t xml:space="preserve">2024-08-27</t>
  </si>
  <si>
    <t xml:space="preserve">2330.3</t>
  </si>
  <si>
    <t xml:space="preserve">20972.7</t>
  </si>
  <si>
    <t xml:space="preserve">13504.88</t>
  </si>
  <si>
    <t xml:space="preserve">7467.82</t>
  </si>
  <si>
    <t xml:space="preserve">01/12/2024</t>
  </si>
  <si>
    <t xml:space="preserve">01/17/2024</t>
  </si>
  <si>
    <t xml:space="preserve">4005.05</t>
  </si>
  <si>
    <t xml:space="preserve">26633.58</t>
  </si>
  <si>
    <t xml:space="preserve">18838.75</t>
  </si>
  <si>
    <t xml:space="preserve">7794.83</t>
  </si>
  <si>
    <t xml:space="preserve">21-09-2024</t>
  </si>
  <si>
    <t xml:space="preserve">1960.06</t>
  </si>
  <si>
    <t xml:space="preserve">3136.1</t>
  </si>
  <si>
    <t xml:space="preserve">2279.49</t>
  </si>
  <si>
    <t xml:space="preserve">856.61</t>
  </si>
  <si>
    <t xml:space="preserve">17 Dec 2024</t>
  </si>
  <si>
    <t xml:space="preserve">2315.1</t>
  </si>
  <si>
    <t xml:space="preserve">20835.9</t>
  </si>
  <si>
    <t xml:space="preserve">13928.19</t>
  </si>
  <si>
    <t xml:space="preserve">6907.71</t>
  </si>
  <si>
    <t xml:space="preserve">07/06/2025</t>
  </si>
  <si>
    <t xml:space="preserve">06-07-2025</t>
  </si>
  <si>
    <t xml:space="preserve">1617.2</t>
  </si>
  <si>
    <t xml:space="preserve">1212.9</t>
  </si>
  <si>
    <t xml:space="preserve">690.52</t>
  </si>
  <si>
    <t xml:space="preserve">522.38</t>
  </si>
  <si>
    <t xml:space="preserve">07 Feb 2025</t>
  </si>
  <si>
    <t xml:space="preserve">2025-02-07</t>
  </si>
  <si>
    <t xml:space="preserve">1999.24</t>
  </si>
  <si>
    <t xml:space="preserve">5697.83</t>
  </si>
  <si>
    <t xml:space="preserve">4251.5</t>
  </si>
  <si>
    <t xml:space="preserve">1446.33</t>
  </si>
  <si>
    <t xml:space="preserve">02 Aug 2025</t>
  </si>
  <si>
    <t xml:space="preserve">4499.46</t>
  </si>
  <si>
    <t xml:space="preserve">4049.51</t>
  </si>
  <si>
    <t xml:space="preserve">2509.2</t>
  </si>
  <si>
    <t xml:space="preserve">1540.31</t>
  </si>
  <si>
    <t xml:space="preserve">2024-08-24</t>
  </si>
  <si>
    <t xml:space="preserve">1021.89</t>
  </si>
  <si>
    <t xml:space="preserve">6131.34</t>
  </si>
  <si>
    <t xml:space="preserve">4060.88</t>
  </si>
  <si>
    <t xml:space="preserve">2070.46</t>
  </si>
  <si>
    <t xml:space="preserve">FURNITURE</t>
  </si>
  <si>
    <t xml:space="preserve">3275.93</t>
  </si>
  <si>
    <t xml:space="preserve">9827.79</t>
  </si>
  <si>
    <t xml:space="preserve">5478.28</t>
  </si>
  <si>
    <t xml:space="preserve">4349.51</t>
  </si>
  <si>
    <t xml:space="preserve">04 May 2024</t>
  </si>
  <si>
    <t xml:space="preserve">09 May 2024</t>
  </si>
  <si>
    <t xml:space="preserve">231.95</t>
  </si>
  <si>
    <t xml:space="preserve">521.89</t>
  </si>
  <si>
    <t xml:space="preserve">444.52</t>
  </si>
  <si>
    <t xml:space="preserve">77.37</t>
  </si>
  <si>
    <t xml:space="preserve">07/25/2024</t>
  </si>
  <si>
    <t xml:space="preserve">01 Aug 2024</t>
  </si>
  <si>
    <t xml:space="preserve">2493.4</t>
  </si>
  <si>
    <t xml:space="preserve">14960.4</t>
  </si>
  <si>
    <t xml:space="preserve">12500.84</t>
  </si>
  <si>
    <t xml:space="preserve">2459.56</t>
  </si>
  <si>
    <t xml:space="preserve">06/02/2024</t>
  </si>
  <si>
    <t xml:space="preserve">787.91</t>
  </si>
  <si>
    <t xml:space="preserve">6027.51</t>
  </si>
  <si>
    <t xml:space="preserve">4883.82</t>
  </si>
  <si>
    <t xml:space="preserve">1143.69</t>
  </si>
  <si>
    <t xml:space="preserve">08/02/2025</t>
  </si>
  <si>
    <t xml:space="preserve">2790.29</t>
  </si>
  <si>
    <t xml:space="preserve">8928.93</t>
  </si>
  <si>
    <t xml:space="preserve">5634.38</t>
  </si>
  <si>
    <t xml:space="preserve">3294.55</t>
  </si>
  <si>
    <t xml:space="preserve">2025-04-06</t>
  </si>
  <si>
    <t xml:space="preserve">1022.16</t>
  </si>
  <si>
    <t xml:space="preserve">6132.96</t>
  </si>
  <si>
    <t xml:space="preserve">4881.1</t>
  </si>
  <si>
    <t xml:space="preserve">1251.86</t>
  </si>
  <si>
    <t xml:space="preserve">25-06-2025</t>
  </si>
  <si>
    <t xml:space="preserve">1455.92</t>
  </si>
  <si>
    <t xml:space="preserve">2329.47</t>
  </si>
  <si>
    <t xml:space="preserve">1603.62</t>
  </si>
  <si>
    <t xml:space="preserve">725.85</t>
  </si>
  <si>
    <t xml:space="preserve">2024-09-12</t>
  </si>
  <si>
    <t xml:space="preserve">09/13/2024</t>
  </si>
  <si>
    <t xml:space="preserve">832.79</t>
  </si>
  <si>
    <t xml:space="preserve">4746.9</t>
  </si>
  <si>
    <t xml:space="preserve">2825.38</t>
  </si>
  <si>
    <t xml:space="preserve">01/01/2025</t>
  </si>
  <si>
    <t xml:space="preserve">03-01-2025</t>
  </si>
  <si>
    <t xml:space="preserve">1000.55</t>
  </si>
  <si>
    <t xml:space="preserve">5603.08</t>
  </si>
  <si>
    <t xml:space="preserve">3132.52</t>
  </si>
  <si>
    <t xml:space="preserve">2470.56</t>
  </si>
  <si>
    <t xml:space="preserve">2025-02-04</t>
  </si>
  <si>
    <t xml:space="preserve">02/10/2025</t>
  </si>
  <si>
    <t xml:space="preserve">1830</t>
  </si>
  <si>
    <t xml:space="preserve">12810</t>
  </si>
  <si>
    <t xml:space="preserve">9334.12</t>
  </si>
  <si>
    <t xml:space="preserve">3475.88</t>
  </si>
  <si>
    <t xml:space="preserve">2024-11-05</t>
  </si>
  <si>
    <t xml:space="preserve">2260.61</t>
  </si>
  <si>
    <t xml:space="preserve">19328.22</t>
  </si>
  <si>
    <t xml:space="preserve">12039.5</t>
  </si>
  <si>
    <t xml:space="preserve">7288.72</t>
  </si>
  <si>
    <t xml:space="preserve">2025-08-09</t>
  </si>
  <si>
    <t xml:space="preserve">2025-08-12</t>
  </si>
  <si>
    <t xml:space="preserve">3237.27</t>
  </si>
  <si>
    <t xml:space="preserve">6474.54</t>
  </si>
  <si>
    <t xml:space="preserve">5095.91</t>
  </si>
  <si>
    <t xml:space="preserve">1378.63</t>
  </si>
  <si>
    <t xml:space="preserve">2025-01-04</t>
  </si>
  <si>
    <t xml:space="preserve">3720.07</t>
  </si>
  <si>
    <t xml:space="preserve">5580.11</t>
  </si>
  <si>
    <t xml:space="preserve">4307.01</t>
  </si>
  <si>
    <t xml:space="preserve">1273.1</t>
  </si>
  <si>
    <t xml:space="preserve">06/21/2024</t>
  </si>
  <si>
    <t xml:space="preserve">29 Jun 2024</t>
  </si>
  <si>
    <t xml:space="preserve">2853.92</t>
  </si>
  <si>
    <t xml:space="preserve">18265.09</t>
  </si>
  <si>
    <t xml:space="preserve">10437.14</t>
  </si>
  <si>
    <t xml:space="preserve">7827.95</t>
  </si>
  <si>
    <t xml:space="preserve">2025-09-23</t>
  </si>
  <si>
    <t xml:space="preserve">09/27/2025</t>
  </si>
  <si>
    <t xml:space="preserve">2897.12</t>
  </si>
  <si>
    <t xml:space="preserve">15209.88</t>
  </si>
  <si>
    <t xml:space="preserve">10891.15</t>
  </si>
  <si>
    <t xml:space="preserve">4318.73</t>
  </si>
  <si>
    <t xml:space="preserve">06/18/2025</t>
  </si>
  <si>
    <t xml:space="preserve">06/24/2025</t>
  </si>
  <si>
    <t xml:space="preserve">686.74</t>
  </si>
  <si>
    <t xml:space="preserve">1648.18</t>
  </si>
  <si>
    <t xml:space="preserve">987.91</t>
  </si>
  <si>
    <t xml:space="preserve">660.27</t>
  </si>
  <si>
    <t xml:space="preserve">2025-05-26</t>
  </si>
  <si>
    <t xml:space="preserve">01 Jun 2025</t>
  </si>
  <si>
    <t xml:space="preserve">3349.86</t>
  </si>
  <si>
    <t xml:space="preserve">13399.44</t>
  </si>
  <si>
    <t xml:space="preserve">8581.35</t>
  </si>
  <si>
    <t xml:space="preserve">4818.09</t>
  </si>
  <si>
    <t xml:space="preserve">06 Aug 2025</t>
  </si>
  <si>
    <t xml:space="preserve">4042.45</t>
  </si>
  <si>
    <t xml:space="preserve">32743.84</t>
  </si>
  <si>
    <t xml:space="preserve">22452.05</t>
  </si>
  <si>
    <t xml:space="preserve">10291.79</t>
  </si>
  <si>
    <t xml:space="preserve">16-05-2024</t>
  </si>
  <si>
    <t xml:space="preserve">05/21/2024</t>
  </si>
  <si>
    <t xml:space="preserve">1503.07</t>
  </si>
  <si>
    <t xml:space="preserve">6012.28</t>
  </si>
  <si>
    <t xml:space="preserve">3927.64</t>
  </si>
  <si>
    <t xml:space="preserve">2084.64</t>
  </si>
  <si>
    <t xml:space="preserve">14 Nov 2024</t>
  </si>
  <si>
    <t xml:space="preserve">582.37</t>
  </si>
  <si>
    <t xml:space="preserve">495.01</t>
  </si>
  <si>
    <t xml:space="preserve">285.13</t>
  </si>
  <si>
    <t xml:space="preserve">209.88</t>
  </si>
  <si>
    <t xml:space="preserve">2025-05-03</t>
  </si>
  <si>
    <t xml:space="preserve">2025-05-10</t>
  </si>
  <si>
    <t xml:space="preserve">4339.24</t>
  </si>
  <si>
    <t xml:space="preserve">13017.72</t>
  </si>
  <si>
    <t xml:space="preserve">10170.57</t>
  </si>
  <si>
    <t xml:space="preserve">2847.15</t>
  </si>
  <si>
    <t xml:space="preserve">04-06-2025</t>
  </si>
  <si>
    <t xml:space="preserve">261.8</t>
  </si>
  <si>
    <t xml:space="preserve">785.4</t>
  </si>
  <si>
    <t xml:space="preserve">557.22</t>
  </si>
  <si>
    <t xml:space="preserve">228.18</t>
  </si>
  <si>
    <t xml:space="preserve">08/17/2025</t>
  </si>
  <si>
    <t xml:space="preserve">632.2</t>
  </si>
  <si>
    <t xml:space="preserve">3319.05</t>
  </si>
  <si>
    <t xml:space="preserve">2124.6</t>
  </si>
  <si>
    <t xml:space="preserve">1194.45</t>
  </si>
  <si>
    <t xml:space="preserve">02/12/2025</t>
  </si>
  <si>
    <t xml:space="preserve">1925.86</t>
  </si>
  <si>
    <t xml:space="preserve">1321.89</t>
  </si>
  <si>
    <t xml:space="preserve">603.97</t>
  </si>
  <si>
    <t xml:space="preserve">827.44</t>
  </si>
  <si>
    <t xml:space="preserve">2482.32</t>
  </si>
  <si>
    <t xml:space="preserve">1520.21</t>
  </si>
  <si>
    <t xml:space="preserve">962.11</t>
  </si>
  <si>
    <t xml:space="preserve">21 Dec 2024</t>
  </si>
  <si>
    <t xml:space="preserve">25 Dec 2024</t>
  </si>
  <si>
    <t xml:space="preserve">1667.75</t>
  </si>
  <si>
    <t xml:space="preserve">11674.25</t>
  </si>
  <si>
    <t xml:space="preserve">9621.19</t>
  </si>
  <si>
    <t xml:space="preserve">2053.06</t>
  </si>
  <si>
    <t xml:space="preserve">08/18/2024</t>
  </si>
  <si>
    <t xml:space="preserve">24 Aug 2024</t>
  </si>
  <si>
    <t xml:space="preserve">557.21</t>
  </si>
  <si>
    <t xml:space="preserve">3510.42</t>
  </si>
  <si>
    <t xml:space="preserve">2191.5</t>
  </si>
  <si>
    <t xml:space="preserve">1213.48</t>
  </si>
  <si>
    <t xml:space="preserve">02/13/2025</t>
  </si>
  <si>
    <t xml:space="preserve">13 Feb 2025</t>
  </si>
  <si>
    <t xml:space="preserve">2521.63</t>
  </si>
  <si>
    <t xml:space="preserve">22694.67</t>
  </si>
  <si>
    <t xml:space="preserve">15405.36</t>
  </si>
  <si>
    <t xml:space="preserve">7289.31</t>
  </si>
  <si>
    <t xml:space="preserve">07-04-2024</t>
  </si>
  <si>
    <t xml:space="preserve">14-04-2024</t>
  </si>
  <si>
    <t xml:space="preserve">4246.71</t>
  </si>
  <si>
    <t xml:space="preserve">21658.22</t>
  </si>
  <si>
    <t xml:space="preserve">15490.69</t>
  </si>
  <si>
    <t xml:space="preserve">6167.53</t>
  </si>
  <si>
    <t xml:space="preserve">02/22/2024</t>
  </si>
  <si>
    <t xml:space="preserve">980.51</t>
  </si>
  <si>
    <t xml:space="preserve">660.92</t>
  </si>
  <si>
    <t xml:space="preserve">319.59</t>
  </si>
  <si>
    <t xml:space="preserve">04 Jun 2025</t>
  </si>
  <si>
    <t xml:space="preserve">2133.73</t>
  </si>
  <si>
    <t xml:space="preserve">2008.39</t>
  </si>
  <si>
    <t xml:space="preserve">1002.57</t>
  </si>
  <si>
    <t xml:space="preserve">811.1</t>
  </si>
  <si>
    <t xml:space="preserve">2025-03-14</t>
  </si>
  <si>
    <t xml:space="preserve">3979.64</t>
  </si>
  <si>
    <t xml:space="preserve">3780.66</t>
  </si>
  <si>
    <t xml:space="preserve">2148.31</t>
  </si>
  <si>
    <t xml:space="preserve">1632.35</t>
  </si>
  <si>
    <t xml:space="preserve">04/09/2024</t>
  </si>
  <si>
    <t xml:space="preserve">10 Apr 2024</t>
  </si>
  <si>
    <t xml:space="preserve">4359.12</t>
  </si>
  <si>
    <t xml:space="preserve">4141.16</t>
  </si>
  <si>
    <t xml:space="preserve">2754.17</t>
  </si>
  <si>
    <t xml:space="preserve">1386.99</t>
  </si>
  <si>
    <t xml:space="preserve">25-07-2025</t>
  </si>
  <si>
    <t xml:space="preserve">07/27/2025</t>
  </si>
  <si>
    <t xml:space="preserve">3438.38</t>
  </si>
  <si>
    <t xml:space="preserve">16504.22</t>
  </si>
  <si>
    <t xml:space="preserve">11262.71</t>
  </si>
  <si>
    <t xml:space="preserve">5241.51</t>
  </si>
  <si>
    <t xml:space="preserve">2024-10-01</t>
  </si>
  <si>
    <t xml:space="preserve">10/02/2024</t>
  </si>
  <si>
    <t xml:space="preserve">2298</t>
  </si>
  <si>
    <t xml:space="preserve">4596</t>
  </si>
  <si>
    <t xml:space="preserve">3220.33</t>
  </si>
  <si>
    <t xml:space="preserve">1375.67</t>
  </si>
  <si>
    <t xml:space="preserve">03/13/2025</t>
  </si>
  <si>
    <t xml:space="preserve">20-03-2025</t>
  </si>
  <si>
    <t xml:space="preserve">1814.01</t>
  </si>
  <si>
    <t xml:space="preserve">1033.47</t>
  </si>
  <si>
    <t xml:space="preserve">780.54</t>
  </si>
  <si>
    <t xml:space="preserve">12/08/2024</t>
  </si>
  <si>
    <t xml:space="preserve">12/14/2024</t>
  </si>
  <si>
    <t xml:space="preserve">1576.92</t>
  </si>
  <si>
    <t xml:space="preserve">4730.76</t>
  </si>
  <si>
    <t xml:space="preserve">3139.73</t>
  </si>
  <si>
    <t xml:space="preserve">1591.03</t>
  </si>
  <si>
    <t xml:space="preserve">2025-08-15</t>
  </si>
  <si>
    <t xml:space="preserve">2025-08-20</t>
  </si>
  <si>
    <t xml:space="preserve">4081.77</t>
  </si>
  <si>
    <t xml:space="preserve">36735.93</t>
  </si>
  <si>
    <t xml:space="preserve">30820.84</t>
  </si>
  <si>
    <t xml:space="preserve">5915.09</t>
  </si>
  <si>
    <t xml:space="preserve">28-02-2024</t>
  </si>
  <si>
    <t xml:space="preserve">03/02/2024</t>
  </si>
  <si>
    <t xml:space="preserve">701.8</t>
  </si>
  <si>
    <t xml:space="preserve">4421.34</t>
  </si>
  <si>
    <t xml:space="preserve">2489.98</t>
  </si>
  <si>
    <t xml:space="preserve">1931.36</t>
  </si>
  <si>
    <t xml:space="preserve">09/05/2024</t>
  </si>
  <si>
    <t xml:space="preserve">07-09-2024</t>
  </si>
  <si>
    <t xml:space="preserve">2555.66</t>
  </si>
  <si>
    <t xml:space="preserve">6516.93</t>
  </si>
  <si>
    <t xml:space="preserve">4511.54</t>
  </si>
  <si>
    <t xml:space="preserve">2005.39</t>
  </si>
  <si>
    <t xml:space="preserve">2024-06-24</t>
  </si>
  <si>
    <t xml:space="preserve">4359.9</t>
  </si>
  <si>
    <t xml:space="preserve">7411.83</t>
  </si>
  <si>
    <t xml:space="preserve">4904.63</t>
  </si>
  <si>
    <t xml:space="preserve">2507.2</t>
  </si>
  <si>
    <t xml:space="preserve">4346.69</t>
  </si>
  <si>
    <t xml:space="preserve">8258.71</t>
  </si>
  <si>
    <t xml:space="preserve">7018.97</t>
  </si>
  <si>
    <t xml:space="preserve">1239.74</t>
  </si>
  <si>
    <t xml:space="preserve">22 Aug 2025</t>
  </si>
  <si>
    <t xml:space="preserve">2025-08-26</t>
  </si>
  <si>
    <t xml:space="preserve">1842.63</t>
  </si>
  <si>
    <t xml:space="preserve">1658.37</t>
  </si>
  <si>
    <t xml:space="preserve">971.12</t>
  </si>
  <si>
    <t xml:space="preserve">687.25</t>
  </si>
  <si>
    <t xml:space="preserve">04/05/2024</t>
  </si>
  <si>
    <t xml:space="preserve">2024-04-10</t>
  </si>
  <si>
    <t xml:space="preserve">3228.66</t>
  </si>
  <si>
    <t xml:space="preserve">9685.98</t>
  </si>
  <si>
    <t xml:space="preserve">7730.04</t>
  </si>
  <si>
    <t xml:space="preserve">1955.94</t>
  </si>
  <si>
    <t xml:space="preserve">28 Feb 2025</t>
  </si>
  <si>
    <t xml:space="preserve">03-03-2025</t>
  </si>
  <si>
    <t xml:space="preserve">3748.95</t>
  </si>
  <si>
    <t xml:space="preserve">33740.55</t>
  </si>
  <si>
    <t xml:space="preserve">24621.89</t>
  </si>
  <si>
    <t xml:space="preserve">9118.66</t>
  </si>
  <si>
    <t xml:space="preserve">03/07/2024</t>
  </si>
  <si>
    <t xml:space="preserve">11-03-2024</t>
  </si>
  <si>
    <t xml:space="preserve">4401.51</t>
  </si>
  <si>
    <t xml:space="preserve">8362.87</t>
  </si>
  <si>
    <t xml:space="preserve">6541.04</t>
  </si>
  <si>
    <t xml:space="preserve">1821.83</t>
  </si>
  <si>
    <t xml:space="preserve">16 Jul 2025</t>
  </si>
  <si>
    <t xml:space="preserve">07/22/2025</t>
  </si>
  <si>
    <t xml:space="preserve">4159.33</t>
  </si>
  <si>
    <t xml:space="preserve">18716.99</t>
  </si>
  <si>
    <t xml:space="preserve">12282.43</t>
  </si>
  <si>
    <t xml:space="preserve">6434.56</t>
  </si>
  <si>
    <t xml:space="preserve">25 Jun 2025</t>
  </si>
  <si>
    <t xml:space="preserve">28 Jun 2025</t>
  </si>
  <si>
    <t xml:space="preserve">3476.05</t>
  </si>
  <si>
    <t xml:space="preserve">9385.34</t>
  </si>
  <si>
    <t xml:space="preserve">5828.54</t>
  </si>
  <si>
    <t xml:space="preserve">3556.8</t>
  </si>
  <si>
    <t xml:space="preserve">05/26/2025</t>
  </si>
  <si>
    <t xml:space="preserve">3495.41</t>
  </si>
  <si>
    <t xml:space="preserve">17826.59</t>
  </si>
  <si>
    <t xml:space="preserve">10855.35</t>
  </si>
  <si>
    <t xml:space="preserve">6971.24</t>
  </si>
  <si>
    <t xml:space="preserve">2024-10-29</t>
  </si>
  <si>
    <t xml:space="preserve">06-11-2024</t>
  </si>
  <si>
    <t xml:space="preserve">1169.92</t>
  </si>
  <si>
    <t xml:space="preserve">5966.59</t>
  </si>
  <si>
    <t xml:space="preserve">3994.72</t>
  </si>
  <si>
    <t xml:space="preserve">1971.87</t>
  </si>
  <si>
    <t xml:space="preserve">23-01-2025</t>
  </si>
  <si>
    <t xml:space="preserve">2025-01-26</t>
  </si>
  <si>
    <t xml:space="preserve">348.49</t>
  </si>
  <si>
    <t xml:space="preserve">1951.54</t>
  </si>
  <si>
    <t xml:space="preserve">1609.95</t>
  </si>
  <si>
    <t xml:space="preserve">341.59</t>
  </si>
  <si>
    <t xml:space="preserve">2024-11-12</t>
  </si>
  <si>
    <t xml:space="preserve">1719.05</t>
  </si>
  <si>
    <t xml:space="preserve">10830.02</t>
  </si>
  <si>
    <t xml:space="preserve">7055.31</t>
  </si>
  <si>
    <t xml:space="preserve">3774.71</t>
  </si>
  <si>
    <t xml:space="preserve">15-04-2024</t>
  </si>
  <si>
    <t xml:space="preserve">04/23/2024</t>
  </si>
  <si>
    <t xml:space="preserve">3893.74</t>
  </si>
  <si>
    <t xml:space="preserve">31539.29</t>
  </si>
  <si>
    <t xml:space="preserve">22100.14</t>
  </si>
  <si>
    <t xml:space="preserve">9439.15</t>
  </si>
  <si>
    <t xml:space="preserve">01-06-2025</t>
  </si>
  <si>
    <t xml:space="preserve">1654.11</t>
  </si>
  <si>
    <t xml:space="preserve">6285.62</t>
  </si>
  <si>
    <t xml:space="preserve">3705.38</t>
  </si>
  <si>
    <t xml:space="preserve">2580.24</t>
  </si>
  <si>
    <t xml:space="preserve">2025-06-12</t>
  </si>
  <si>
    <t xml:space="preserve">2703.28</t>
  </si>
  <si>
    <t xml:space="preserve">4054.92</t>
  </si>
  <si>
    <t xml:space="preserve">2424.83</t>
  </si>
  <si>
    <t xml:space="preserve">1630.09</t>
  </si>
  <si>
    <t xml:space="preserve">23 Jun 2024</t>
  </si>
  <si>
    <t xml:space="preserve">1313.14</t>
  </si>
  <si>
    <t xml:space="preserve">2363.65</t>
  </si>
  <si>
    <t xml:space="preserve">1876.1</t>
  </si>
  <si>
    <t xml:space="preserve">487.55</t>
  </si>
  <si>
    <t xml:space="preserve">03/06/2024</t>
  </si>
  <si>
    <t xml:space="preserve">2403.05</t>
  </si>
  <si>
    <t xml:space="preserve">12976.47</t>
  </si>
  <si>
    <t xml:space="preserve">10019.98</t>
  </si>
  <si>
    <t xml:space="preserve">2956.49</t>
  </si>
  <si>
    <t xml:space="preserve">01 May 2024</t>
  </si>
  <si>
    <t xml:space="preserve">4156.06</t>
  </si>
  <si>
    <t xml:space="preserve">13299.39</t>
  </si>
  <si>
    <t xml:space="preserve">9851.91</t>
  </si>
  <si>
    <t xml:space="preserve">3447.48</t>
  </si>
  <si>
    <t xml:space="preserve">20 Feb 2025</t>
  </si>
  <si>
    <t xml:space="preserve">3673.11</t>
  </si>
  <si>
    <t xml:space="preserve">14692.44</t>
  </si>
  <si>
    <t xml:space="preserve">10082.19</t>
  </si>
  <si>
    <t xml:space="preserve">4610.25</t>
  </si>
  <si>
    <t xml:space="preserve">2025-07-12</t>
  </si>
  <si>
    <t xml:space="preserve">19 Jul 2025</t>
  </si>
  <si>
    <t xml:space="preserve">4093.04</t>
  </si>
  <si>
    <t xml:space="preserve">29469.89</t>
  </si>
  <si>
    <t xml:space="preserve">18935.51</t>
  </si>
  <si>
    <t xml:space="preserve">10534.38</t>
  </si>
  <si>
    <t xml:space="preserve">PENDING</t>
  </si>
  <si>
    <t xml:space="preserve">2025-06-13</t>
  </si>
  <si>
    <t xml:space="preserve">2025-06-19</t>
  </si>
  <si>
    <t xml:space="preserve">731.57</t>
  </si>
  <si>
    <t xml:space="preserve">2341.02</t>
  </si>
  <si>
    <t xml:space="preserve">1565.49</t>
  </si>
  <si>
    <t xml:space="preserve">775.53</t>
  </si>
  <si>
    <t xml:space="preserve">07/20/2024</t>
  </si>
  <si>
    <t xml:space="preserve">2060.73</t>
  </si>
  <si>
    <t xml:space="preserve">12982.6</t>
  </si>
  <si>
    <t xml:space="preserve">7246.36</t>
  </si>
  <si>
    <t xml:space="preserve">5736.24</t>
  </si>
  <si>
    <t xml:space="preserve">04-07-2024</t>
  </si>
  <si>
    <t xml:space="preserve">08-07-2024</t>
  </si>
  <si>
    <t xml:space="preserve">2034.25</t>
  </si>
  <si>
    <t xml:space="preserve">16274</t>
  </si>
  <si>
    <t xml:space="preserve">9424.25</t>
  </si>
  <si>
    <t xml:space="preserve">6849.75</t>
  </si>
  <si>
    <t xml:space="preserve">27-04-2024</t>
  </si>
  <si>
    <t xml:space="preserve">554.04</t>
  </si>
  <si>
    <t xml:space="preserve">2493.18</t>
  </si>
  <si>
    <t xml:space="preserve">1764</t>
  </si>
  <si>
    <t xml:space="preserve">729.18</t>
  </si>
  <si>
    <t xml:space="preserve">07/31/2024</t>
  </si>
  <si>
    <t xml:space="preserve">2614.74</t>
  </si>
  <si>
    <t xml:space="preserve">15688.44</t>
  </si>
  <si>
    <t xml:space="preserve">10047.33</t>
  </si>
  <si>
    <t xml:space="preserve">5641.11</t>
  </si>
  <si>
    <t xml:space="preserve">2025-05-30</t>
  </si>
  <si>
    <t xml:space="preserve">31-05-2025</t>
  </si>
  <si>
    <t xml:space="preserve">2081.43</t>
  </si>
  <si>
    <t xml:space="preserve">12488.58</t>
  </si>
  <si>
    <t xml:space="preserve">10717.4</t>
  </si>
  <si>
    <t xml:space="preserve">1771.18</t>
  </si>
  <si>
    <t xml:space="preserve">847.76</t>
  </si>
  <si>
    <t xml:space="preserve">6485.36</t>
  </si>
  <si>
    <t xml:space="preserve">5376.17</t>
  </si>
  <si>
    <t xml:space="preserve">1109.19</t>
  </si>
  <si>
    <t xml:space="preserve">2024-07-02</t>
  </si>
  <si>
    <t xml:space="preserve">2024-07-08</t>
  </si>
  <si>
    <t xml:space="preserve">3450.4</t>
  </si>
  <si>
    <t xml:space="preserve">29500.92</t>
  </si>
  <si>
    <t xml:space="preserve">17989.68</t>
  </si>
  <si>
    <t xml:space="preserve">11511.24</t>
  </si>
  <si>
    <t xml:space="preserve">16-02-2024</t>
  </si>
  <si>
    <t xml:space="preserve">02/18/2024</t>
  </si>
  <si>
    <t xml:space="preserve">1947.53</t>
  </si>
  <si>
    <t xml:space="preserve">3116.05</t>
  </si>
  <si>
    <t xml:space="preserve">1159.42</t>
  </si>
  <si>
    <t xml:space="preserve">29-08-2025</t>
  </si>
  <si>
    <t xml:space="preserve">04 Sep 2025</t>
  </si>
  <si>
    <t xml:space="preserve">2996.97</t>
  </si>
  <si>
    <t xml:space="preserve">22926.82</t>
  </si>
  <si>
    <t xml:space="preserve">14621.59</t>
  </si>
  <si>
    <t xml:space="preserve">8305.23</t>
  </si>
  <si>
    <t xml:space="preserve">25 Apr 2024</t>
  </si>
  <si>
    <t xml:space="preserve">30-04-2024</t>
  </si>
  <si>
    <t xml:space="preserve">4149.46</t>
  </si>
  <si>
    <t xml:space="preserve">11203.54</t>
  </si>
  <si>
    <t xml:space="preserve">8452.93</t>
  </si>
  <si>
    <t xml:space="preserve">2750.61</t>
  </si>
  <si>
    <t xml:space="preserve">21 Aug 2024</t>
  </si>
  <si>
    <t xml:space="preserve">08/25/2024</t>
  </si>
  <si>
    <t xml:space="preserve">270.28</t>
  </si>
  <si>
    <t xml:space="preserve">156.34</t>
  </si>
  <si>
    <t xml:space="preserve">113.94</t>
  </si>
  <si>
    <t xml:space="preserve">12/04/2024</t>
  </si>
  <si>
    <t xml:space="preserve">12/06/2024</t>
  </si>
  <si>
    <t xml:space="preserve">876.14</t>
  </si>
  <si>
    <t xml:space="preserve">2628.42</t>
  </si>
  <si>
    <t xml:space="preserve">1541.54</t>
  </si>
  <si>
    <t xml:space="preserve">1086.88</t>
  </si>
  <si>
    <t xml:space="preserve">06/23/2024</t>
  </si>
  <si>
    <t xml:space="preserve">30 Jun 2024</t>
  </si>
  <si>
    <t xml:space="preserve">674.82</t>
  </si>
  <si>
    <t xml:space="preserve">2699.28</t>
  </si>
  <si>
    <t xml:space="preserve">1759.76</t>
  </si>
  <si>
    <t xml:space="preserve">939.52</t>
  </si>
  <si>
    <t xml:space="preserve">12-11-2024</t>
  </si>
  <si>
    <t xml:space="preserve">1369.48</t>
  </si>
  <si>
    <t xml:space="preserve">6984.35</t>
  </si>
  <si>
    <t xml:space="preserve">4023.63</t>
  </si>
  <si>
    <t xml:space="preserve">2960.72</t>
  </si>
  <si>
    <t xml:space="preserve">25-02-2024</t>
  </si>
  <si>
    <t xml:space="preserve">29 Feb 2024</t>
  </si>
  <si>
    <t xml:space="preserve">1331.46</t>
  </si>
  <si>
    <t xml:space="preserve">10185.67</t>
  </si>
  <si>
    <t xml:space="preserve">6479.31</t>
  </si>
  <si>
    <t xml:space="preserve">3706.36</t>
  </si>
  <si>
    <t xml:space="preserve">31 Jul 2025</t>
  </si>
  <si>
    <t xml:space="preserve">1947.88</t>
  </si>
  <si>
    <t xml:space="preserve">1655.7</t>
  </si>
  <si>
    <t xml:space="preserve">1354.8</t>
  </si>
  <si>
    <t xml:space="preserve">300.9</t>
  </si>
  <si>
    <t xml:space="preserve">09/16/2025</t>
  </si>
  <si>
    <t xml:space="preserve">2025-09-22</t>
  </si>
  <si>
    <t xml:space="preserve">3671.2</t>
  </si>
  <si>
    <t xml:space="preserve">15602.6</t>
  </si>
  <si>
    <t xml:space="preserve">11908.52</t>
  </si>
  <si>
    <t xml:space="preserve">3694.08</t>
  </si>
  <si>
    <t xml:space="preserve">2025-07-22</t>
  </si>
  <si>
    <t xml:space="preserve">3187.05</t>
  </si>
  <si>
    <t xml:space="preserve">15138.49</t>
  </si>
  <si>
    <t xml:space="preserve">11235.72</t>
  </si>
  <si>
    <t xml:space="preserve">3902.77</t>
  </si>
  <si>
    <t xml:space="preserve">2024-07-24</t>
  </si>
  <si>
    <t xml:space="preserve">1834.55</t>
  </si>
  <si>
    <t xml:space="preserve">4402.92</t>
  </si>
  <si>
    <t xml:space="preserve">2993.94</t>
  </si>
  <si>
    <t xml:space="preserve">1408.98</t>
  </si>
  <si>
    <t xml:space="preserve">2025-05-29</t>
  </si>
  <si>
    <t xml:space="preserve">3100.68</t>
  </si>
  <si>
    <t xml:space="preserve">18604.08</t>
  </si>
  <si>
    <t xml:space="preserve">15834.3</t>
  </si>
  <si>
    <t xml:space="preserve">2769.78</t>
  </si>
  <si>
    <t xml:space="preserve">12 May 2025</t>
  </si>
  <si>
    <t xml:space="preserve">2025-05-18</t>
  </si>
  <si>
    <t xml:space="preserve">4053.03</t>
  </si>
  <si>
    <t xml:space="preserve">15401.51</t>
  </si>
  <si>
    <t xml:space="preserve">8650.42</t>
  </si>
  <si>
    <t xml:space="preserve">6751.09</t>
  </si>
  <si>
    <t xml:space="preserve">783.09</t>
  </si>
  <si>
    <t xml:space="preserve">503.89</t>
  </si>
  <si>
    <t xml:space="preserve">279.2</t>
  </si>
  <si>
    <t xml:space="preserve">2024-12-06</t>
  </si>
  <si>
    <t xml:space="preserve">2685.66</t>
  </si>
  <si>
    <t xml:space="preserve">10742.64</t>
  </si>
  <si>
    <t xml:space="preserve">6477.37</t>
  </si>
  <si>
    <t xml:space="preserve">4265.27</t>
  </si>
  <si>
    <t xml:space="preserve">27 May 2025</t>
  </si>
  <si>
    <t xml:space="preserve">2025-05-28</t>
  </si>
  <si>
    <t xml:space="preserve">machines</t>
  </si>
  <si>
    <t xml:space="preserve">3911.96</t>
  </si>
  <si>
    <t xml:space="preserve">7823.92</t>
  </si>
  <si>
    <t xml:space="preserve">6034.63</t>
  </si>
  <si>
    <t xml:space="preserve">1789.29</t>
  </si>
  <si>
    <t xml:space="preserve">22 Jun 2025</t>
  </si>
  <si>
    <t xml:space="preserve">2025-06-27</t>
  </si>
  <si>
    <t xml:space="preserve">1468.05</t>
  </si>
  <si>
    <t xml:space="preserve">2936.1</t>
  </si>
  <si>
    <t xml:space="preserve">1923.1</t>
  </si>
  <si>
    <t xml:space="preserve">1013</t>
  </si>
  <si>
    <t xml:space="preserve">12 Sep 2024</t>
  </si>
  <si>
    <t xml:space="preserve">17-09-2024</t>
  </si>
  <si>
    <t xml:space="preserve">1921.47</t>
  </si>
  <si>
    <t xml:space="preserve">12969.92</t>
  </si>
  <si>
    <t xml:space="preserve">9398.46</t>
  </si>
  <si>
    <t xml:space="preserve">3571.46</t>
  </si>
  <si>
    <t xml:space="preserve">06/16/2025</t>
  </si>
  <si>
    <t xml:space="preserve">18 Jun 2025</t>
  </si>
  <si>
    <t xml:space="preserve">4289.37</t>
  </si>
  <si>
    <t xml:space="preserve">11581.3</t>
  </si>
  <si>
    <t xml:space="preserve">6829.43</t>
  </si>
  <si>
    <t xml:space="preserve">4751.87</t>
  </si>
  <si>
    <t xml:space="preserve">03/21/2024</t>
  </si>
  <si>
    <t xml:space="preserve">1992.57</t>
  </si>
  <si>
    <t xml:space="preserve">15940.56</t>
  </si>
  <si>
    <t xml:space="preserve">12347.15</t>
  </si>
  <si>
    <t xml:space="preserve">3593.41</t>
  </si>
  <si>
    <t xml:space="preserve">12 Aug 2024</t>
  </si>
  <si>
    <t xml:space="preserve">18 Aug 2024</t>
  </si>
  <si>
    <t xml:space="preserve">1181.74</t>
  </si>
  <si>
    <t xml:space="preserve">7090.44</t>
  </si>
  <si>
    <t xml:space="preserve">5672.27</t>
  </si>
  <si>
    <t xml:space="preserve">1262.87</t>
  </si>
  <si>
    <t xml:space="preserve">08-12-2024</t>
  </si>
  <si>
    <t xml:space="preserve">4402.36</t>
  </si>
  <si>
    <t xml:space="preserve">26414.16</t>
  </si>
  <si>
    <t xml:space="preserve">21822.53</t>
  </si>
  <si>
    <t xml:space="preserve">4591.63</t>
  </si>
  <si>
    <t xml:space="preserve">22-02-2025</t>
  </si>
  <si>
    <t xml:space="preserve">3265.76</t>
  </si>
  <si>
    <t xml:space="preserve">20900.86</t>
  </si>
  <si>
    <t xml:space="preserve">12513.14</t>
  </si>
  <si>
    <t xml:space="preserve">8387.72</t>
  </si>
  <si>
    <t xml:space="preserve">21 Jan 2024</t>
  </si>
  <si>
    <t xml:space="preserve">01/29/2024</t>
  </si>
  <si>
    <t xml:space="preserve">4058.08</t>
  </si>
  <si>
    <t xml:space="preserve">18261.36</t>
  </si>
  <si>
    <t xml:space="preserve">11399.94</t>
  </si>
  <si>
    <t xml:space="preserve">6861.42</t>
  </si>
  <si>
    <t xml:space="preserve">3960.33</t>
  </si>
  <si>
    <t xml:space="preserve">7524.63</t>
  </si>
  <si>
    <t xml:space="preserve">6229.6</t>
  </si>
  <si>
    <t xml:space="preserve">1295.03</t>
  </si>
  <si>
    <t xml:space="preserve">24-07-2025</t>
  </si>
  <si>
    <t xml:space="preserve">1528.92</t>
  </si>
  <si>
    <t xml:space="preserve">12231.36</t>
  </si>
  <si>
    <t xml:space="preserve">8766.9</t>
  </si>
  <si>
    <t xml:space="preserve">3464.46</t>
  </si>
  <si>
    <t xml:space="preserve">10/03/2025</t>
  </si>
  <si>
    <t xml:space="preserve">3837</t>
  </si>
  <si>
    <t xml:space="preserve">31079.7</t>
  </si>
  <si>
    <t xml:space="preserve">17758.25</t>
  </si>
  <si>
    <t xml:space="preserve">13321.45</t>
  </si>
  <si>
    <t xml:space="preserve">3456.38</t>
  </si>
  <si>
    <t xml:space="preserve">31107.42</t>
  </si>
  <si>
    <t xml:space="preserve">20146.66</t>
  </si>
  <si>
    <t xml:space="preserve">10960.76</t>
  </si>
  <si>
    <t xml:space="preserve">2024-09-14</t>
  </si>
  <si>
    <t xml:space="preserve">2024-09-22</t>
  </si>
  <si>
    <t xml:space="preserve">2765.3</t>
  </si>
  <si>
    <t xml:space="preserve">5530.6</t>
  </si>
  <si>
    <t xml:space="preserve">4453.11</t>
  </si>
  <si>
    <t xml:space="preserve">1077.49</t>
  </si>
  <si>
    <t xml:space="preserve">28-07-2025</t>
  </si>
  <si>
    <t xml:space="preserve">1607.46</t>
  </si>
  <si>
    <t xml:space="preserve">7715.81</t>
  </si>
  <si>
    <t xml:space="preserve">4258.42</t>
  </si>
  <si>
    <t xml:space="preserve">3457.39</t>
  </si>
  <si>
    <t xml:space="preserve">01-12-2024</t>
  </si>
  <si>
    <t xml:space="preserve">2981.49</t>
  </si>
  <si>
    <t xml:space="preserve">11925.96</t>
  </si>
  <si>
    <t xml:space="preserve">10103.51</t>
  </si>
  <si>
    <t xml:space="preserve">1822.45</t>
  </si>
  <si>
    <t xml:space="preserve">06/07/2024</t>
  </si>
  <si>
    <t xml:space="preserve">2860.26</t>
  </si>
  <si>
    <t xml:space="preserve">19306.76</t>
  </si>
  <si>
    <t xml:space="preserve">14442.38</t>
  </si>
  <si>
    <t xml:space="preserve">4864.38</t>
  </si>
  <si>
    <t xml:space="preserve">27-09-2025</t>
  </si>
  <si>
    <t xml:space="preserve">2867.55</t>
  </si>
  <si>
    <t xml:space="preserve">19355.96</t>
  </si>
  <si>
    <t xml:space="preserve">15012.45</t>
  </si>
  <si>
    <t xml:space="preserve">4017.4</t>
  </si>
  <si>
    <t xml:space="preserve">07-01-2024</t>
  </si>
  <si>
    <t xml:space="preserve">14 Jan 2024</t>
  </si>
  <si>
    <t xml:space="preserve">3309.54</t>
  </si>
  <si>
    <t xml:space="preserve">11914.34</t>
  </si>
  <si>
    <t xml:space="preserve">9771.24</t>
  </si>
  <si>
    <t xml:space="preserve">2143.1</t>
  </si>
  <si>
    <t xml:space="preserve">23-05-2025</t>
  </si>
  <si>
    <t xml:space="preserve">719.44</t>
  </si>
  <si>
    <t xml:space="preserve">3237.48</t>
  </si>
  <si>
    <t xml:space="preserve">2118.34</t>
  </si>
  <si>
    <t xml:space="preserve">1119.14</t>
  </si>
  <si>
    <t xml:space="preserve">15 Aug 2025</t>
  </si>
  <si>
    <t xml:space="preserve">2862.6</t>
  </si>
  <si>
    <t xml:space="preserve">10734.75</t>
  </si>
  <si>
    <t xml:space="preserve">6475.73</t>
  </si>
  <si>
    <t xml:space="preserve">4259.02</t>
  </si>
  <si>
    <t xml:space="preserve">21-02-2025</t>
  </si>
  <si>
    <t xml:space="preserve">1431.67</t>
  </si>
  <si>
    <t xml:space="preserve">10308.02</t>
  </si>
  <si>
    <t xml:space="preserve">5822.31</t>
  </si>
  <si>
    <t xml:space="preserve">4485.71</t>
  </si>
  <si>
    <t xml:space="preserve">2024-12-31</t>
  </si>
  <si>
    <t xml:space="preserve">corporate</t>
  </si>
  <si>
    <t xml:space="preserve">3346.78</t>
  </si>
  <si>
    <t xml:space="preserve">20080.68</t>
  </si>
  <si>
    <t xml:space="preserve">12908.84</t>
  </si>
  <si>
    <t xml:space="preserve">7171.84</t>
  </si>
  <si>
    <t xml:space="preserve">12-05-2024</t>
  </si>
  <si>
    <t xml:space="preserve">2024-05-09</t>
  </si>
  <si>
    <t xml:space="preserve">3203.48</t>
  </si>
  <si>
    <t xml:space="preserve">16017.4</t>
  </si>
  <si>
    <t xml:space="preserve">9557.8</t>
  </si>
  <si>
    <t xml:space="preserve">6459.6</t>
  </si>
  <si>
    <t xml:space="preserve">27 Jun 2025</t>
  </si>
  <si>
    <t xml:space="preserve">29 Jun 2025</t>
  </si>
  <si>
    <t xml:space="preserve">621.7</t>
  </si>
  <si>
    <t xml:space="preserve">2486.8</t>
  </si>
  <si>
    <t xml:space="preserve">2131.73</t>
  </si>
  <si>
    <t xml:space="preserve">355.07</t>
  </si>
  <si>
    <t xml:space="preserve">01/29/2025</t>
  </si>
  <si>
    <t xml:space="preserve">546.13</t>
  </si>
  <si>
    <t xml:space="preserve">4369.04</t>
  </si>
  <si>
    <t xml:space="preserve">3716.88</t>
  </si>
  <si>
    <t xml:space="preserve">652.16</t>
  </si>
  <si>
    <t xml:space="preserve">08/09/2025</t>
  </si>
  <si>
    <t xml:space="preserve">2025-08-07</t>
  </si>
  <si>
    <t xml:space="preserve">1253.92</t>
  </si>
  <si>
    <t xml:space="preserve">5956.12</t>
  </si>
  <si>
    <t xml:space="preserve">4379.18</t>
  </si>
  <si>
    <t xml:space="preserve">1576.94</t>
  </si>
  <si>
    <t xml:space="preserve">22-08-2024</t>
  </si>
  <si>
    <t xml:space="preserve">616.96</t>
  </si>
  <si>
    <t xml:space="preserve">4997.38</t>
  </si>
  <si>
    <t xml:space="preserve">2971.39</t>
  </si>
  <si>
    <t xml:space="preserve">2025.99</t>
  </si>
  <si>
    <t xml:space="preserve">17 Jun 2024</t>
  </si>
  <si>
    <t xml:space="preserve">2024-06-20</t>
  </si>
  <si>
    <t xml:space="preserve">3155.25</t>
  </si>
  <si>
    <t xml:space="preserve">17669.4</t>
  </si>
  <si>
    <t xml:space="preserve">13718.77</t>
  </si>
  <si>
    <t xml:space="preserve">3950.63</t>
  </si>
  <si>
    <t xml:space="preserve">2025-04-02</t>
  </si>
  <si>
    <t xml:space="preserve">4165.58</t>
  </si>
  <si>
    <t xml:space="preserve">35615.71</t>
  </si>
  <si>
    <t xml:space="preserve">20389.71</t>
  </si>
  <si>
    <t xml:space="preserve">15226</t>
  </si>
  <si>
    <t xml:space="preserve">23 Aug 2024</t>
  </si>
  <si>
    <t xml:space="preserve">25-08-2024</t>
  </si>
  <si>
    <t xml:space="preserve">491.16</t>
  </si>
  <si>
    <t xml:space="preserve">1866.41</t>
  </si>
  <si>
    <t xml:space="preserve">1576.49</t>
  </si>
  <si>
    <t xml:space="preserve">289.92</t>
  </si>
  <si>
    <t xml:space="preserve">07/07/2025</t>
  </si>
  <si>
    <t xml:space="preserve">07/12/2025</t>
  </si>
  <si>
    <t xml:space="preserve">1831.37</t>
  </si>
  <si>
    <t xml:space="preserve">6867.64</t>
  </si>
  <si>
    <t xml:space="preserve">5205.36</t>
  </si>
  <si>
    <t xml:space="preserve">1662.28</t>
  </si>
  <si>
    <t xml:space="preserve">03/21/2025</t>
  </si>
  <si>
    <t xml:space="preserve">2025-03-24</t>
  </si>
  <si>
    <t xml:space="preserve">1239.15</t>
  </si>
  <si>
    <t xml:space="preserve">6195.75</t>
  </si>
  <si>
    <t xml:space="preserve">3967.02</t>
  </si>
  <si>
    <t xml:space="preserve">2228.73</t>
  </si>
  <si>
    <t xml:space="preserve">15-06-2024</t>
  </si>
  <si>
    <t xml:space="preserve">21-06-2024</t>
  </si>
  <si>
    <t xml:space="preserve">1706.4</t>
  </si>
  <si>
    <t xml:space="preserve">12968.64</t>
  </si>
  <si>
    <t xml:space="preserve">10119.61</t>
  </si>
  <si>
    <t xml:space="preserve">2849.03</t>
  </si>
  <si>
    <t xml:space="preserve">2025-01-16</t>
  </si>
  <si>
    <t xml:space="preserve">2025-01-22</t>
  </si>
  <si>
    <t xml:space="preserve">4418.28</t>
  </si>
  <si>
    <t xml:space="preserve">8836.56</t>
  </si>
  <si>
    <t xml:space="preserve">5867.75</t>
  </si>
  <si>
    <t xml:space="preserve">2968.81</t>
  </si>
  <si>
    <t xml:space="preserve">03/16/2024</t>
  </si>
  <si>
    <t xml:space="preserve">3815.09</t>
  </si>
  <si>
    <t xml:space="preserve">19456.96</t>
  </si>
  <si>
    <t xml:space="preserve">14520.06</t>
  </si>
  <si>
    <t xml:space="preserve">4936.9</t>
  </si>
  <si>
    <t xml:space="preserve">243.19</t>
  </si>
  <si>
    <t xml:space="preserve">2079.27</t>
  </si>
  <si>
    <t xml:space="preserve">1512.17</t>
  </si>
  <si>
    <t xml:space="preserve">567.1</t>
  </si>
  <si>
    <t xml:space="preserve">1169.37</t>
  </si>
  <si>
    <t xml:space="preserve">8945.68</t>
  </si>
  <si>
    <t xml:space="preserve">6740.35</t>
  </si>
  <si>
    <t xml:space="preserve">2205.33</t>
  </si>
  <si>
    <t xml:space="preserve">08/15/2024</t>
  </si>
  <si>
    <t xml:space="preserve">2333.81</t>
  </si>
  <si>
    <t xml:space="preserve">13069.34</t>
  </si>
  <si>
    <t xml:space="preserve">8768.59</t>
  </si>
  <si>
    <t xml:space="preserve">4300.75</t>
  </si>
  <si>
    <t xml:space="preserve">2024-01-24</t>
  </si>
  <si>
    <t xml:space="preserve">1026.06</t>
  </si>
  <si>
    <t xml:space="preserve">4617.27</t>
  </si>
  <si>
    <t xml:space="preserve">2981.94</t>
  </si>
  <si>
    <t xml:space="preserve">1635.33</t>
  </si>
  <si>
    <t xml:space="preserve">2025-08-16</t>
  </si>
  <si>
    <t xml:space="preserve">1530.36</t>
  </si>
  <si>
    <t xml:space="preserve">7651.8</t>
  </si>
  <si>
    <t xml:space="preserve">5171.78</t>
  </si>
  <si>
    <t xml:space="preserve">2480.02</t>
  </si>
  <si>
    <t xml:space="preserve">2025-04-13</t>
  </si>
  <si>
    <t xml:space="preserve">1118.68</t>
  </si>
  <si>
    <t xml:space="preserve">10068.12</t>
  </si>
  <si>
    <t xml:space="preserve">8595.37</t>
  </si>
  <si>
    <t xml:space="preserve">1472.75</t>
  </si>
  <si>
    <t xml:space="preserve">2025-02-27</t>
  </si>
  <si>
    <t xml:space="preserve">28-02-2025</t>
  </si>
  <si>
    <t xml:space="preserve">2393.25</t>
  </si>
  <si>
    <t xml:space="preserve">14359.5</t>
  </si>
  <si>
    <t xml:space="preserve">8117.71</t>
  </si>
  <si>
    <t xml:space="preserve">6241.79</t>
  </si>
  <si>
    <t xml:space="preserve">31-12-2024</t>
  </si>
  <si>
    <t xml:space="preserve">04 Jan 2025</t>
  </si>
  <si>
    <t xml:space="preserve">1166.61</t>
  </si>
  <si>
    <t xml:space="preserve">2624.87</t>
  </si>
  <si>
    <t xml:space="preserve">2253.88</t>
  </si>
  <si>
    <t xml:space="preserve">370.99</t>
  </si>
  <si>
    <t xml:space="preserve">29-12-2024</t>
  </si>
  <si>
    <t xml:space="preserve">1844.78</t>
  </si>
  <si>
    <t xml:space="preserve">8854.94</t>
  </si>
  <si>
    <t xml:space="preserve">7433.95</t>
  </si>
  <si>
    <t xml:space="preserve">1420.99</t>
  </si>
  <si>
    <t xml:space="preserve">22-05-2025</t>
  </si>
  <si>
    <t xml:space="preserve">3910.61</t>
  </si>
  <si>
    <t xml:space="preserve">7821.22</t>
  </si>
  <si>
    <t xml:space="preserve">4994.46</t>
  </si>
  <si>
    <t xml:space="preserve">2826.76</t>
  </si>
  <si>
    <t xml:space="preserve">09/19/2024</t>
  </si>
  <si>
    <t xml:space="preserve">23 Sep 2024</t>
  </si>
  <si>
    <t xml:space="preserve">1136.68</t>
  </si>
  <si>
    <t xml:space="preserve">7956.76</t>
  </si>
  <si>
    <t xml:space="preserve">4799.54</t>
  </si>
  <si>
    <t xml:space="preserve">3157.22</t>
  </si>
  <si>
    <t xml:space="preserve">07 Apr 2024</t>
  </si>
  <si>
    <t xml:space="preserve">2235.85</t>
  </si>
  <si>
    <t xml:space="preserve">8384.44</t>
  </si>
  <si>
    <t xml:space="preserve">4765.96</t>
  </si>
  <si>
    <t xml:space="preserve">3618.48</t>
  </si>
  <si>
    <t xml:space="preserve">2025-09-19</t>
  </si>
  <si>
    <t xml:space="preserve">23-09-2025</t>
  </si>
  <si>
    <t xml:space="preserve">HOME OFFICE</t>
  </si>
  <si>
    <t xml:space="preserve">4387.15</t>
  </si>
  <si>
    <t xml:space="preserve">16671.17</t>
  </si>
  <si>
    <t xml:space="preserve">10833.19</t>
  </si>
  <si>
    <t xml:space="preserve">5837.98</t>
  </si>
  <si>
    <t xml:space="preserve">04 Mar 2025</t>
  </si>
  <si>
    <t xml:space="preserve">TECHNOLOGY</t>
  </si>
  <si>
    <t xml:space="preserve">4361.85</t>
  </si>
  <si>
    <t xml:space="preserve">10468.44</t>
  </si>
  <si>
    <t xml:space="preserve">8399.87</t>
  </si>
  <si>
    <t xml:space="preserve">2068.57</t>
  </si>
  <si>
    <t xml:space="preserve">2242.75</t>
  </si>
  <si>
    <t xml:space="preserve">4485.5</t>
  </si>
  <si>
    <t xml:space="preserve">3131.86</t>
  </si>
  <si>
    <t xml:space="preserve">1353.64</t>
  </si>
  <si>
    <t xml:space="preserve">15-03-2024</t>
  </si>
  <si>
    <t xml:space="preserve">2024-03-20</t>
  </si>
  <si>
    <t xml:space="preserve">1881.4</t>
  </si>
  <si>
    <t xml:space="preserve">2822.1</t>
  </si>
  <si>
    <t xml:space="preserve">1624.57</t>
  </si>
  <si>
    <t xml:space="preserve">1197.53</t>
  </si>
  <si>
    <t xml:space="preserve">30 Jun 2025</t>
  </si>
  <si>
    <t xml:space="preserve">365.76</t>
  </si>
  <si>
    <t xml:space="preserve">1975.1</t>
  </si>
  <si>
    <t xml:space="preserve">1115.35</t>
  </si>
  <si>
    <t xml:space="preserve">859.75</t>
  </si>
  <si>
    <t xml:space="preserve">14-02-2025</t>
  </si>
  <si>
    <t xml:space="preserve">2786.66</t>
  </si>
  <si>
    <t xml:space="preserve">20063.95</t>
  </si>
  <si>
    <t xml:space="preserve">14363.38</t>
  </si>
  <si>
    <t xml:space="preserve">5700.57</t>
  </si>
  <si>
    <t xml:space="preserve">352.86</t>
  </si>
  <si>
    <t xml:space="preserve">1764.3</t>
  </si>
  <si>
    <t xml:space="preserve">1332.49</t>
  </si>
  <si>
    <t xml:space="preserve">431.81</t>
  </si>
  <si>
    <t xml:space="preserve">2024-05-13</t>
  </si>
  <si>
    <t xml:space="preserve">18 May 2024</t>
  </si>
  <si>
    <t xml:space="preserve">3128.59</t>
  </si>
  <si>
    <t xml:space="preserve">9385.77</t>
  </si>
  <si>
    <t xml:space="preserve">6872.44</t>
  </si>
  <si>
    <t xml:space="preserve">2783.66</t>
  </si>
  <si>
    <t xml:space="preserve">05 Apr 2024</t>
  </si>
  <si>
    <t xml:space="preserve">1937.54</t>
  </si>
  <si>
    <t xml:space="preserve">7750.16</t>
  </si>
  <si>
    <t xml:space="preserve">5434.3</t>
  </si>
  <si>
    <t xml:space="preserve">2315.86</t>
  </si>
  <si>
    <t xml:space="preserve">06 Nov 2024</t>
  </si>
  <si>
    <t xml:space="preserve">1917.26</t>
  </si>
  <si>
    <t xml:space="preserve">6135.23</t>
  </si>
  <si>
    <t xml:space="preserve">3439.79</t>
  </si>
  <si>
    <t xml:space="preserve">2695.44</t>
  </si>
  <si>
    <t xml:space="preserve">14 Feb 2025</t>
  </si>
  <si>
    <t xml:space="preserve">714.43</t>
  </si>
  <si>
    <t xml:space="preserve">565.44</t>
  </si>
  <si>
    <t xml:space="preserve">148.99</t>
  </si>
  <si>
    <t xml:space="preserve">02/19/2024</t>
  </si>
  <si>
    <t xml:space="preserve">22 Feb 2024</t>
  </si>
  <si>
    <t xml:space="preserve">4053.01</t>
  </si>
  <si>
    <t xml:space="preserve">36477.09</t>
  </si>
  <si>
    <t xml:space="preserve">24525.48</t>
  </si>
  <si>
    <t xml:space="preserve">11951.61</t>
  </si>
  <si>
    <t xml:space="preserve">2024-08-23</t>
  </si>
  <si>
    <t xml:space="preserve">08/29/2024</t>
  </si>
  <si>
    <t xml:space="preserve">1936.91</t>
  </si>
  <si>
    <t xml:space="preserve">3680.13</t>
  </si>
  <si>
    <t xml:space="preserve">2967.46</t>
  </si>
  <si>
    <t xml:space="preserve">712.67</t>
  </si>
  <si>
    <t xml:space="preserve">03-04-2024</t>
  </si>
  <si>
    <t xml:space="preserve">04 Apr 2024</t>
  </si>
  <si>
    <t xml:space="preserve">3945.21</t>
  </si>
  <si>
    <t xml:space="preserve">27616.47</t>
  </si>
  <si>
    <t xml:space="preserve">21225.26</t>
  </si>
  <si>
    <t xml:space="preserve">6391.21</t>
  </si>
  <si>
    <t xml:space="preserve">861.91</t>
  </si>
  <si>
    <t xml:space="preserve">5731.7</t>
  </si>
  <si>
    <t xml:space="preserve">4115.56</t>
  </si>
  <si>
    <t xml:space="preserve">1616.14</t>
  </si>
  <si>
    <t xml:space="preserve">2025-04-14</t>
  </si>
  <si>
    <t xml:space="preserve">22 Apr 2025</t>
  </si>
  <si>
    <t xml:space="preserve">638.73</t>
  </si>
  <si>
    <t xml:space="preserve">1213.59</t>
  </si>
  <si>
    <t xml:space="preserve">956.22</t>
  </si>
  <si>
    <t xml:space="preserve">257.37</t>
  </si>
  <si>
    <t xml:space="preserve">09 Jun 2025</t>
  </si>
  <si>
    <t xml:space="preserve">10 Jun 2025</t>
  </si>
  <si>
    <t xml:space="preserve">1731.88</t>
  </si>
  <si>
    <t xml:space="preserve">3463.76</t>
  </si>
  <si>
    <t xml:space="preserve">2143.74</t>
  </si>
  <si>
    <t xml:space="preserve">1320.02</t>
  </si>
  <si>
    <t xml:space="preserve">19 Jul 2024</t>
  </si>
  <si>
    <t xml:space="preserve">2024-07-26</t>
  </si>
  <si>
    <t xml:space="preserve">1263.65</t>
  </si>
  <si>
    <t xml:space="preserve">2021.84</t>
  </si>
  <si>
    <t xml:space="preserve">1355.22</t>
  </si>
  <si>
    <t xml:space="preserve">666.62</t>
  </si>
  <si>
    <t xml:space="preserve">06-06-2025</t>
  </si>
  <si>
    <t xml:space="preserve">2025-06-11</t>
  </si>
  <si>
    <t xml:space="preserve">878.09</t>
  </si>
  <si>
    <t xml:space="preserve">5839.3</t>
  </si>
  <si>
    <t xml:space="preserve">4877.38</t>
  </si>
  <si>
    <t xml:space="preserve">961.92</t>
  </si>
  <si>
    <t xml:space="preserve">09 Mar 2025</t>
  </si>
  <si>
    <t xml:space="preserve">16-03-2025</t>
  </si>
  <si>
    <t xml:space="preserve">2625.85</t>
  </si>
  <si>
    <t xml:space="preserve">7877.55</t>
  </si>
  <si>
    <t xml:space="preserve">5562.77</t>
  </si>
  <si>
    <t xml:space="preserve">2314.78</t>
  </si>
  <si>
    <t xml:space="preserve">22 Mar 2024</t>
  </si>
  <si>
    <t xml:space="preserve">03/22/2024</t>
  </si>
  <si>
    <t xml:space="preserve">1365.26</t>
  </si>
  <si>
    <t xml:space="preserve">4095.78</t>
  </si>
  <si>
    <t xml:space="preserve">2807.77</t>
  </si>
  <si>
    <t xml:space="preserve">1288.01</t>
  </si>
  <si>
    <t xml:space="preserve">09/30/2024</t>
  </si>
  <si>
    <t xml:space="preserve">04-10-2024</t>
  </si>
  <si>
    <t xml:space="preserve">PAPER</t>
  </si>
  <si>
    <t xml:space="preserve">3512.25</t>
  </si>
  <si>
    <t xml:space="preserve">16683.19</t>
  </si>
  <si>
    <t xml:space="preserve">10301.16</t>
  </si>
  <si>
    <t xml:space="preserve">6382.03</t>
  </si>
  <si>
    <t xml:space="preserve">27 Jan 2024</t>
  </si>
  <si>
    <t xml:space="preserve">02/03/2024</t>
  </si>
  <si>
    <t xml:space="preserve">359.61</t>
  </si>
  <si>
    <t xml:space="preserve">1078.83</t>
  </si>
  <si>
    <t xml:space="preserve">926.35</t>
  </si>
  <si>
    <t xml:space="preserve">152.48</t>
  </si>
  <si>
    <t xml:space="preserve">09/23/2024</t>
  </si>
  <si>
    <t xml:space="preserve">24 Sep 2024</t>
  </si>
  <si>
    <t xml:space="preserve">3878.01</t>
  </si>
  <si>
    <t xml:space="preserve">24431.46</t>
  </si>
  <si>
    <t xml:space="preserve">18202.36</t>
  </si>
  <si>
    <t xml:space="preserve">6229.1</t>
  </si>
  <si>
    <t xml:space="preserve">25 Feb 2025</t>
  </si>
  <si>
    <t xml:space="preserve">3924.2</t>
  </si>
  <si>
    <t xml:space="preserve">5886.3</t>
  </si>
  <si>
    <t xml:space="preserve">3621.76</t>
  </si>
  <si>
    <t xml:space="preserve">2264.54</t>
  </si>
  <si>
    <t xml:space="preserve">12 May 2024</t>
  </si>
  <si>
    <t xml:space="preserve">13 May 2024</t>
  </si>
  <si>
    <t xml:space="preserve">2644.55</t>
  </si>
  <si>
    <t xml:space="preserve">7933.65</t>
  </si>
  <si>
    <t xml:space="preserve">5698.42</t>
  </si>
  <si>
    <t xml:space="preserve">2235.23</t>
  </si>
  <si>
    <t xml:space="preserve">1773.46</t>
  </si>
  <si>
    <t xml:space="preserve">7093.84</t>
  </si>
  <si>
    <t xml:space="preserve">4587.49</t>
  </si>
  <si>
    <t xml:space="preserve">2506.35</t>
  </si>
  <si>
    <t xml:space="preserve">3025.46</t>
  </si>
  <si>
    <t xml:space="preserve">2269.1</t>
  </si>
  <si>
    <t xml:space="preserve">1593.59</t>
  </si>
  <si>
    <t xml:space="preserve">675.51</t>
  </si>
  <si>
    <t xml:space="preserve">2024-04-12</t>
  </si>
  <si>
    <t xml:space="preserve">20 Apr 2024</t>
  </si>
  <si>
    <t xml:space="preserve">1302.61</t>
  </si>
  <si>
    <t xml:space="preserve">9378.79</t>
  </si>
  <si>
    <t xml:space="preserve">6774.48</t>
  </si>
  <si>
    <t xml:space="preserve">2604.31</t>
  </si>
  <si>
    <t xml:space="preserve">2025-08-23</t>
  </si>
  <si>
    <t xml:space="preserve">2025-08-28</t>
  </si>
  <si>
    <t xml:space="preserve">4167.81</t>
  </si>
  <si>
    <t xml:space="preserve">3334.25</t>
  </si>
  <si>
    <t xml:space="preserve">2768.77</t>
  </si>
  <si>
    <t xml:space="preserve">565.48</t>
  </si>
  <si>
    <t xml:space="preserve">2024-01-22</t>
  </si>
  <si>
    <t xml:space="preserve">2111.39</t>
  </si>
  <si>
    <t xml:space="preserve">1583.54</t>
  </si>
  <si>
    <t xml:space="preserve">1014.19</t>
  </si>
  <si>
    <t xml:space="preserve">569.35</t>
  </si>
  <si>
    <t xml:space="preserve">17-08-2025</t>
  </si>
  <si>
    <t xml:space="preserve">1918.23</t>
  </si>
  <si>
    <t xml:space="preserve">15345.84</t>
  </si>
  <si>
    <t xml:space="preserve">10735.33</t>
  </si>
  <si>
    <t xml:space="preserve">4610.51</t>
  </si>
  <si>
    <t xml:space="preserve">2024-08-29</t>
  </si>
  <si>
    <t xml:space="preserve">08/30/2024</t>
  </si>
  <si>
    <t xml:space="preserve">2484.08</t>
  </si>
  <si>
    <t xml:space="preserve">9439.5</t>
  </si>
  <si>
    <t xml:space="preserve">5519.39</t>
  </si>
  <si>
    <t xml:space="preserve">3920.11</t>
  </si>
  <si>
    <t xml:space="preserve">01/25/2024</t>
  </si>
  <si>
    <t xml:space="preserve">1727.26</t>
  </si>
  <si>
    <t xml:space="preserve">10277.2</t>
  </si>
  <si>
    <t xml:space="preserve">7906.5</t>
  </si>
  <si>
    <t xml:space="preserve">2370.7</t>
  </si>
  <si>
    <t xml:space="preserve">2025-01-08</t>
  </si>
  <si>
    <t xml:space="preserve">16-01-2025</t>
  </si>
  <si>
    <t xml:space="preserve">638.95</t>
  </si>
  <si>
    <t xml:space="preserve">3833.7</t>
  </si>
  <si>
    <t xml:space="preserve">2886.35</t>
  </si>
  <si>
    <t xml:space="preserve">947.35</t>
  </si>
  <si>
    <t xml:space="preserve">02/05/2025</t>
  </si>
  <si>
    <t xml:space="preserve">3863</t>
  </si>
  <si>
    <t xml:space="preserve">18542.4</t>
  </si>
  <si>
    <t xml:space="preserve">11193.75</t>
  </si>
  <si>
    <t xml:space="preserve">7348.65</t>
  </si>
  <si>
    <t xml:space="preserve">11/09/2024</t>
  </si>
  <si>
    <t xml:space="preserve">11/17/2024</t>
  </si>
  <si>
    <t xml:space="preserve">3660.4</t>
  </si>
  <si>
    <t xml:space="preserve">21962.4</t>
  </si>
  <si>
    <t xml:space="preserve">15331.99</t>
  </si>
  <si>
    <t xml:space="preserve">6630.41</t>
  </si>
  <si>
    <t xml:space="preserve">26-09-2025</t>
  </si>
  <si>
    <t xml:space="preserve">09/30/2025</t>
  </si>
  <si>
    <t xml:space="preserve">688.83</t>
  </si>
  <si>
    <t xml:space="preserve">1308.78</t>
  </si>
  <si>
    <t xml:space="preserve">843</t>
  </si>
  <si>
    <t xml:space="preserve">465.78</t>
  </si>
  <si>
    <t xml:space="preserve">2025-03-19</t>
  </si>
  <si>
    <t xml:space="preserve">1209.99</t>
  </si>
  <si>
    <t xml:space="preserve">1814.99</t>
  </si>
  <si>
    <t xml:space="preserve">1120.06</t>
  </si>
  <si>
    <t xml:space="preserve">694.93</t>
  </si>
  <si>
    <t xml:space="preserve">06/14/2025</t>
  </si>
  <si>
    <t xml:space="preserve">19 Jun 2025</t>
  </si>
  <si>
    <t xml:space="preserve">1037.45</t>
  </si>
  <si>
    <t xml:space="preserve">2489.88</t>
  </si>
  <si>
    <t xml:space="preserve">1707.52</t>
  </si>
  <si>
    <t xml:space="preserve">782.36</t>
  </si>
  <si>
    <t xml:space="preserve">09/03/2025</t>
  </si>
  <si>
    <t xml:space="preserve">06 Sep 2025</t>
  </si>
  <si>
    <t xml:space="preserve">688.85</t>
  </si>
  <si>
    <t xml:space="preserve">4098.66</t>
  </si>
  <si>
    <t xml:space="preserve">2678.06</t>
  </si>
  <si>
    <t xml:space="preserve">1420.6</t>
  </si>
  <si>
    <t xml:space="preserve">2024-02-20</t>
  </si>
  <si>
    <t xml:space="preserve">27-02-2024</t>
  </si>
  <si>
    <t xml:space="preserve">FIRST CLASS</t>
  </si>
  <si>
    <t xml:space="preserve">3779.31</t>
  </si>
  <si>
    <t xml:space="preserve">27211.03</t>
  </si>
  <si>
    <t xml:space="preserve">17940.43</t>
  </si>
  <si>
    <t xml:space="preserve">9270.6</t>
  </si>
  <si>
    <t xml:space="preserve">06/26/2024</t>
  </si>
  <si>
    <t xml:space="preserve">2024-06-29</t>
  </si>
  <si>
    <t xml:space="preserve">804.52</t>
  </si>
  <si>
    <t xml:space="preserve">6436.16</t>
  </si>
  <si>
    <t xml:space="preserve">4263.83</t>
  </si>
  <si>
    <t xml:space="preserve">2172.33</t>
  </si>
  <si>
    <t xml:space="preserve">26-09-2024</t>
  </si>
  <si>
    <t xml:space="preserve">09/27/2024</t>
  </si>
  <si>
    <t xml:space="preserve">1065.69</t>
  </si>
  <si>
    <t xml:space="preserve">1918.24</t>
  </si>
  <si>
    <t xml:space="preserve">1373.52</t>
  </si>
  <si>
    <t xml:space="preserve">544.72</t>
  </si>
  <si>
    <t xml:space="preserve">30-06-2024</t>
  </si>
  <si>
    <t xml:space="preserve">01-07-2024</t>
  </si>
  <si>
    <t xml:space="preserve">3756.66</t>
  </si>
  <si>
    <t xml:space="preserve">27047.95</t>
  </si>
  <si>
    <t xml:space="preserve">18431.33</t>
  </si>
  <si>
    <t xml:space="preserve">8616.62</t>
  </si>
  <si>
    <t xml:space="preserve">2025-04-22</t>
  </si>
  <si>
    <t xml:space="preserve">24-04-2025</t>
  </si>
  <si>
    <t xml:space="preserve">2939.44</t>
  </si>
  <si>
    <t xml:space="preserve">26454.96</t>
  </si>
  <si>
    <t xml:space="preserve">17630.25</t>
  </si>
  <si>
    <t xml:space="preserve">8824.71</t>
  </si>
  <si>
    <t xml:space="preserve">2025-03-15</t>
  </si>
  <si>
    <t xml:space="preserve">22 Mar 2025</t>
  </si>
  <si>
    <t xml:space="preserve">1235.93</t>
  </si>
  <si>
    <t xml:space="preserve">1853.89</t>
  </si>
  <si>
    <t xml:space="preserve">1101.23</t>
  </si>
  <si>
    <t xml:space="preserve">752.66</t>
  </si>
  <si>
    <t xml:space="preserve">01 Mar 2025</t>
  </si>
  <si>
    <t xml:space="preserve">08-03-2025</t>
  </si>
  <si>
    <t xml:space="preserve">2943.1</t>
  </si>
  <si>
    <t xml:space="preserve">17658.6</t>
  </si>
  <si>
    <t xml:space="preserve">13842.48</t>
  </si>
  <si>
    <t xml:space="preserve">3816.12</t>
  </si>
  <si>
    <t xml:space="preserve">30 Aug 2024</t>
  </si>
  <si>
    <t xml:space="preserve">02-09-2024</t>
  </si>
  <si>
    <t xml:space="preserve">4320.84</t>
  </si>
  <si>
    <t xml:space="preserve">3672.71</t>
  </si>
  <si>
    <t xml:space="preserve">2714.23</t>
  </si>
  <si>
    <t xml:space="preserve">763.38</t>
  </si>
  <si>
    <t xml:space="preserve">02/13/2024</t>
  </si>
  <si>
    <t xml:space="preserve">4118.45</t>
  </si>
  <si>
    <t xml:space="preserve">6177.67</t>
  </si>
  <si>
    <t xml:space="preserve">4520.75</t>
  </si>
  <si>
    <t xml:space="preserve">1656.92</t>
  </si>
  <si>
    <t xml:space="preserve">172.82</t>
  </si>
  <si>
    <t xml:space="preserve">985.07</t>
  </si>
  <si>
    <t xml:space="preserve">844.48</t>
  </si>
  <si>
    <t xml:space="preserve">140.59</t>
  </si>
  <si>
    <t xml:space="preserve">04/19/2024</t>
  </si>
  <si>
    <t xml:space="preserve">20-04-2024</t>
  </si>
  <si>
    <t xml:space="preserve">1540.22</t>
  </si>
  <si>
    <t xml:space="preserve">6160.88</t>
  </si>
  <si>
    <t xml:space="preserve">4938.7</t>
  </si>
  <si>
    <t xml:space="preserve">1222.18</t>
  </si>
  <si>
    <t xml:space="preserve">04/11/2025</t>
  </si>
  <si>
    <t xml:space="preserve">2025-04-15</t>
  </si>
  <si>
    <t xml:space="preserve">652.78</t>
  </si>
  <si>
    <t xml:space="preserve">3263.9</t>
  </si>
  <si>
    <t xml:space="preserve">2068.44</t>
  </si>
  <si>
    <t xml:space="preserve">1195.46</t>
  </si>
  <si>
    <t xml:space="preserve">2025-04-12</t>
  </si>
  <si>
    <t xml:space="preserve">2737.71</t>
  </si>
  <si>
    <t xml:space="preserve">2327.05</t>
  </si>
  <si>
    <t xml:space="preserve">1919.42</t>
  </si>
  <si>
    <t xml:space="preserve">407.63</t>
  </si>
  <si>
    <t xml:space="preserve">16 Jun 2024</t>
  </si>
  <si>
    <t xml:space="preserve">21 Jun 2024</t>
  </si>
  <si>
    <t xml:space="preserve">1156.78</t>
  </si>
  <si>
    <t xml:space="preserve">6593.65</t>
  </si>
  <si>
    <t xml:space="preserve">4359.39</t>
  </si>
  <si>
    <t xml:space="preserve">2234.26</t>
  </si>
  <si>
    <t xml:space="preserve">15-02-2024</t>
  </si>
  <si>
    <t xml:space="preserve">2024-02-18</t>
  </si>
  <si>
    <t xml:space="preserve">379.82</t>
  </si>
  <si>
    <t xml:space="preserve">2886.63</t>
  </si>
  <si>
    <t xml:space="preserve">1588.23</t>
  </si>
  <si>
    <t xml:space="preserve">1298.4</t>
  </si>
  <si>
    <t xml:space="preserve">05/05/2025</t>
  </si>
  <si>
    <t xml:space="preserve">2266.47</t>
  </si>
  <si>
    <t xml:space="preserve">1813.18</t>
  </si>
  <si>
    <t xml:space="preserve">1363.64</t>
  </si>
  <si>
    <t xml:space="preserve">449.54</t>
  </si>
  <si>
    <t xml:space="preserve">30-06-2025</t>
  </si>
  <si>
    <t xml:space="preserve">03 Jul 2025</t>
  </si>
  <si>
    <t xml:space="preserve">665.25</t>
  </si>
  <si>
    <t xml:space="preserve">3326.25</t>
  </si>
  <si>
    <t xml:space="preserve">2689.36</t>
  </si>
  <si>
    <t xml:space="preserve">636.89</t>
  </si>
  <si>
    <t xml:space="preserve">04/02/2024</t>
  </si>
  <si>
    <t xml:space="preserve">04/08/2024</t>
  </si>
  <si>
    <t xml:space="preserve">3722.84</t>
  </si>
  <si>
    <t xml:space="preserve">17869.63</t>
  </si>
  <si>
    <t xml:space="preserve">12163.8</t>
  </si>
  <si>
    <t xml:space="preserve">5705.83</t>
  </si>
  <si>
    <t xml:space="preserve">03-10-2024</t>
  </si>
  <si>
    <t xml:space="preserve">4217.49</t>
  </si>
  <si>
    <t xml:space="preserve">25304.94</t>
  </si>
  <si>
    <t xml:space="preserve">20771.95</t>
  </si>
  <si>
    <t xml:space="preserve">4532.99</t>
  </si>
  <si>
    <t xml:space="preserve">12 Jan 2025</t>
  </si>
  <si>
    <t xml:space="preserve">2025-01-19</t>
  </si>
  <si>
    <t xml:space="preserve">1842.31</t>
  </si>
  <si>
    <t xml:space="preserve">1019.17</t>
  </si>
  <si>
    <t xml:space="preserve">823.14</t>
  </si>
  <si>
    <t xml:space="preserve">04-04-2024</t>
  </si>
  <si>
    <t xml:space="preserve">3683.75</t>
  </si>
  <si>
    <t xml:space="preserve">3315.38</t>
  </si>
  <si>
    <t xml:space="preserve">2347.68</t>
  </si>
  <si>
    <t xml:space="preserve">967.7</t>
  </si>
  <si>
    <t xml:space="preserve">12 Aug 2025</t>
  </si>
  <si>
    <t xml:space="preserve">2379.24</t>
  </si>
  <si>
    <t xml:space="preserve">20342.5</t>
  </si>
  <si>
    <t xml:space="preserve">12407.51</t>
  </si>
  <si>
    <t xml:space="preserve">7934.99</t>
  </si>
  <si>
    <t xml:space="preserve">05/09/2024</t>
  </si>
  <si>
    <t xml:space="preserve">05-05-2024</t>
  </si>
  <si>
    <t xml:space="preserve">2111.23</t>
  </si>
  <si>
    <t xml:space="preserve">3377.97</t>
  </si>
  <si>
    <t xml:space="preserve">2496.29</t>
  </si>
  <si>
    <t xml:space="preserve">881.68</t>
  </si>
  <si>
    <t xml:space="preserve">18-09-2025</t>
  </si>
  <si>
    <t xml:space="preserve">19-09-2025</t>
  </si>
  <si>
    <t xml:space="preserve">4242.51</t>
  </si>
  <si>
    <t xml:space="preserve">33940.08</t>
  </si>
  <si>
    <t xml:space="preserve">23754.19</t>
  </si>
  <si>
    <t xml:space="preserve">10185.89</t>
  </si>
  <si>
    <t xml:space="preserve">10 Aug 2025</t>
  </si>
  <si>
    <t xml:space="preserve">4288.7</t>
  </si>
  <si>
    <t xml:space="preserve">21872.37</t>
  </si>
  <si>
    <t xml:space="preserve">13829.5</t>
  </si>
  <si>
    <t xml:space="preserve">8042.87</t>
  </si>
  <si>
    <t xml:space="preserve">01/15/2024</t>
  </si>
  <si>
    <t xml:space="preserve">201.21</t>
  </si>
  <si>
    <t xml:space="preserve">342.06</t>
  </si>
  <si>
    <t xml:space="preserve">244.57</t>
  </si>
  <si>
    <t xml:space="preserve">97.49</t>
  </si>
  <si>
    <t xml:space="preserve">06-06-2024</t>
  </si>
  <si>
    <t xml:space="preserve">13 Jun 2024</t>
  </si>
  <si>
    <t xml:space="preserve">3270.36</t>
  </si>
  <si>
    <t xml:space="preserve">19622.16</t>
  </si>
  <si>
    <t xml:space="preserve">14271.27</t>
  </si>
  <si>
    <t xml:space="preserve">5350.89</t>
  </si>
  <si>
    <t xml:space="preserve">06/12/2025</t>
  </si>
  <si>
    <t xml:space="preserve">2278.57</t>
  </si>
  <si>
    <t xml:space="preserve">15380.35</t>
  </si>
  <si>
    <t xml:space="preserve">9907.37</t>
  </si>
  <si>
    <t xml:space="preserve">5472.98</t>
  </si>
  <si>
    <t xml:space="preserve">24-03-2024</t>
  </si>
  <si>
    <t xml:space="preserve">26-03-2024</t>
  </si>
  <si>
    <t xml:space="preserve">1917.64</t>
  </si>
  <si>
    <t xml:space="preserve">13039.95</t>
  </si>
  <si>
    <t xml:space="preserve">11127.82</t>
  </si>
  <si>
    <t xml:space="preserve">1912.13</t>
  </si>
  <si>
    <t xml:space="preserve">10-05-2024</t>
  </si>
  <si>
    <t xml:space="preserve">2013.33</t>
  </si>
  <si>
    <t xml:space="preserve">9663.98</t>
  </si>
  <si>
    <t xml:space="preserve">5628.93</t>
  </si>
  <si>
    <t xml:space="preserve">4035.05</t>
  </si>
  <si>
    <t xml:space="preserve">05/03/2025</t>
  </si>
  <si>
    <t xml:space="preserve">2025-05-11</t>
  </si>
  <si>
    <t xml:space="preserve">1483.52</t>
  </si>
  <si>
    <t xml:space="preserve">7417.6</t>
  </si>
  <si>
    <t xml:space="preserve">4955.86</t>
  </si>
  <si>
    <t xml:space="preserve">2461.74</t>
  </si>
  <si>
    <t xml:space="preserve">2025-03-23</t>
  </si>
  <si>
    <t xml:space="preserve">28-03-2025</t>
  </si>
  <si>
    <t xml:space="preserve">3298</t>
  </si>
  <si>
    <t xml:space="preserve">25229.7</t>
  </si>
  <si>
    <t xml:space="preserve">20170.43</t>
  </si>
  <si>
    <t xml:space="preserve">5059.27</t>
  </si>
  <si>
    <t xml:space="preserve">18 Jul 2024</t>
  </si>
  <si>
    <t xml:space="preserve">22-07-2024</t>
  </si>
  <si>
    <t xml:space="preserve">808.77</t>
  </si>
  <si>
    <t xml:space="preserve">3235.08</t>
  </si>
  <si>
    <t xml:space="preserve">1848.6</t>
  </si>
  <si>
    <t xml:space="preserve">1386.48</t>
  </si>
  <si>
    <t xml:space="preserve">2604.91</t>
  </si>
  <si>
    <t xml:space="preserve">11070.87</t>
  </si>
  <si>
    <t xml:space="preserve">6623.61</t>
  </si>
  <si>
    <t xml:space="preserve">4447.26</t>
  </si>
  <si>
    <t xml:space="preserve">05/04/2024</t>
  </si>
  <si>
    <t xml:space="preserve">2024-05-04</t>
  </si>
  <si>
    <t xml:space="preserve">2851.51</t>
  </si>
  <si>
    <t xml:space="preserve">19960.57</t>
  </si>
  <si>
    <t xml:space="preserve">16603.6</t>
  </si>
  <si>
    <t xml:space="preserve">3356.97</t>
  </si>
  <si>
    <t xml:space="preserve">2024-02-10</t>
  </si>
  <si>
    <t xml:space="preserve">3183.72</t>
  </si>
  <si>
    <t xml:space="preserve">8596.04</t>
  </si>
  <si>
    <t xml:space="preserve">5378.16</t>
  </si>
  <si>
    <t xml:space="preserve">3217.88</t>
  </si>
  <si>
    <t xml:space="preserve">03/28/2024</t>
  </si>
  <si>
    <t xml:space="preserve">1150.92</t>
  </si>
  <si>
    <t xml:space="preserve">3452.76</t>
  </si>
  <si>
    <t xml:space="preserve">2077.96</t>
  </si>
  <si>
    <t xml:space="preserve">1374.8</t>
  </si>
  <si>
    <t xml:space="preserve">30 Sep 2025</t>
  </si>
  <si>
    <t xml:space="preserve">06 Oct 2025</t>
  </si>
  <si>
    <t xml:space="preserve">1359.88</t>
  </si>
  <si>
    <t xml:space="preserve">11626.97</t>
  </si>
  <si>
    <t xml:space="preserve">7394.07</t>
  </si>
  <si>
    <t xml:space="preserve">4232.9</t>
  </si>
  <si>
    <t xml:space="preserve">05/25/2025</t>
  </si>
  <si>
    <t xml:space="preserve">3378.15</t>
  </si>
  <si>
    <t xml:space="preserve">8614.28</t>
  </si>
  <si>
    <t xml:space="preserve">7052.08</t>
  </si>
  <si>
    <t xml:space="preserve">1562.2</t>
  </si>
  <si>
    <t xml:space="preserve">25-09-2024</t>
  </si>
  <si>
    <t xml:space="preserve">2040.22</t>
  </si>
  <si>
    <t xml:space="preserve">1395.71</t>
  </si>
  <si>
    <t xml:space="preserve">644.51</t>
  </si>
  <si>
    <t xml:space="preserve">2025-02-08</t>
  </si>
  <si>
    <t xml:space="preserve">889.5</t>
  </si>
  <si>
    <t xml:space="preserve">2846.4</t>
  </si>
  <si>
    <t xml:space="preserve">2132.37</t>
  </si>
  <si>
    <t xml:space="preserve">714.03</t>
  </si>
  <si>
    <t xml:space="preserve">11-03-2025</t>
  </si>
  <si>
    <t xml:space="preserve">03/15/2025</t>
  </si>
  <si>
    <t xml:space="preserve">3625.08</t>
  </si>
  <si>
    <t xml:space="preserve">10331.48</t>
  </si>
  <si>
    <t xml:space="preserve">7131.91</t>
  </si>
  <si>
    <t xml:space="preserve">3199.57</t>
  </si>
  <si>
    <t xml:space="preserve">29-01-2024</t>
  </si>
  <si>
    <t xml:space="preserve">2024-02-06</t>
  </si>
  <si>
    <t xml:space="preserve">1258.9</t>
  </si>
  <si>
    <t xml:space="preserve">2517.8</t>
  </si>
  <si>
    <t xml:space="preserve">1478.54</t>
  </si>
  <si>
    <t xml:space="preserve">1039.26</t>
  </si>
  <si>
    <t xml:space="preserve">04-01-2024</t>
  </si>
  <si>
    <t xml:space="preserve">01/08/2024</t>
  </si>
  <si>
    <t xml:space="preserve">1591.96</t>
  </si>
  <si>
    <t xml:space="preserve">11462.11</t>
  </si>
  <si>
    <t xml:space="preserve">7105.48</t>
  </si>
  <si>
    <t xml:space="preserve">4356.63</t>
  </si>
  <si>
    <t xml:space="preserve">20-08-2024</t>
  </si>
  <si>
    <t xml:space="preserve">4288.33</t>
  </si>
  <si>
    <t xml:space="preserve">19297.49</t>
  </si>
  <si>
    <t xml:space="preserve">15451.66</t>
  </si>
  <si>
    <t xml:space="preserve">3845.83</t>
  </si>
  <si>
    <t xml:space="preserve">09 Jan 2025</t>
  </si>
  <si>
    <t xml:space="preserve">07 Jan 2025</t>
  </si>
  <si>
    <t xml:space="preserve">2188.33</t>
  </si>
  <si>
    <t xml:space="preserve">6564.99</t>
  </si>
  <si>
    <t xml:space="preserve">5407.24</t>
  </si>
  <si>
    <t xml:space="preserve">1157.75</t>
  </si>
  <si>
    <t xml:space="preserve">2024-01-19</t>
  </si>
  <si>
    <t xml:space="preserve">1041.66</t>
  </si>
  <si>
    <t xml:space="preserve">2812.48</t>
  </si>
  <si>
    <t xml:space="preserve">2282.12</t>
  </si>
  <si>
    <t xml:space="preserve">530.36</t>
  </si>
  <si>
    <t xml:space="preserve">28-07-2024</t>
  </si>
  <si>
    <t xml:space="preserve">4424.78</t>
  </si>
  <si>
    <t xml:space="preserve">7079.65</t>
  </si>
  <si>
    <t xml:space="preserve">4465.91</t>
  </si>
  <si>
    <t xml:space="preserve">2613.74</t>
  </si>
  <si>
    <t xml:space="preserve">11-02-2024</t>
  </si>
  <si>
    <t xml:space="preserve">02/15/2024</t>
  </si>
  <si>
    <t xml:space="preserve">3019.14</t>
  </si>
  <si>
    <t xml:space="preserve">6793.07</t>
  </si>
  <si>
    <t xml:space="preserve">4985.22</t>
  </si>
  <si>
    <t xml:space="preserve">1807.85</t>
  </si>
  <si>
    <t xml:space="preserve">02-03-2024</t>
  </si>
  <si>
    <t xml:space="preserve">263.46</t>
  </si>
  <si>
    <t xml:space="preserve">1844.22</t>
  </si>
  <si>
    <t xml:space="preserve">1094.21</t>
  </si>
  <si>
    <t xml:space="preserve">750.01</t>
  </si>
  <si>
    <t xml:space="preserve">13-11-2024</t>
  </si>
  <si>
    <t xml:space="preserve">191.45</t>
  </si>
  <si>
    <t xml:space="preserve">918.96</t>
  </si>
  <si>
    <t xml:space="preserve">554.18</t>
  </si>
  <si>
    <t xml:space="preserve">364.78</t>
  </si>
  <si>
    <t xml:space="preserve">2024-06-10</t>
  </si>
  <si>
    <t xml:space="preserve">1633.57</t>
  </si>
  <si>
    <t xml:space="preserve">4900.71</t>
  </si>
  <si>
    <t xml:space="preserve">2713.9</t>
  </si>
  <si>
    <t xml:space="preserve">2186.81</t>
  </si>
  <si>
    <t xml:space="preserve">03/01/2025</t>
  </si>
  <si>
    <t xml:space="preserve">08 Mar 2025</t>
  </si>
  <si>
    <t xml:space="preserve">3378.82</t>
  </si>
  <si>
    <t xml:space="preserve">20272.92</t>
  </si>
  <si>
    <t xml:space="preserve">15873.38</t>
  </si>
  <si>
    <t xml:space="preserve">4399.54</t>
  </si>
  <si>
    <t xml:space="preserve">05/07/2024</t>
  </si>
  <si>
    <t xml:space="preserve">05/14/2024</t>
  </si>
  <si>
    <t xml:space="preserve">383.58</t>
  </si>
  <si>
    <t xml:space="preserve">1035.67</t>
  </si>
  <si>
    <t xml:space="preserve">595.42</t>
  </si>
  <si>
    <t xml:space="preserve">440.25</t>
  </si>
  <si>
    <t xml:space="preserve">08/23/2025</t>
  </si>
  <si>
    <t xml:space="preserve">28-08-2025</t>
  </si>
  <si>
    <t xml:space="preserve">2193.23</t>
  </si>
  <si>
    <t xml:space="preserve">11843.44</t>
  </si>
  <si>
    <t xml:space="preserve">9356.88</t>
  </si>
  <si>
    <t xml:space="preserve">2486.56</t>
  </si>
  <si>
    <t xml:space="preserve">06/09/2024</t>
  </si>
  <si>
    <t xml:space="preserve">2024-06-13</t>
  </si>
  <si>
    <t xml:space="preserve">4079.71</t>
  </si>
  <si>
    <t xml:space="preserve">25702.17</t>
  </si>
  <si>
    <t xml:space="preserve">14571.48</t>
  </si>
  <si>
    <t xml:space="preserve">11130.69</t>
  </si>
  <si>
    <t xml:space="preserve">23 Feb 2024</t>
  </si>
  <si>
    <t xml:space="preserve">2202.55</t>
  </si>
  <si>
    <t xml:space="preserve">1651.91</t>
  </si>
  <si>
    <t xml:space="preserve">1034.57</t>
  </si>
  <si>
    <t xml:space="preserve">617.34</t>
  </si>
  <si>
    <t xml:space="preserve">905.16</t>
  </si>
  <si>
    <t xml:space="preserve">4525.8</t>
  </si>
  <si>
    <t xml:space="preserve">2714.51</t>
  </si>
  <si>
    <t xml:space="preserve">1811.29</t>
  </si>
  <si>
    <t xml:space="preserve">2025-06-05</t>
  </si>
  <si>
    <t xml:space="preserve">06/13/2025</t>
  </si>
  <si>
    <t xml:space="preserve">2793.88</t>
  </si>
  <si>
    <t xml:space="preserve">10616.74</t>
  </si>
  <si>
    <t xml:space="preserve">6353.59</t>
  </si>
  <si>
    <t xml:space="preserve">4263.15</t>
  </si>
  <si>
    <t xml:space="preserve">1286.22</t>
  </si>
  <si>
    <t xml:space="preserve">2893.99</t>
  </si>
  <si>
    <t xml:space="preserve">1856.03</t>
  </si>
  <si>
    <t xml:space="preserve">1037.96</t>
  </si>
  <si>
    <t xml:space="preserve">25-12-2024</t>
  </si>
  <si>
    <t xml:space="preserve">829.66</t>
  </si>
  <si>
    <t xml:space="preserve">705.21</t>
  </si>
  <si>
    <t xml:space="preserve">438.32</t>
  </si>
  <si>
    <t xml:space="preserve">266.89</t>
  </si>
  <si>
    <t xml:space="preserve">2024-12-28</t>
  </si>
  <si>
    <t xml:space="preserve">12/31/2024</t>
  </si>
  <si>
    <t xml:space="preserve">3641.22</t>
  </si>
  <si>
    <t xml:space="preserve">16385.49</t>
  </si>
  <si>
    <t xml:space="preserve">13679.24</t>
  </si>
  <si>
    <t xml:space="preserve">2706.25</t>
  </si>
  <si>
    <t xml:space="preserve">2555.19</t>
  </si>
  <si>
    <t xml:space="preserve">7665.57</t>
  </si>
  <si>
    <t xml:space="preserve">5595.6</t>
  </si>
  <si>
    <t xml:space="preserve">2069.97</t>
  </si>
  <si>
    <t xml:space="preserve">22-06-2025</t>
  </si>
  <si>
    <t xml:space="preserve">06/26/2025</t>
  </si>
  <si>
    <t xml:space="preserve">1946.18</t>
  </si>
  <si>
    <t xml:space="preserve">4670.83</t>
  </si>
  <si>
    <t xml:space="preserve">3166.49</t>
  </si>
  <si>
    <t xml:space="preserve">1504.34</t>
  </si>
  <si>
    <t xml:space="preserve">06/17/2025</t>
  </si>
  <si>
    <t xml:space="preserve">1231.1</t>
  </si>
  <si>
    <t xml:space="preserve">6155.5</t>
  </si>
  <si>
    <t xml:space="preserve">4282.09</t>
  </si>
  <si>
    <t xml:space="preserve">1873.41</t>
  </si>
  <si>
    <t xml:space="preserve">14 Oct 2024</t>
  </si>
  <si>
    <t xml:space="preserve">2024-10-20</t>
  </si>
  <si>
    <t xml:space="preserve">1547.6</t>
  </si>
  <si>
    <t xml:space="preserve">8666.56</t>
  </si>
  <si>
    <t xml:space="preserve">5967.44</t>
  </si>
  <si>
    <t xml:space="preserve">2699.12</t>
  </si>
  <si>
    <t xml:space="preserve">2024-02-12</t>
  </si>
  <si>
    <t xml:space="preserve">452.19</t>
  </si>
  <si>
    <t xml:space="preserve">361.75</t>
  </si>
  <si>
    <t xml:space="preserve">262.53</t>
  </si>
  <si>
    <t xml:space="preserve">99.22</t>
  </si>
  <si>
    <t xml:space="preserve">2024-09-16</t>
  </si>
  <si>
    <t xml:space="preserve">406.42</t>
  </si>
  <si>
    <t xml:space="preserve">2418.2</t>
  </si>
  <si>
    <t xml:space="preserve">1613.82</t>
  </si>
  <si>
    <t xml:space="preserve">804.38</t>
  </si>
  <si>
    <t xml:space="preserve">30-04-2025</t>
  </si>
  <si>
    <t xml:space="preserve">606.58</t>
  </si>
  <si>
    <t xml:space="preserve">1941.06</t>
  </si>
  <si>
    <t xml:space="preserve">1207.42</t>
  </si>
  <si>
    <t xml:space="preserve">733.64</t>
  </si>
  <si>
    <t xml:space="preserve">28-06-2025</t>
  </si>
  <si>
    <t xml:space="preserve">07/02/2025</t>
  </si>
  <si>
    <t xml:space="preserve">2725.44</t>
  </si>
  <si>
    <t xml:space="preserve">4088.16</t>
  </si>
  <si>
    <t xml:space="preserve">3205.68</t>
  </si>
  <si>
    <t xml:space="preserve">882.48</t>
  </si>
  <si>
    <t xml:space="preserve">2025-02-13</t>
  </si>
  <si>
    <t xml:space="preserve">2296.7</t>
  </si>
  <si>
    <t xml:space="preserve">15273.05</t>
  </si>
  <si>
    <t xml:space="preserve">11088.76</t>
  </si>
  <si>
    <t xml:space="preserve">4184.29</t>
  </si>
  <si>
    <t xml:space="preserve">COMPLETED</t>
  </si>
  <si>
    <t xml:space="preserve">2024-11-14</t>
  </si>
  <si>
    <t xml:space="preserve">2024-11-22</t>
  </si>
  <si>
    <t xml:space="preserve">671.68</t>
  </si>
  <si>
    <t xml:space="preserve">1712.78</t>
  </si>
  <si>
    <t xml:space="preserve">1569.38</t>
  </si>
  <si>
    <t xml:space="preserve">360.66</t>
  </si>
  <si>
    <t xml:space="preserve">05/15/2024</t>
  </si>
  <si>
    <t xml:space="preserve">995.98</t>
  </si>
  <si>
    <t xml:space="preserve">3784.72</t>
  </si>
  <si>
    <t xml:space="preserve">2419.24</t>
  </si>
  <si>
    <t xml:space="preserve">1365.48</t>
  </si>
  <si>
    <t xml:space="preserve">2025-07-04</t>
  </si>
  <si>
    <t xml:space="preserve">2025-07-06</t>
  </si>
  <si>
    <t xml:space="preserve">3686.42</t>
  </si>
  <si>
    <t xml:space="preserve">6635.56</t>
  </si>
  <si>
    <t xml:space="preserve">3652.91</t>
  </si>
  <si>
    <t xml:space="preserve">2982.65</t>
  </si>
  <si>
    <t xml:space="preserve">29 Aug 2024</t>
  </si>
  <si>
    <t xml:space="preserve">3106.88</t>
  </si>
  <si>
    <t xml:space="preserve">2485.5</t>
  </si>
  <si>
    <t xml:space="preserve">2028.43</t>
  </si>
  <si>
    <t xml:space="preserve">457.07</t>
  </si>
  <si>
    <t xml:space="preserve">2025-09-07</t>
  </si>
  <si>
    <t xml:space="preserve">10 Sep 2025</t>
  </si>
  <si>
    <t xml:space="preserve">447.55</t>
  </si>
  <si>
    <t xml:space="preserve">850.35</t>
  </si>
  <si>
    <t xml:space="preserve">600.98</t>
  </si>
  <si>
    <t xml:space="preserve">249.37</t>
  </si>
  <si>
    <t xml:space="preserve">cancelled</t>
  </si>
  <si>
    <t xml:space="preserve">2024-12-22</t>
  </si>
  <si>
    <t xml:space="preserve">1110.87</t>
  </si>
  <si>
    <t xml:space="preserve">7498.37</t>
  </si>
  <si>
    <t xml:space="preserve">6059.07</t>
  </si>
  <si>
    <t xml:space="preserve">1439.3</t>
  </si>
  <si>
    <t xml:space="preserve">05/22/2024</t>
  </si>
  <si>
    <t xml:space="preserve">3795.99</t>
  </si>
  <si>
    <t xml:space="preserve">34163.91</t>
  </si>
  <si>
    <t xml:space="preserve">28577.15</t>
  </si>
  <si>
    <t xml:space="preserve">5586.76</t>
  </si>
  <si>
    <t xml:space="preserve">11 Aug 2024</t>
  </si>
  <si>
    <t xml:space="preserve">3497.54</t>
  </si>
  <si>
    <t xml:space="preserve">17837.45</t>
  </si>
  <si>
    <t xml:space="preserve">13627.02</t>
  </si>
  <si>
    <t xml:space="preserve">4210.43</t>
  </si>
  <si>
    <t xml:space="preserve">2024-09-28</t>
  </si>
  <si>
    <t xml:space="preserve">2024-10-05</t>
  </si>
  <si>
    <t xml:space="preserve">1681.6</t>
  </si>
  <si>
    <t xml:space="preserve">10594.08</t>
  </si>
  <si>
    <t xml:space="preserve">7160.31</t>
  </si>
  <si>
    <t xml:space="preserve">3433.77</t>
  </si>
  <si>
    <t xml:space="preserve">2025-02-12</t>
  </si>
  <si>
    <t xml:space="preserve">2025-02-17</t>
  </si>
  <si>
    <t xml:space="preserve">4328.12</t>
  </si>
  <si>
    <t xml:space="preserve">17312.48</t>
  </si>
  <si>
    <t xml:space="preserve">14424.22</t>
  </si>
  <si>
    <t xml:space="preserve">2888.26</t>
  </si>
  <si>
    <t xml:space="preserve">2024-11-09</t>
  </si>
  <si>
    <t xml:space="preserve">2438.29</t>
  </si>
  <si>
    <t xml:space="preserve">17555.69</t>
  </si>
  <si>
    <t xml:space="preserve">13293.2</t>
  </si>
  <si>
    <t xml:space="preserve">4262.49</t>
  </si>
  <si>
    <t xml:space="preserve">15-12-2024</t>
  </si>
  <si>
    <t xml:space="preserve">2024-12-15</t>
  </si>
  <si>
    <t xml:space="preserve">669.8</t>
  </si>
  <si>
    <t xml:space="preserve">1205.64</t>
  </si>
  <si>
    <t xml:space="preserve">842.07</t>
  </si>
  <si>
    <t xml:space="preserve">363.57</t>
  </si>
  <si>
    <t xml:space="preserve">2990.42</t>
  </si>
  <si>
    <t xml:space="preserve">8971.26</t>
  </si>
  <si>
    <t xml:space="preserve">6814.35</t>
  </si>
  <si>
    <t xml:space="preserve">2156.91</t>
  </si>
  <si>
    <t xml:space="preserve">31 Mar 2024</t>
  </si>
  <si>
    <t xml:space="preserve">1831</t>
  </si>
  <si>
    <t xml:space="preserve">7324</t>
  </si>
  <si>
    <t xml:space="preserve">4179.63</t>
  </si>
  <si>
    <t xml:space="preserve">3144.37</t>
  </si>
  <si>
    <t xml:space="preserve">2025-05-12</t>
  </si>
  <si>
    <t xml:space="preserve">05/14/2025</t>
  </si>
  <si>
    <t xml:space="preserve">3631.44</t>
  </si>
  <si>
    <t xml:space="preserve">23241.22</t>
  </si>
  <si>
    <t xml:space="preserve">17220.9</t>
  </si>
  <si>
    <t xml:space="preserve">6020.32</t>
  </si>
  <si>
    <t xml:space="preserve">21-10-2024</t>
  </si>
  <si>
    <t xml:space="preserve">Aarav  Sharma</t>
  </si>
  <si>
    <t xml:space="preserve">4238.51</t>
  </si>
  <si>
    <t xml:space="preserve">8477.02</t>
  </si>
  <si>
    <t xml:space="preserve">6884.96</t>
  </si>
  <si>
    <t xml:space="preserve">1592.06</t>
  </si>
  <si>
    <t xml:space="preserve">10/23/2024</t>
  </si>
  <si>
    <t xml:space="preserve">26 Oct 2024</t>
  </si>
  <si>
    <t xml:space="preserve">544.27</t>
  </si>
  <si>
    <t xml:space="preserve">3673.82</t>
  </si>
  <si>
    <t xml:space="preserve">2088.15</t>
  </si>
  <si>
    <t xml:space="preserve">1585.67</t>
  </si>
  <si>
    <t xml:space="preserve">2025-03-03</t>
  </si>
  <si>
    <t xml:space="preserve">4031.45</t>
  </si>
  <si>
    <t xml:space="preserve">6047.17</t>
  </si>
  <si>
    <t xml:space="preserve">3368.79</t>
  </si>
  <si>
    <t xml:space="preserve">2678.38</t>
  </si>
  <si>
    <t xml:space="preserve">1099.49</t>
  </si>
  <si>
    <t xml:space="preserve">6212.38</t>
  </si>
  <si>
    <t xml:space="preserve">4088.46</t>
  </si>
  <si>
    <t xml:space="preserve">1848.79</t>
  </si>
  <si>
    <t xml:space="preserve">18 Nov 2024</t>
  </si>
  <si>
    <t xml:space="preserve">3872.94</t>
  </si>
  <si>
    <t xml:space="preserve">20913.88</t>
  </si>
  <si>
    <t xml:space="preserve">11684.68</t>
  </si>
  <si>
    <t xml:space="preserve">9229.2</t>
  </si>
  <si>
    <t xml:space="preserve">2025-04-11</t>
  </si>
  <si>
    <t xml:space="preserve">4458.49</t>
  </si>
  <si>
    <t xml:space="preserve">3566.79</t>
  </si>
  <si>
    <t xml:space="preserve">2083.41</t>
  </si>
  <si>
    <t xml:space="preserve">1483.38</t>
  </si>
  <si>
    <t xml:space="preserve">09/28/2024</t>
  </si>
  <si>
    <t xml:space="preserve">04 Oct 2024</t>
  </si>
  <si>
    <t xml:space="preserve">2233.18</t>
  </si>
  <si>
    <t xml:space="preserve">1585.82</t>
  </si>
  <si>
    <t xml:space="preserve">647.36</t>
  </si>
  <si>
    <t xml:space="preserve">2025-05-25</t>
  </si>
  <si>
    <t xml:space="preserve">2123.28</t>
  </si>
  <si>
    <t xml:space="preserve">11890.37</t>
  </si>
  <si>
    <t xml:space="preserve">9234.53</t>
  </si>
  <si>
    <t xml:space="preserve">2655.84</t>
  </si>
  <si>
    <t xml:space="preserve">26 Apr 2025</t>
  </si>
  <si>
    <t xml:space="preserve">1604.13</t>
  </si>
  <si>
    <t xml:space="preserve">8421.68</t>
  </si>
  <si>
    <t xml:space="preserve">6534.47</t>
  </si>
  <si>
    <t xml:space="preserve">1887.21</t>
  </si>
  <si>
    <t xml:space="preserve">2025-07-07</t>
  </si>
  <si>
    <t xml:space="preserve">4365.21</t>
  </si>
  <si>
    <t xml:space="preserve">13968.67</t>
  </si>
  <si>
    <t xml:space="preserve">8857.58</t>
  </si>
  <si>
    <t xml:space="preserve">5111.09</t>
  </si>
  <si>
    <t xml:space="preserve">23 Jul 2024</t>
  </si>
  <si>
    <t xml:space="preserve">1695.91</t>
  </si>
  <si>
    <t xml:space="preserve">1611.11</t>
  </si>
  <si>
    <t xml:space="preserve">895.15</t>
  </si>
  <si>
    <t xml:space="preserve">715.96</t>
  </si>
  <si>
    <t xml:space="preserve">2025-03-25</t>
  </si>
  <si>
    <t xml:space="preserve">2025-04-01</t>
  </si>
  <si>
    <t xml:space="preserve">2192.11</t>
  </si>
  <si>
    <t xml:space="preserve">12495.03</t>
  </si>
  <si>
    <t xml:space="preserve">9184.52</t>
  </si>
  <si>
    <t xml:space="preserve">3310.51</t>
  </si>
  <si>
    <t xml:space="preserve">02/28/2025</t>
  </si>
  <si>
    <t xml:space="preserve">3670.54</t>
  </si>
  <si>
    <t xml:space="preserve">33034.86</t>
  </si>
  <si>
    <t xml:space="preserve">24539.83</t>
  </si>
  <si>
    <t xml:space="preserve">8495.03</t>
  </si>
  <si>
    <t xml:space="preserve">02-04-2024</t>
  </si>
  <si>
    <t xml:space="preserve">2024-04-03</t>
  </si>
  <si>
    <t xml:space="preserve">2902.63</t>
  </si>
  <si>
    <t xml:space="preserve">5805.26</t>
  </si>
  <si>
    <t xml:space="preserve">4654.36</t>
  </si>
  <si>
    <t xml:space="preserve">1150.9</t>
  </si>
  <si>
    <t xml:space="preserve">30 Nov 2024</t>
  </si>
  <si>
    <t xml:space="preserve">01 Dec 2024</t>
  </si>
  <si>
    <t xml:space="preserve">4207.36</t>
  </si>
  <si>
    <t xml:space="preserve">34079.62</t>
  </si>
  <si>
    <t xml:space="preserve">21871.39</t>
  </si>
  <si>
    <t xml:space="preserve">12208.23</t>
  </si>
  <si>
    <t xml:space="preserve">10/17/2024</t>
  </si>
  <si>
    <t xml:space="preserve">2024-10-17</t>
  </si>
  <si>
    <t xml:space="preserve">2524.4</t>
  </si>
  <si>
    <t xml:space="preserve">11359.8</t>
  </si>
  <si>
    <t xml:space="preserve">7062.44</t>
  </si>
  <si>
    <t xml:space="preserve">4297.36</t>
  </si>
  <si>
    <t xml:space="preserve">2025-07-18</t>
  </si>
  <si>
    <t xml:space="preserve">21 Jul 2025</t>
  </si>
  <si>
    <t xml:space="preserve">284.04</t>
  </si>
  <si>
    <t xml:space="preserve">908.93</t>
  </si>
  <si>
    <t xml:space="preserve">572.08</t>
  </si>
  <si>
    <t xml:space="preserve">336.85</t>
  </si>
  <si>
    <t xml:space="preserve">01-10-2025</t>
  </si>
  <si>
    <t xml:space="preserve">2025-10-05</t>
  </si>
  <si>
    <t xml:space="preserve">3247.56</t>
  </si>
  <si>
    <t xml:space="preserve">13802.13</t>
  </si>
  <si>
    <t xml:space="preserve">10075.93</t>
  </si>
  <si>
    <t xml:space="preserve">3726.2</t>
  </si>
  <si>
    <t xml:space="preserve">2024-10-07</t>
  </si>
  <si>
    <t xml:space="preserve">09-10-2024</t>
  </si>
  <si>
    <t xml:space="preserve">3457.09</t>
  </si>
  <si>
    <t xml:space="preserve">29558.12</t>
  </si>
  <si>
    <t xml:space="preserve">21302.13</t>
  </si>
  <si>
    <t xml:space="preserve">8255.99</t>
  </si>
  <si>
    <t xml:space="preserve">2024-02-08</t>
  </si>
  <si>
    <t xml:space="preserve">1822.25</t>
  </si>
  <si>
    <t xml:space="preserve">16400.25</t>
  </si>
  <si>
    <t xml:space="preserve">12146.96</t>
  </si>
  <si>
    <t xml:space="preserve">4253.29</t>
  </si>
  <si>
    <t xml:space="preserve">05/30/2025</t>
  </si>
  <si>
    <t xml:space="preserve">2025-06-01</t>
  </si>
  <si>
    <t xml:space="preserve">1994.51</t>
  </si>
  <si>
    <t xml:space="preserve">17053.06</t>
  </si>
  <si>
    <t xml:space="preserve">10742.38</t>
  </si>
  <si>
    <t xml:space="preserve">6310.68</t>
  </si>
  <si>
    <t xml:space="preserve">08-08-2024</t>
  </si>
  <si>
    <t xml:space="preserve">442.97</t>
  </si>
  <si>
    <t xml:space="preserve">398.67</t>
  </si>
  <si>
    <t xml:space="preserve">311.66</t>
  </si>
  <si>
    <t xml:space="preserve">87.01</t>
  </si>
  <si>
    <t xml:space="preserve">2089.14</t>
  </si>
  <si>
    <t xml:space="preserve">17862.15</t>
  </si>
  <si>
    <t xml:space="preserve">9892.21</t>
  </si>
  <si>
    <t xml:space="preserve">7969.94</t>
  </si>
  <si>
    <t xml:space="preserve">25 Aug 2024</t>
  </si>
  <si>
    <t xml:space="preserve">481.3</t>
  </si>
  <si>
    <t xml:space="preserve">2165.85</t>
  </si>
  <si>
    <t xml:space="preserve">2124.48</t>
  </si>
  <si>
    <t xml:space="preserve">430.45</t>
  </si>
  <si>
    <t xml:space="preserve">04/27/2025</t>
  </si>
  <si>
    <t xml:space="preserve">2025-05-05</t>
  </si>
  <si>
    <t xml:space="preserve">3963.39</t>
  </si>
  <si>
    <t xml:space="preserve">14268.2</t>
  </si>
  <si>
    <t xml:space="preserve">11705.3</t>
  </si>
  <si>
    <t xml:space="preserve">2562.9</t>
  </si>
  <si>
    <t xml:space="preserve">19-05-2024</t>
  </si>
  <si>
    <t xml:space="preserve">21 May 2024</t>
  </si>
  <si>
    <t xml:space="preserve">4000.98</t>
  </si>
  <si>
    <t xml:space="preserve">9602.35</t>
  </si>
  <si>
    <t xml:space="preserve">7387.57</t>
  </si>
  <si>
    <t xml:space="preserve">2214.78</t>
  </si>
  <si>
    <t xml:space="preserve">2025-04-10</t>
  </si>
  <si>
    <t xml:space="preserve">2025-04-17</t>
  </si>
  <si>
    <t xml:space="preserve">3788.9</t>
  </si>
  <si>
    <t xml:space="preserve">19891.72</t>
  </si>
  <si>
    <t xml:space="preserve">12295.76</t>
  </si>
  <si>
    <t xml:space="preserve">7595.96</t>
  </si>
  <si>
    <t xml:space="preserve">2024-01-30</t>
  </si>
  <si>
    <t xml:space="preserve">676.37</t>
  </si>
  <si>
    <t xml:space="preserve">1927.65</t>
  </si>
  <si>
    <t xml:space="preserve">1460.6</t>
  </si>
  <si>
    <t xml:space="preserve">467.05</t>
  </si>
  <si>
    <t xml:space="preserve">01-10-2024</t>
  </si>
  <si>
    <t xml:space="preserve">3908.6</t>
  </si>
  <si>
    <t xml:space="preserve">29900.79</t>
  </si>
  <si>
    <t xml:space="preserve">24650.67</t>
  </si>
  <si>
    <t xml:space="preserve">5250.12</t>
  </si>
  <si>
    <t xml:space="preserve">mira das</t>
  </si>
  <si>
    <t xml:space="preserve">705.35</t>
  </si>
  <si>
    <t xml:space="preserve">1904.45</t>
  </si>
  <si>
    <t xml:space="preserve">1316.54</t>
  </si>
  <si>
    <t xml:space="preserve">587.91</t>
  </si>
  <si>
    <t xml:space="preserve">26-02-2024</t>
  </si>
  <si>
    <t xml:space="preserve">3852.07</t>
  </si>
  <si>
    <t xml:space="preserve">21571.59</t>
  </si>
  <si>
    <t xml:space="preserve">17118.07</t>
  </si>
  <si>
    <t xml:space="preserve">4453.52</t>
  </si>
  <si>
    <t xml:space="preserve">08-07-2025</t>
  </si>
  <si>
    <t xml:space="preserve">2025-07-09</t>
  </si>
  <si>
    <t xml:space="preserve">2880.56</t>
  </si>
  <si>
    <t xml:space="preserve">8641.68</t>
  </si>
  <si>
    <t xml:space="preserve">5747.09</t>
  </si>
  <si>
    <t xml:space="preserve">2894.59</t>
  </si>
  <si>
    <t xml:space="preserve">09/17/2024</t>
  </si>
  <si>
    <t xml:space="preserve">2024-09-23</t>
  </si>
  <si>
    <t xml:space="preserve">4067.62</t>
  </si>
  <si>
    <t xml:space="preserve">9988.53</t>
  </si>
  <si>
    <t xml:space="preserve">8368.24</t>
  </si>
  <si>
    <t xml:space="preserve">1394.05</t>
  </si>
  <si>
    <t xml:space="preserve">CANCELLED</t>
  </si>
  <si>
    <t xml:space="preserve">2024-07-14</t>
  </si>
  <si>
    <t xml:space="preserve">492.67</t>
  </si>
  <si>
    <t xml:space="preserve">418.77</t>
  </si>
  <si>
    <t xml:space="preserve">313.72</t>
  </si>
  <si>
    <t xml:space="preserve">105.05</t>
  </si>
  <si>
    <t xml:space="preserve">2025-01-29</t>
  </si>
  <si>
    <t xml:space="preserve">3643.62</t>
  </si>
  <si>
    <t xml:space="preserve">21861.72</t>
  </si>
  <si>
    <t xml:space="preserve">18464.34</t>
  </si>
  <si>
    <t xml:space="preserve">3397.38</t>
  </si>
  <si>
    <t xml:space="preserve">05/27/2024</t>
  </si>
  <si>
    <t xml:space="preserve">30 May 2024</t>
  </si>
  <si>
    <t xml:space="preserve">2900.86</t>
  </si>
  <si>
    <t xml:space="preserve">17260.12</t>
  </si>
  <si>
    <t xml:space="preserve">13513.51</t>
  </si>
  <si>
    <t xml:space="preserve">3746.61</t>
  </si>
  <si>
    <t xml:space="preserve">2025-08-14</t>
  </si>
  <si>
    <t xml:space="preserve">office supplies</t>
  </si>
  <si>
    <t xml:space="preserve">2567.37</t>
  </si>
  <si>
    <t xml:space="preserve">10911.32</t>
  </si>
  <si>
    <t xml:space="preserve">6966.44</t>
  </si>
  <si>
    <t xml:space="preserve">4395.17</t>
  </si>
  <si>
    <t xml:space="preserve">16 May 2024</t>
  </si>
  <si>
    <t xml:space="preserve">23 May 2024</t>
  </si>
  <si>
    <t xml:space="preserve">3722.09</t>
  </si>
  <si>
    <t xml:space="preserve">30148.93</t>
  </si>
  <si>
    <t xml:space="preserve">25155.07</t>
  </si>
  <si>
    <t xml:space="preserve">4993.86</t>
  </si>
  <si>
    <t xml:space="preserve">1072.01</t>
  </si>
  <si>
    <t xml:space="preserve">852.62</t>
  </si>
  <si>
    <t xml:space="preserve">219.39</t>
  </si>
  <si>
    <t xml:space="preserve">08/10/2024</t>
  </si>
  <si>
    <t xml:space="preserve">2126.44</t>
  </si>
  <si>
    <t xml:space="preserve">10206.91</t>
  </si>
  <si>
    <t xml:space="preserve">6764.53</t>
  </si>
  <si>
    <t xml:space="preserve">3442.38</t>
  </si>
  <si>
    <t xml:space="preserve">2024-02-27</t>
  </si>
  <si>
    <t xml:space="preserve">3148.09</t>
  </si>
  <si>
    <t xml:space="preserve">8027.63</t>
  </si>
  <si>
    <t xml:space="preserve">5496.09</t>
  </si>
  <si>
    <t xml:space="preserve">2531.54</t>
  </si>
  <si>
    <t xml:space="preserve">312.53</t>
  </si>
  <si>
    <t xml:space="preserve">1875.18</t>
  </si>
  <si>
    <t xml:space="preserve">1579.17</t>
  </si>
  <si>
    <t xml:space="preserve">296.01</t>
  </si>
  <si>
    <t xml:space="preserve">04/25/2025</t>
  </si>
  <si>
    <t xml:space="preserve">2025-04-28</t>
  </si>
  <si>
    <t xml:space="preserve">1294.11</t>
  </si>
  <si>
    <t xml:space="preserve">8735.24</t>
  </si>
  <si>
    <t xml:space="preserve">6620.07</t>
  </si>
  <si>
    <t xml:space="preserve">2115.17</t>
  </si>
  <si>
    <t xml:space="preserve">2024-10-12</t>
  </si>
  <si>
    <t xml:space="preserve">17 Oct 2024</t>
  </si>
  <si>
    <t xml:space="preserve">1071.22</t>
  </si>
  <si>
    <t xml:space="preserve">4070.64</t>
  </si>
  <si>
    <t xml:space="preserve">2831.62</t>
  </si>
  <si>
    <t xml:space="preserve">1239.02</t>
  </si>
  <si>
    <t xml:space="preserve">10 Feb 2025</t>
  </si>
  <si>
    <t xml:space="preserve">1042.8</t>
  </si>
  <si>
    <t xml:space="preserve">5943.96</t>
  </si>
  <si>
    <t xml:space="preserve">3604.14</t>
  </si>
  <si>
    <t xml:space="preserve">2339.82</t>
  </si>
  <si>
    <t xml:space="preserve">4426.66</t>
  </si>
  <si>
    <t xml:space="preserve">3035.2</t>
  </si>
  <si>
    <t xml:space="preserve">1816.23</t>
  </si>
  <si>
    <t xml:space="preserve">2024-05-08</t>
  </si>
  <si>
    <t xml:space="preserve">14-05-2024</t>
  </si>
  <si>
    <t xml:space="preserve">3769.46</t>
  </si>
  <si>
    <t xml:space="preserve">32228.88</t>
  </si>
  <si>
    <t xml:space="preserve">24971.36</t>
  </si>
  <si>
    <t xml:space="preserve">7257.52</t>
  </si>
  <si>
    <t xml:space="preserve">2025-09-04</t>
  </si>
  <si>
    <t xml:space="preserve">09/04/2025</t>
  </si>
  <si>
    <t xml:space="preserve">3079.95</t>
  </si>
  <si>
    <t xml:space="preserve">19711.68</t>
  </si>
  <si>
    <t xml:space="preserve">14461.8</t>
  </si>
  <si>
    <t xml:space="preserve">5249.88</t>
  </si>
  <si>
    <t xml:space="preserve">2025-10-07</t>
  </si>
  <si>
    <t xml:space="preserve">3277.82</t>
  </si>
  <si>
    <t xml:space="preserve">14750.19</t>
  </si>
  <si>
    <t xml:space="preserve">9482.58</t>
  </si>
  <si>
    <t xml:space="preserve">5267.61</t>
  </si>
  <si>
    <t xml:space="preserve">2024-01-16</t>
  </si>
  <si>
    <t xml:space="preserve">282.53</t>
  </si>
  <si>
    <t xml:space="preserve">1130.12</t>
  </si>
  <si>
    <t xml:space="preserve">848.62</t>
  </si>
  <si>
    <t xml:space="preserve">281.5</t>
  </si>
  <si>
    <t xml:space="preserve">18 Jul 2025</t>
  </si>
  <si>
    <t xml:space="preserve">725.22</t>
  </si>
  <si>
    <t xml:space="preserve">2900.88</t>
  </si>
  <si>
    <t xml:space="preserve">2391.85</t>
  </si>
  <si>
    <t xml:space="preserve">509.03</t>
  </si>
  <si>
    <t xml:space="preserve">10 May 2024</t>
  </si>
  <si>
    <t xml:space="preserve">121.54</t>
  </si>
  <si>
    <t xml:space="preserve">680.62</t>
  </si>
  <si>
    <t xml:space="preserve">463.49</t>
  </si>
  <si>
    <t xml:space="preserve">217.13</t>
  </si>
  <si>
    <t xml:space="preserve">05/06/2024</t>
  </si>
  <si>
    <t xml:space="preserve">790.97</t>
  </si>
  <si>
    <t xml:space="preserve">5694.98</t>
  </si>
  <si>
    <t xml:space="preserve">4618.33</t>
  </si>
  <si>
    <t xml:space="preserve">1076.65</t>
  </si>
  <si>
    <t xml:space="preserve">14-11-2024</t>
  </si>
  <si>
    <t xml:space="preserve">921.34</t>
  </si>
  <si>
    <t xml:space="preserve">1474.14</t>
  </si>
  <si>
    <t xml:space="preserve">968.46</t>
  </si>
  <si>
    <t xml:space="preserve">505.68</t>
  </si>
  <si>
    <t xml:space="preserve">07 Aug 2025</t>
  </si>
  <si>
    <t xml:space="preserve">1921.86</t>
  </si>
  <si>
    <t xml:space="preserve">9224.93</t>
  </si>
  <si>
    <t xml:space="preserve">7005.2</t>
  </si>
  <si>
    <t xml:space="preserve">2219.73</t>
  </si>
  <si>
    <t xml:space="preserve">2024-08-19</t>
  </si>
  <si>
    <t xml:space="preserve">2617.89</t>
  </si>
  <si>
    <t xml:space="preserve">4712.2</t>
  </si>
  <si>
    <t xml:space="preserve">3851.91</t>
  </si>
  <si>
    <t xml:space="preserve">860.29</t>
  </si>
  <si>
    <t xml:space="preserve">06 Feb 2024</t>
  </si>
  <si>
    <t xml:space="preserve">10-02-2024</t>
  </si>
  <si>
    <t xml:space="preserve">1374.06</t>
  </si>
  <si>
    <t xml:space="preserve">1305.36</t>
  </si>
  <si>
    <t xml:space="preserve">731.89</t>
  </si>
  <si>
    <t xml:space="preserve">573.47</t>
  </si>
  <si>
    <t xml:space="preserve">24 Jan 2024</t>
  </si>
  <si>
    <t xml:space="preserve">3806.3</t>
  </si>
  <si>
    <t xml:space="preserve">2854.73</t>
  </si>
  <si>
    <t xml:space="preserve">1968.12</t>
  </si>
  <si>
    <t xml:space="preserve">886.61</t>
  </si>
  <si>
    <t xml:space="preserve">09/08/2025</t>
  </si>
  <si>
    <t xml:space="preserve">2025-09-10</t>
  </si>
  <si>
    <t xml:space="preserve">3251.17</t>
  </si>
  <si>
    <t xml:space="preserve">14630.26</t>
  </si>
  <si>
    <t xml:space="preserve">11906.36</t>
  </si>
  <si>
    <t xml:space="preserve">2723.9</t>
  </si>
  <si>
    <t xml:space="preserve">3946.44</t>
  </si>
  <si>
    <t xml:space="preserve">8879.49</t>
  </si>
  <si>
    <t xml:space="preserve">6344.57</t>
  </si>
  <si>
    <t xml:space="preserve">2534.92</t>
  </si>
  <si>
    <t xml:space="preserve">2025-02-14</t>
  </si>
  <si>
    <t xml:space="preserve">4276.29</t>
  </si>
  <si>
    <t xml:space="preserve">21381.45</t>
  </si>
  <si>
    <t xml:space="preserve">13240.21</t>
  </si>
  <si>
    <t xml:space="preserve">8141.24</t>
  </si>
  <si>
    <t xml:space="preserve">01/02/2024</t>
  </si>
  <si>
    <t xml:space="preserve">09-01-2024</t>
  </si>
  <si>
    <t xml:space="preserve">739.56</t>
  </si>
  <si>
    <t xml:space="preserve">1774.94</t>
  </si>
  <si>
    <t xml:space="preserve">1007.4</t>
  </si>
  <si>
    <t xml:space="preserve">767.54</t>
  </si>
  <si>
    <t xml:space="preserve">09/22/2025</t>
  </si>
  <si>
    <t xml:space="preserve">09/26/2025</t>
  </si>
  <si>
    <t xml:space="preserve">573.65</t>
  </si>
  <si>
    <t xml:space="preserve">322.67</t>
  </si>
  <si>
    <t xml:space="preserve">250.98</t>
  </si>
  <si>
    <t xml:space="preserve">20 Feb 2024</t>
  </si>
  <si>
    <t xml:space="preserve">1355.8</t>
  </si>
  <si>
    <t xml:space="preserve">5423.2</t>
  </si>
  <si>
    <t xml:space="preserve">4072.44</t>
  </si>
  <si>
    <t xml:space="preserve">1350.76</t>
  </si>
  <si>
    <t xml:space="preserve">11 Mar 2025</t>
  </si>
  <si>
    <t xml:space="preserve">14 Mar 2025</t>
  </si>
  <si>
    <t xml:space="preserve">1244.82</t>
  </si>
  <si>
    <t xml:space="preserve">3983.42</t>
  </si>
  <si>
    <t xml:space="preserve">3174.91</t>
  </si>
  <si>
    <t xml:space="preserve">808.51</t>
  </si>
  <si>
    <t xml:space="preserve">17-02-2024</t>
  </si>
  <si>
    <t xml:space="preserve">02/23/2024</t>
  </si>
  <si>
    <t xml:space="preserve">2614.46</t>
  </si>
  <si>
    <t xml:space="preserve">23530.14</t>
  </si>
  <si>
    <t xml:space="preserve">19537.79</t>
  </si>
  <si>
    <t xml:space="preserve">3992.35</t>
  </si>
  <si>
    <t xml:space="preserve">2025-09-03</t>
  </si>
  <si>
    <t xml:space="preserve">268.45</t>
  </si>
  <si>
    <t xml:space="preserve">1879.15</t>
  </si>
  <si>
    <t xml:space="preserve">1134.9</t>
  </si>
  <si>
    <t xml:space="preserve">744.25</t>
  </si>
  <si>
    <t xml:space="preserve">2024-02-21</t>
  </si>
  <si>
    <t xml:space="preserve">23-02-2024</t>
  </si>
  <si>
    <t xml:space="preserve">2633.65</t>
  </si>
  <si>
    <t xml:space="preserve">15011.81</t>
  </si>
  <si>
    <t xml:space="preserve">9660.36</t>
  </si>
  <si>
    <t xml:space="preserve">5351.45</t>
  </si>
  <si>
    <t xml:space="preserve">19-06-2024</t>
  </si>
  <si>
    <t xml:space="preserve">24 Jun 2024</t>
  </si>
  <si>
    <t xml:space="preserve">3202.41</t>
  </si>
  <si>
    <t xml:space="preserve">2608.44</t>
  </si>
  <si>
    <t xml:space="preserve">593.97</t>
  </si>
  <si>
    <t xml:space="preserve">06-03-2025</t>
  </si>
  <si>
    <t xml:space="preserve">163.72</t>
  </si>
  <si>
    <t xml:space="preserve">417.49</t>
  </si>
  <si>
    <t xml:space="preserve">261.67</t>
  </si>
  <si>
    <t xml:space="preserve">155.82</t>
  </si>
  <si>
    <t xml:space="preserve">08/10/2025</t>
  </si>
  <si>
    <t xml:space="preserve">4080.95</t>
  </si>
  <si>
    <t xml:space="preserve">16323.8</t>
  </si>
  <si>
    <t xml:space="preserve">9965.79</t>
  </si>
  <si>
    <t xml:space="preserve">6358.01</t>
  </si>
  <si>
    <t xml:space="preserve">2024-10-15</t>
  </si>
  <si>
    <t xml:space="preserve">10/20/2024</t>
  </si>
  <si>
    <t xml:space="preserve">671.24</t>
  </si>
  <si>
    <t xml:space="preserve">3356.2</t>
  </si>
  <si>
    <t xml:space="preserve">2205.72</t>
  </si>
  <si>
    <t xml:space="preserve">1150.48</t>
  </si>
  <si>
    <t xml:space="preserve">02/28/2024</t>
  </si>
  <si>
    <t xml:space="preserve">2626.84</t>
  </si>
  <si>
    <t xml:space="preserve">2101.47</t>
  </si>
  <si>
    <t xml:space="preserve">1217.83</t>
  </si>
  <si>
    <t xml:space="preserve">883.64</t>
  </si>
  <si>
    <t xml:space="preserve">08/04/2024</t>
  </si>
  <si>
    <t xml:space="preserve">10-08-2024</t>
  </si>
  <si>
    <t xml:space="preserve">984.93</t>
  </si>
  <si>
    <t xml:space="preserve">837.19</t>
  </si>
  <si>
    <t xml:space="preserve">583.79</t>
  </si>
  <si>
    <t xml:space="preserve">253.4</t>
  </si>
  <si>
    <t xml:space="preserve">2025-06-25</t>
  </si>
  <si>
    <t xml:space="preserve">3453.66</t>
  </si>
  <si>
    <t xml:space="preserve">27629.28</t>
  </si>
  <si>
    <t xml:space="preserve">22026.48</t>
  </si>
  <si>
    <t xml:space="preserve">5602.8</t>
  </si>
  <si>
    <t xml:space="preserve">12-04-2025</t>
  </si>
  <si>
    <t xml:space="preserve">12 Apr 2025</t>
  </si>
  <si>
    <t xml:space="preserve">1334.2</t>
  </si>
  <si>
    <t xml:space="preserve">7471.52</t>
  </si>
  <si>
    <t xml:space="preserve">6184.32</t>
  </si>
  <si>
    <t xml:space="preserve">1287.2</t>
  </si>
  <si>
    <t xml:space="preserve">23-07-2025</t>
  </si>
  <si>
    <t xml:space="preserve">2025-07-31</t>
  </si>
  <si>
    <t xml:space="preserve">4253.84</t>
  </si>
  <si>
    <t xml:space="preserve">3615.76</t>
  </si>
  <si>
    <t xml:space="preserve">2951.52</t>
  </si>
  <si>
    <t xml:space="preserve">664.24</t>
  </si>
  <si>
    <t xml:space="preserve">2025-03-11</t>
  </si>
  <si>
    <t xml:space="preserve">15 Mar 2025</t>
  </si>
  <si>
    <t xml:space="preserve">4446.36</t>
  </si>
  <si>
    <t xml:space="preserve">32013.79</t>
  </si>
  <si>
    <t xml:space="preserve">20896.88</t>
  </si>
  <si>
    <t xml:space="preserve">11116.91</t>
  </si>
  <si>
    <t xml:space="preserve">06 Dec 2024</t>
  </si>
  <si>
    <t xml:space="preserve">12/12/2024</t>
  </si>
  <si>
    <t xml:space="preserve">524.75</t>
  </si>
  <si>
    <t xml:space="preserve">1574.25</t>
  </si>
  <si>
    <t xml:space="preserve">1326.12</t>
  </si>
  <si>
    <t xml:space="preserve">248.13</t>
  </si>
  <si>
    <t xml:space="preserve">2024-05-29</t>
  </si>
  <si>
    <t xml:space="preserve">3430.35</t>
  </si>
  <si>
    <t xml:space="preserve">20582.1</t>
  </si>
  <si>
    <t xml:space="preserve">15897.65</t>
  </si>
  <si>
    <t xml:space="preserve">4684.45</t>
  </si>
  <si>
    <t xml:space="preserve">2024-02-22</t>
  </si>
  <si>
    <t xml:space="preserve">24-02-2024</t>
  </si>
  <si>
    <t xml:space="preserve">3545.08</t>
  </si>
  <si>
    <t xml:space="preserve">10635.24</t>
  </si>
  <si>
    <t xml:space="preserve">6031.88</t>
  </si>
  <si>
    <t xml:space="preserve">4603.36</t>
  </si>
  <si>
    <t xml:space="preserve">4401.41</t>
  </si>
  <si>
    <t xml:space="preserve">29929.59</t>
  </si>
  <si>
    <t xml:space="preserve">22436.03</t>
  </si>
  <si>
    <t xml:space="preserve">7493.56</t>
  </si>
  <si>
    <t xml:space="preserve">2025-09-29</t>
  </si>
  <si>
    <t xml:space="preserve">4100.11</t>
  </si>
  <si>
    <t xml:space="preserve">27675.74</t>
  </si>
  <si>
    <t xml:space="preserve">15571.08</t>
  </si>
  <si>
    <t xml:space="preserve">12104.66</t>
  </si>
  <si>
    <t xml:space="preserve">2024-09-19</t>
  </si>
  <si>
    <t xml:space="preserve">3981.76</t>
  </si>
  <si>
    <t xml:space="preserve">11945.28</t>
  </si>
  <si>
    <t xml:space="preserve">9700.31</t>
  </si>
  <si>
    <t xml:space="preserve">2244.97</t>
  </si>
  <si>
    <t xml:space="preserve">02/11/2025</t>
  </si>
  <si>
    <t xml:space="preserve">16-02-2025</t>
  </si>
  <si>
    <t xml:space="preserve">1825.56</t>
  </si>
  <si>
    <t xml:space="preserve">13144.03</t>
  </si>
  <si>
    <t xml:space="preserve">9764</t>
  </si>
  <si>
    <t xml:space="preserve">3380.03</t>
  </si>
  <si>
    <t xml:space="preserve">2723.26</t>
  </si>
  <si>
    <t xml:space="preserve">18382.01</t>
  </si>
  <si>
    <t xml:space="preserve">13108.2</t>
  </si>
  <si>
    <t xml:space="preserve">5273.81</t>
  </si>
  <si>
    <t xml:space="preserve">08 Jul 2025</t>
  </si>
  <si>
    <t xml:space="preserve">274.88</t>
  </si>
  <si>
    <t xml:space="preserve">1855.44</t>
  </si>
  <si>
    <t xml:space="preserve">1262.74</t>
  </si>
  <si>
    <t xml:space="preserve">592.7</t>
  </si>
  <si>
    <t xml:space="preserve">19-08-2024</t>
  </si>
  <si>
    <t xml:space="preserve">1103.54</t>
  </si>
  <si>
    <t xml:space="preserve">2482.97</t>
  </si>
  <si>
    <t xml:space="preserve">1621.72</t>
  </si>
  <si>
    <t xml:space="preserve">861.25</t>
  </si>
  <si>
    <t xml:space="preserve">05-03-2025</t>
  </si>
  <si>
    <t xml:space="preserve">2025-03-12</t>
  </si>
  <si>
    <t xml:space="preserve">3682.75</t>
  </si>
  <si>
    <t xml:space="preserve">11048.25</t>
  </si>
  <si>
    <t xml:space="preserve">9062.72</t>
  </si>
  <si>
    <t xml:space="preserve">1985.53</t>
  </si>
  <si>
    <t xml:space="preserve">26 Jan 2024</t>
  </si>
  <si>
    <t xml:space="preserve">01/31/2024</t>
  </si>
  <si>
    <t xml:space="preserve">1615.03</t>
  </si>
  <si>
    <t xml:space="preserve">6460.12</t>
  </si>
  <si>
    <t xml:space="preserve">3604.03</t>
  </si>
  <si>
    <t xml:space="preserve">2856.09</t>
  </si>
  <si>
    <t xml:space="preserve">23-10-2024</t>
  </si>
  <si>
    <t xml:space="preserve">2024-10-30</t>
  </si>
  <si>
    <t xml:space="preserve">3423.82</t>
  </si>
  <si>
    <t xml:space="preserve">26192.22</t>
  </si>
  <si>
    <t xml:space="preserve">20795.55</t>
  </si>
  <si>
    <t xml:space="preserve">5396.67</t>
  </si>
  <si>
    <t xml:space="preserve">01/03/2025</t>
  </si>
  <si>
    <t xml:space="preserve">2574.29</t>
  </si>
  <si>
    <t xml:space="preserve">19564.6</t>
  </si>
  <si>
    <t xml:space="preserve">11154.59</t>
  </si>
  <si>
    <t xml:space="preserve">8410.01</t>
  </si>
  <si>
    <t xml:space="preserve">05-02-2025</t>
  </si>
  <si>
    <t xml:space="preserve">02/06/2025</t>
  </si>
  <si>
    <t xml:space="preserve">1076.3</t>
  </si>
  <si>
    <t xml:space="preserve">3228.9</t>
  </si>
  <si>
    <t xml:space="preserve">1853.23</t>
  </si>
  <si>
    <t xml:space="preserve">13 Jul 2025</t>
  </si>
  <si>
    <t xml:space="preserve">1680.01</t>
  </si>
  <si>
    <t xml:space="preserve">7560.04</t>
  </si>
  <si>
    <t xml:space="preserve">6448.05</t>
  </si>
  <si>
    <t xml:space="preserve">1111.99</t>
  </si>
  <si>
    <t xml:space="preserve">22 Feb 2025</t>
  </si>
  <si>
    <t xml:space="preserve">3890.81</t>
  </si>
  <si>
    <t xml:space="preserve">8754.32</t>
  </si>
  <si>
    <t xml:space="preserve">6238.9</t>
  </si>
  <si>
    <t xml:space="preserve">2515.42</t>
  </si>
  <si>
    <t xml:space="preserve">954.67</t>
  </si>
  <si>
    <t xml:space="preserve">4057.35</t>
  </si>
  <si>
    <t xml:space="preserve">2862.03</t>
  </si>
  <si>
    <t xml:space="preserve">1195.32</t>
  </si>
  <si>
    <t xml:space="preserve">2153.75</t>
  </si>
  <si>
    <t xml:space="preserve">19383.75</t>
  </si>
  <si>
    <t xml:space="preserve">11667.43</t>
  </si>
  <si>
    <t xml:space="preserve">7716.32</t>
  </si>
  <si>
    <t xml:space="preserve">4337.48</t>
  </si>
  <si>
    <t xml:space="preserve">30362.36</t>
  </si>
  <si>
    <t xml:space="preserve">25065.4</t>
  </si>
  <si>
    <t xml:space="preserve">5296.96</t>
  </si>
  <si>
    <t xml:space="preserve">20 May 2024</t>
  </si>
  <si>
    <t xml:space="preserve">05/20/2024</t>
  </si>
  <si>
    <t xml:space="preserve">3032.95</t>
  </si>
  <si>
    <t xml:space="preserve">2729.65</t>
  </si>
  <si>
    <t xml:space="preserve">1715.36</t>
  </si>
  <si>
    <t xml:space="preserve">1014.29</t>
  </si>
  <si>
    <t xml:space="preserve">15 Jul 2025</t>
  </si>
  <si>
    <t xml:space="preserve">655.28</t>
  </si>
  <si>
    <t xml:space="preserve">4718.02</t>
  </si>
  <si>
    <t xml:space="preserve">3908.23</t>
  </si>
  <si>
    <t xml:space="preserve">809.79</t>
  </si>
  <si>
    <t xml:space="preserve">06 Apr 2025</t>
  </si>
  <si>
    <t xml:space="preserve">13-04-2025</t>
  </si>
  <si>
    <t xml:space="preserve">3844.01</t>
  </si>
  <si>
    <t xml:space="preserve">2195.79</t>
  </si>
  <si>
    <t xml:space="preserve">1648.22</t>
  </si>
  <si>
    <t xml:space="preserve">10/10/2024</t>
  </si>
  <si>
    <t xml:space="preserve">3361.3</t>
  </si>
  <si>
    <t xml:space="preserve">22688.78</t>
  </si>
  <si>
    <t xml:space="preserve">14672.41</t>
  </si>
  <si>
    <t xml:space="preserve">8016.37</t>
  </si>
  <si>
    <t xml:space="preserve">19-02-2024</t>
  </si>
  <si>
    <t xml:space="preserve">3398.32</t>
  </si>
  <si>
    <t xml:space="preserve">20389.92</t>
  </si>
  <si>
    <t xml:space="preserve">16661.08</t>
  </si>
  <si>
    <t xml:space="preserve">3728.84</t>
  </si>
  <si>
    <t xml:space="preserve">2024-10-04</t>
  </si>
  <si>
    <t xml:space="preserve">10/07/2024</t>
  </si>
  <si>
    <t xml:space="preserve">3144.38</t>
  </si>
  <si>
    <t xml:space="preserve">5904.57</t>
  </si>
  <si>
    <t xml:space="preserve">4337.79</t>
  </si>
  <si>
    <t xml:space="preserve">1322.09</t>
  </si>
  <si>
    <t xml:space="preserve">16 Aug 2024</t>
  </si>
  <si>
    <t xml:space="preserve">3925.55</t>
  </si>
  <si>
    <t xml:space="preserve">18842.64</t>
  </si>
  <si>
    <t xml:space="preserve">11840.58</t>
  </si>
  <si>
    <t xml:space="preserve">7002.06</t>
  </si>
  <si>
    <t xml:space="preserve">09/29/2024</t>
  </si>
  <si>
    <t xml:space="preserve">2741.91</t>
  </si>
  <si>
    <t xml:space="preserve">24677.19</t>
  </si>
  <si>
    <t xml:space="preserve">20350.85</t>
  </si>
  <si>
    <t xml:space="preserve">4326.34</t>
  </si>
  <si>
    <t xml:space="preserve">2024-07-23</t>
  </si>
  <si>
    <t xml:space="preserve">1870.11</t>
  </si>
  <si>
    <t xml:space="preserve">12623.24</t>
  </si>
  <si>
    <t xml:space="preserve">10540.8</t>
  </si>
  <si>
    <t xml:space="preserve">2082.44</t>
  </si>
  <si>
    <t xml:space="preserve">27 Nov 2024</t>
  </si>
  <si>
    <t xml:space="preserve">4251.26</t>
  </si>
  <si>
    <t xml:space="preserve">3401.01</t>
  </si>
  <si>
    <t xml:space="preserve">2917.54</t>
  </si>
  <si>
    <t xml:space="preserve">483.47</t>
  </si>
  <si>
    <t xml:space="preserve">18-08-2024</t>
  </si>
  <si>
    <t xml:space="preserve">08/21/2024</t>
  </si>
  <si>
    <t xml:space="preserve">734.34</t>
  </si>
  <si>
    <t xml:space="preserve">6609.06</t>
  </si>
  <si>
    <t xml:space="preserve">4946.78</t>
  </si>
  <si>
    <t xml:space="preserve">06-12-2024</t>
  </si>
  <si>
    <t xml:space="preserve">1092.84</t>
  </si>
  <si>
    <t xml:space="preserve">5464.2</t>
  </si>
  <si>
    <t xml:space="preserve">3318.09</t>
  </si>
  <si>
    <t xml:space="preserve">2146.11</t>
  </si>
  <si>
    <t xml:space="preserve">29-01-2025</t>
  </si>
  <si>
    <t xml:space="preserve">06 Feb 2025</t>
  </si>
  <si>
    <t xml:space="preserve">2759.01</t>
  </si>
  <si>
    <t xml:space="preserve">10484.24</t>
  </si>
  <si>
    <t xml:space="preserve">6680.15</t>
  </si>
  <si>
    <t xml:space="preserve">3804.09</t>
  </si>
  <si>
    <t xml:space="preserve">08 Aug 2024</t>
  </si>
  <si>
    <t xml:space="preserve">14 Aug 2024</t>
  </si>
  <si>
    <t xml:space="preserve">1359.19</t>
  </si>
  <si>
    <t xml:space="preserve">10329.84</t>
  </si>
  <si>
    <t xml:space="preserve">7512.22</t>
  </si>
  <si>
    <t xml:space="preserve">2817.62</t>
  </si>
  <si>
    <t xml:space="preserve">01/30/2024</t>
  </si>
  <si>
    <t xml:space="preserve">2024-02-01</t>
  </si>
  <si>
    <t xml:space="preserve">4451.03</t>
  </si>
  <si>
    <t xml:space="preserve">8456.96</t>
  </si>
  <si>
    <t xml:space="preserve">5462.85</t>
  </si>
  <si>
    <t xml:space="preserve">2994.11</t>
  </si>
  <si>
    <t xml:space="preserve">12/15/2024</t>
  </si>
  <si>
    <t xml:space="preserve">527.67</t>
  </si>
  <si>
    <t xml:space="preserve">1266.41</t>
  </si>
  <si>
    <t xml:space="preserve">983.92</t>
  </si>
  <si>
    <t xml:space="preserve">282.49</t>
  </si>
  <si>
    <t xml:space="preserve">06/07/2025</t>
  </si>
  <si>
    <t xml:space="preserve">1434.13</t>
  </si>
  <si>
    <t xml:space="preserve">11473.04</t>
  </si>
  <si>
    <t xml:space="preserve">8931.33</t>
  </si>
  <si>
    <t xml:space="preserve">2541.71</t>
  </si>
  <si>
    <t xml:space="preserve">2360.02</t>
  </si>
  <si>
    <t xml:space="preserve">4012.03</t>
  </si>
  <si>
    <t xml:space="preserve">3142.92</t>
  </si>
  <si>
    <t xml:space="preserve">869.11</t>
  </si>
  <si>
    <t xml:space="preserve">12 Oct 2025</t>
  </si>
  <si>
    <t xml:space="preserve">806.67</t>
  </si>
  <si>
    <t xml:space="preserve">5364.36</t>
  </si>
  <si>
    <t xml:space="preserve">4391.29</t>
  </si>
  <si>
    <t xml:space="preserve">973.07</t>
  </si>
  <si>
    <t xml:space="preserve">14 Sep 2025</t>
  </si>
  <si>
    <t xml:space="preserve">4198.46</t>
  </si>
  <si>
    <t xml:space="preserve">10706.07</t>
  </si>
  <si>
    <t xml:space="preserve">5927.1</t>
  </si>
  <si>
    <t xml:space="preserve">4778.97</t>
  </si>
  <si>
    <t xml:space="preserve">3047.05</t>
  </si>
  <si>
    <t xml:space="preserve">10969.38</t>
  </si>
  <si>
    <t xml:space="preserve">9254.46</t>
  </si>
  <si>
    <t xml:space="preserve">1714.92</t>
  </si>
  <si>
    <t xml:space="preserve">4362.48</t>
  </si>
  <si>
    <t xml:space="preserve">31409.86</t>
  </si>
  <si>
    <t xml:space="preserve">22523.54</t>
  </si>
  <si>
    <t xml:space="preserve">8886.32</t>
  </si>
  <si>
    <t xml:space="preserve">04/18/2025</t>
  </si>
  <si>
    <t xml:space="preserve">20 Apr 2025</t>
  </si>
  <si>
    <t xml:space="preserve">1626.08</t>
  </si>
  <si>
    <t xml:space="preserve">1382.17</t>
  </si>
  <si>
    <t xml:space="preserve">810.03</t>
  </si>
  <si>
    <t xml:space="preserve">572.14</t>
  </si>
  <si>
    <t xml:space="preserve">01/11/2025</t>
  </si>
  <si>
    <t xml:space="preserve">2427.15</t>
  </si>
  <si>
    <t xml:space="preserve">9223.17</t>
  </si>
  <si>
    <t xml:space="preserve">5103.7</t>
  </si>
  <si>
    <t xml:space="preserve">4119.47</t>
  </si>
  <si>
    <t xml:space="preserve">2024-05-25</t>
  </si>
  <si>
    <t xml:space="preserve">3122.85</t>
  </si>
  <si>
    <t xml:space="preserve">16394.96</t>
  </si>
  <si>
    <t xml:space="preserve">10404.17</t>
  </si>
  <si>
    <t xml:space="preserve">5990.79</t>
  </si>
  <si>
    <t xml:space="preserve">02 Oct 2024</t>
  </si>
  <si>
    <t xml:space="preserve">09 Oct 2024</t>
  </si>
  <si>
    <t xml:space="preserve">1910.31</t>
  </si>
  <si>
    <t xml:space="preserve">12990.11</t>
  </si>
  <si>
    <t xml:space="preserve">10200.8</t>
  </si>
  <si>
    <t xml:space="preserve">2789.31</t>
  </si>
  <si>
    <t xml:space="preserve">26-05-2024</t>
  </si>
  <si>
    <t xml:space="preserve">2024-05-26</t>
  </si>
  <si>
    <t xml:space="preserve">3192.47</t>
  </si>
  <si>
    <t xml:space="preserve">5107.95</t>
  </si>
  <si>
    <t xml:space="preserve">3133.08</t>
  </si>
  <si>
    <t xml:space="preserve">1974.87</t>
  </si>
  <si>
    <t xml:space="preserve">31-01-2024</t>
  </si>
  <si>
    <t xml:space="preserve">3224.32</t>
  </si>
  <si>
    <t xml:space="preserve">7738.37</t>
  </si>
  <si>
    <t xml:space="preserve">4626.85</t>
  </si>
  <si>
    <t xml:space="preserve">3111.52</t>
  </si>
  <si>
    <t xml:space="preserve">12/27/2024</t>
  </si>
  <si>
    <t xml:space="preserve">1594.7</t>
  </si>
  <si>
    <t xml:space="preserve">1514.96</t>
  </si>
  <si>
    <t xml:space="preserve">1046.17</t>
  </si>
  <si>
    <t xml:space="preserve">468.79</t>
  </si>
  <si>
    <t xml:space="preserve">14-01-2025</t>
  </si>
  <si>
    <t xml:space="preserve">17 Jan 2025</t>
  </si>
  <si>
    <t xml:space="preserve">1584.12</t>
  </si>
  <si>
    <t xml:space="preserve">1267.3</t>
  </si>
  <si>
    <t xml:space="preserve">923.53</t>
  </si>
  <si>
    <t xml:space="preserve">343.77</t>
  </si>
  <si>
    <t xml:space="preserve">2025-04-09</t>
  </si>
  <si>
    <t xml:space="preserve">3202.87</t>
  </si>
  <si>
    <t xml:space="preserve">6405.74</t>
  </si>
  <si>
    <t xml:space="preserve">3561.87</t>
  </si>
  <si>
    <t xml:space="preserve">2843.87</t>
  </si>
  <si>
    <t xml:space="preserve">binders</t>
  </si>
  <si>
    <t xml:space="preserve">1275.21</t>
  </si>
  <si>
    <t xml:space="preserve">8607.67</t>
  </si>
  <si>
    <t xml:space="preserve">5337.64</t>
  </si>
  <si>
    <t xml:space="preserve">3270.03</t>
  </si>
  <si>
    <t xml:space="preserve">05-02-2024</t>
  </si>
  <si>
    <t xml:space="preserve">2024-02-13</t>
  </si>
  <si>
    <t xml:space="preserve">3871.18</t>
  </si>
  <si>
    <t xml:space="preserve">26324.02</t>
  </si>
  <si>
    <t xml:space="preserve">16277.96</t>
  </si>
  <si>
    <t xml:space="preserve">10046.06</t>
  </si>
  <si>
    <t xml:space="preserve">04/17/2025</t>
  </si>
  <si>
    <t xml:space="preserve">3750.02</t>
  </si>
  <si>
    <t xml:space="preserve">14250.08</t>
  </si>
  <si>
    <t xml:space="preserve">10914.92</t>
  </si>
  <si>
    <t xml:space="preserve">3335.16</t>
  </si>
  <si>
    <t xml:space="preserve">2024-01-04</t>
  </si>
  <si>
    <t xml:space="preserve">2423.61</t>
  </si>
  <si>
    <t xml:space="preserve">13087.49</t>
  </si>
  <si>
    <t xml:space="preserve">7608.89</t>
  </si>
  <si>
    <t xml:space="preserve">5133.22</t>
  </si>
  <si>
    <t xml:space="preserve">09/18/2024</t>
  </si>
  <si>
    <t xml:space="preserve">24-09-2024</t>
  </si>
  <si>
    <t xml:space="preserve">729.14</t>
  </si>
  <si>
    <t xml:space="preserve">1640.57</t>
  </si>
  <si>
    <t xml:space="preserve">1136.98</t>
  </si>
  <si>
    <t xml:space="preserve">503.59</t>
  </si>
  <si>
    <t xml:space="preserve">09-01-2025</t>
  </si>
  <si>
    <t xml:space="preserve">Rohan  Mehta</t>
  </si>
  <si>
    <t xml:space="preserve">2123.81</t>
  </si>
  <si>
    <t xml:space="preserve">14441.91</t>
  </si>
  <si>
    <t xml:space="preserve">10872.89</t>
  </si>
  <si>
    <t xml:space="preserve">3569.02</t>
  </si>
  <si>
    <t xml:space="preserve">21-04-2024</t>
  </si>
  <si>
    <t xml:space="preserve">703.59</t>
  </si>
  <si>
    <t xml:space="preserve">5065.85</t>
  </si>
  <si>
    <t xml:space="preserve">3517.23</t>
  </si>
  <si>
    <t xml:space="preserve">1548.62</t>
  </si>
  <si>
    <t xml:space="preserve">11 Aug 2025</t>
  </si>
  <si>
    <t xml:space="preserve">19-08-2025</t>
  </si>
  <si>
    <t xml:space="preserve">2258.96</t>
  </si>
  <si>
    <t xml:space="preserve">6776.88</t>
  </si>
  <si>
    <t xml:space="preserve">3836.24</t>
  </si>
  <si>
    <t xml:space="preserve">2940.64</t>
  </si>
  <si>
    <t xml:space="preserve">04/13/2024</t>
  </si>
  <si>
    <t xml:space="preserve">21 Apr 2024</t>
  </si>
  <si>
    <t xml:space="preserve">2648.76</t>
  </si>
  <si>
    <t xml:space="preserve">15760.12</t>
  </si>
  <si>
    <t xml:space="preserve">9931.53</t>
  </si>
  <si>
    <t xml:space="preserve">5828.59</t>
  </si>
  <si>
    <t xml:space="preserve">598.55</t>
  </si>
  <si>
    <t xml:space="preserve">1795.65</t>
  </si>
  <si>
    <t xml:space="preserve">996.72</t>
  </si>
  <si>
    <t xml:space="preserve">798.93</t>
  </si>
  <si>
    <t xml:space="preserve">03/17/2025</t>
  </si>
  <si>
    <t xml:space="preserve">2025-03-21</t>
  </si>
  <si>
    <t xml:space="preserve">4320.59</t>
  </si>
  <si>
    <t xml:space="preserve">18362.51</t>
  </si>
  <si>
    <t xml:space="preserve">11133.97</t>
  </si>
  <si>
    <t xml:space="preserve">7228.54</t>
  </si>
  <si>
    <t xml:space="preserve">04-04-2025</t>
  </si>
  <si>
    <t xml:space="preserve">04/07/2025</t>
  </si>
  <si>
    <t xml:space="preserve">4457.93</t>
  </si>
  <si>
    <t xml:space="preserve">26524.68</t>
  </si>
  <si>
    <t xml:space="preserve">20574.3</t>
  </si>
  <si>
    <t xml:space="preserve">5950.38</t>
  </si>
  <si>
    <t xml:space="preserve">10/12/2025</t>
  </si>
  <si>
    <t xml:space="preserve">2570.06</t>
  </si>
  <si>
    <t xml:space="preserve">2056.05</t>
  </si>
  <si>
    <t xml:space="preserve">1662.39</t>
  </si>
  <si>
    <t xml:space="preserve">393.66</t>
  </si>
  <si>
    <t xml:space="preserve">2151.82</t>
  </si>
  <si>
    <t xml:space="preserve">8607.28</t>
  </si>
  <si>
    <t xml:space="preserve">5124.01</t>
  </si>
  <si>
    <t xml:space="preserve">3483.27</t>
  </si>
  <si>
    <t xml:space="preserve">07-05-2024</t>
  </si>
  <si>
    <t xml:space="preserve">2751.1</t>
  </si>
  <si>
    <t xml:space="preserve">9903.96</t>
  </si>
  <si>
    <t xml:space="preserve">7696.28</t>
  </si>
  <si>
    <t xml:space="preserve">2207.68</t>
  </si>
  <si>
    <t xml:space="preserve">08/07/2025</t>
  </si>
  <si>
    <t xml:space="preserve">2025-08-10</t>
  </si>
  <si>
    <t xml:space="preserve">2541.25</t>
  </si>
  <si>
    <t xml:space="preserve">2033</t>
  </si>
  <si>
    <t xml:space="preserve">1291.41</t>
  </si>
  <si>
    <t xml:space="preserve">741.59</t>
  </si>
  <si>
    <t xml:space="preserve">2025-06-09</t>
  </si>
  <si>
    <t xml:space="preserve">2852.42</t>
  </si>
  <si>
    <t xml:space="preserve">19966.94</t>
  </si>
  <si>
    <t xml:space="preserve">12690.83</t>
  </si>
  <si>
    <t xml:space="preserve">7276.11</t>
  </si>
  <si>
    <t xml:space="preserve">444.31</t>
  </si>
  <si>
    <t xml:space="preserve">710.9</t>
  </si>
  <si>
    <t xml:space="preserve">513.88</t>
  </si>
  <si>
    <t xml:space="preserve">197.02</t>
  </si>
  <si>
    <t xml:space="preserve">15-07-2025</t>
  </si>
  <si>
    <t xml:space="preserve">4442.91</t>
  </si>
  <si>
    <t xml:space="preserve">15994.48</t>
  </si>
  <si>
    <t xml:space="preserve">9224.28</t>
  </si>
  <si>
    <t xml:space="preserve">6770.2</t>
  </si>
  <si>
    <t xml:space="preserve">17-05-2024</t>
  </si>
  <si>
    <t xml:space="preserve">2024-05-22</t>
  </si>
  <si>
    <t xml:space="preserve">232.5</t>
  </si>
  <si>
    <t xml:space="preserve">1627.5</t>
  </si>
  <si>
    <t xml:space="preserve">939.9</t>
  </si>
  <si>
    <t xml:space="preserve">687.6</t>
  </si>
  <si>
    <t xml:space="preserve">2024-01-14</t>
  </si>
  <si>
    <t xml:space="preserve">18-01-2024</t>
  </si>
  <si>
    <t xml:space="preserve">1784.8</t>
  </si>
  <si>
    <t xml:space="preserve">9637.92</t>
  </si>
  <si>
    <t xml:space="preserve">7329.29</t>
  </si>
  <si>
    <t xml:space="preserve">2308.63</t>
  </si>
  <si>
    <t xml:space="preserve">3185.01</t>
  </si>
  <si>
    <t xml:space="preserve">4777.52</t>
  </si>
  <si>
    <t xml:space="preserve">3152.98</t>
  </si>
  <si>
    <t xml:space="preserve">1624.54</t>
  </si>
  <si>
    <t xml:space="preserve">07 Dec 2024</t>
  </si>
  <si>
    <t xml:space="preserve">10 Dec 2024</t>
  </si>
  <si>
    <t xml:space="preserve">1908.83</t>
  </si>
  <si>
    <t xml:space="preserve">1527.06</t>
  </si>
  <si>
    <t xml:space="preserve">1055.89</t>
  </si>
  <si>
    <t xml:space="preserve">471.17</t>
  </si>
  <si>
    <t xml:space="preserve">2025-01-13</t>
  </si>
  <si>
    <t xml:space="preserve">01/13/2025</t>
  </si>
  <si>
    <t xml:space="preserve">2110.52</t>
  </si>
  <si>
    <t xml:space="preserve">5698.4</t>
  </si>
  <si>
    <t xml:space="preserve">3640.89</t>
  </si>
  <si>
    <t xml:space="preserve">2057.51</t>
  </si>
  <si>
    <t xml:space="preserve">279.83</t>
  </si>
  <si>
    <t xml:space="preserve">265.84</t>
  </si>
  <si>
    <t xml:space="preserve">223.49</t>
  </si>
  <si>
    <t xml:space="preserve">42.35</t>
  </si>
  <si>
    <t xml:space="preserve">20-05-2025</t>
  </si>
  <si>
    <t xml:space="preserve">27-05-2025</t>
  </si>
  <si>
    <t xml:space="preserve">3959.14</t>
  </si>
  <si>
    <t xml:space="preserve">3239.53</t>
  </si>
  <si>
    <t xml:space="preserve">719.61</t>
  </si>
  <si>
    <t xml:space="preserve">11/21/2024</t>
  </si>
  <si>
    <t xml:space="preserve">600.46</t>
  </si>
  <si>
    <t xml:space="preserve">2401.84</t>
  </si>
  <si>
    <t xml:space="preserve">1873.11</t>
  </si>
  <si>
    <t xml:space="preserve">528.73</t>
  </si>
  <si>
    <t xml:space="preserve">2024-03-24</t>
  </si>
  <si>
    <t xml:space="preserve">01 Apr 2024</t>
  </si>
  <si>
    <t xml:space="preserve">1700.72</t>
  </si>
  <si>
    <t xml:space="preserve">5102.16</t>
  </si>
  <si>
    <t xml:space="preserve">3226.45</t>
  </si>
  <si>
    <t xml:space="preserve">1875.71</t>
  </si>
  <si>
    <t xml:space="preserve">02/02/2025</t>
  </si>
  <si>
    <t xml:space="preserve">857.86</t>
  </si>
  <si>
    <t xml:space="preserve">6176.59</t>
  </si>
  <si>
    <t xml:space="preserve">3560.96</t>
  </si>
  <si>
    <t xml:space="preserve">2615.63</t>
  </si>
  <si>
    <t xml:space="preserve">2024-03-22</t>
  </si>
  <si>
    <t xml:space="preserve">27-03-2024</t>
  </si>
  <si>
    <t xml:space="preserve">COPIERS</t>
  </si>
  <si>
    <t xml:space="preserve">3649.51</t>
  </si>
  <si>
    <t xml:space="preserve">31203.31</t>
  </si>
  <si>
    <t xml:space="preserve">17738.13</t>
  </si>
  <si>
    <t xml:space="preserve">13465.18</t>
  </si>
  <si>
    <t xml:space="preserve">2024-09-04</t>
  </si>
  <si>
    <t xml:space="preserve">2024-09-05</t>
  </si>
  <si>
    <t xml:space="preserve">2528.53</t>
  </si>
  <si>
    <t xml:space="preserve">12010.52</t>
  </si>
  <si>
    <t xml:space="preserve">7864.61</t>
  </si>
  <si>
    <t xml:space="preserve">4145.91</t>
  </si>
  <si>
    <t xml:space="preserve">16 Feb 2025</t>
  </si>
  <si>
    <t xml:space="preserve">4072.9</t>
  </si>
  <si>
    <t xml:space="preserve">13847.86</t>
  </si>
  <si>
    <t xml:space="preserve">8471.78</t>
  </si>
  <si>
    <t xml:space="preserve">5376.08</t>
  </si>
  <si>
    <t xml:space="preserve">2024-05-18</t>
  </si>
  <si>
    <t xml:space="preserve">2024-05-21</t>
  </si>
  <si>
    <t xml:space="preserve">1033.71</t>
  </si>
  <si>
    <t xml:space="preserve">630.82</t>
  </si>
  <si>
    <t xml:space="preserve">402.89</t>
  </si>
  <si>
    <t xml:space="preserve">07-06-2025</t>
  </si>
  <si>
    <t xml:space="preserve">06/10/2025</t>
  </si>
  <si>
    <t xml:space="preserve">963.26</t>
  </si>
  <si>
    <t xml:space="preserve">2889.78</t>
  </si>
  <si>
    <t xml:space="preserve">1811.23</t>
  </si>
  <si>
    <t xml:space="preserve">1078.55</t>
  </si>
  <si>
    <t xml:space="preserve">2024-06-22</t>
  </si>
  <si>
    <t xml:space="preserve">27-06-2024</t>
  </si>
  <si>
    <t xml:space="preserve">2623.48</t>
  </si>
  <si>
    <t xml:space="preserve">18364.36</t>
  </si>
  <si>
    <t xml:space="preserve">15445.81</t>
  </si>
  <si>
    <t xml:space="preserve">2918.55</t>
  </si>
  <si>
    <t xml:space="preserve">24-11-2024</t>
  </si>
  <si>
    <t xml:space="preserve">12/01/2024</t>
  </si>
  <si>
    <t xml:space="preserve">2763.61</t>
  </si>
  <si>
    <t xml:space="preserve">21141.62</t>
  </si>
  <si>
    <t xml:space="preserve">11676.33</t>
  </si>
  <si>
    <t xml:space="preserve">9465.29</t>
  </si>
  <si>
    <t xml:space="preserve">16-08-2025</t>
  </si>
  <si>
    <t xml:space="preserve">1410.57</t>
  </si>
  <si>
    <t xml:space="preserve">5360.17</t>
  </si>
  <si>
    <t xml:space="preserve">3881.51</t>
  </si>
  <si>
    <t xml:space="preserve">1478.66</t>
  </si>
  <si>
    <t xml:space="preserve">3700.24</t>
  </si>
  <si>
    <t xml:space="preserve">14800.96</t>
  </si>
  <si>
    <t xml:space="preserve">12048.39</t>
  </si>
  <si>
    <t xml:space="preserve">2752.57</t>
  </si>
  <si>
    <t xml:space="preserve">07/04/2024</t>
  </si>
  <si>
    <t xml:space="preserve">2024-07-10</t>
  </si>
  <si>
    <t xml:space="preserve">1200.27</t>
  </si>
  <si>
    <t xml:space="preserve">6001.35</t>
  </si>
  <si>
    <t xml:space="preserve">4182.99</t>
  </si>
  <si>
    <t xml:space="preserve">1818.36</t>
  </si>
  <si>
    <t xml:space="preserve">ananya rao</t>
  </si>
  <si>
    <t xml:space="preserve">2590.78</t>
  </si>
  <si>
    <t xml:space="preserve">7383.72</t>
  </si>
  <si>
    <t xml:space="preserve">4113.66</t>
  </si>
  <si>
    <t xml:space="preserve">3270.06</t>
  </si>
  <si>
    <t xml:space="preserve">2025-07-20</t>
  </si>
  <si>
    <t xml:space="preserve">1646.45</t>
  </si>
  <si>
    <t xml:space="preserve">7902.96</t>
  </si>
  <si>
    <t xml:space="preserve">5512.03</t>
  </si>
  <si>
    <t xml:space="preserve">2390.93</t>
  </si>
  <si>
    <t xml:space="preserve">2025-07-21</t>
  </si>
  <si>
    <t xml:space="preserve">4396.65</t>
  </si>
  <si>
    <t xml:space="preserve">24621.24</t>
  </si>
  <si>
    <t xml:space="preserve">17155.48</t>
  </si>
  <si>
    <t xml:space="preserve">7465.76</t>
  </si>
  <si>
    <t xml:space="preserve">01 Oct 2025</t>
  </si>
  <si>
    <t xml:space="preserve">818.15</t>
  </si>
  <si>
    <t xml:space="preserve">6627.01</t>
  </si>
  <si>
    <t xml:space="preserve">5606.79</t>
  </si>
  <si>
    <t xml:space="preserve">1020.22</t>
  </si>
  <si>
    <t xml:space="preserve">25-03-2024</t>
  </si>
  <si>
    <t xml:space="preserve">2349.13</t>
  </si>
  <si>
    <t xml:space="preserve">4698.26</t>
  </si>
  <si>
    <t xml:space="preserve">2654.92</t>
  </si>
  <si>
    <t xml:space="preserve">2043.34</t>
  </si>
  <si>
    <t xml:space="preserve">13-10-2025</t>
  </si>
  <si>
    <t xml:space="preserve">172.05</t>
  </si>
  <si>
    <t xml:space="preserve">688.2</t>
  </si>
  <si>
    <t xml:space="preserve">497.68</t>
  </si>
  <si>
    <t xml:space="preserve">190.52</t>
  </si>
  <si>
    <t xml:space="preserve">27 Feb 2025</t>
  </si>
  <si>
    <t xml:space="preserve">3037.66</t>
  </si>
  <si>
    <t xml:space="preserve">15492.07</t>
  </si>
  <si>
    <t xml:space="preserve">12581.23</t>
  </si>
  <si>
    <t xml:space="preserve">2910.84</t>
  </si>
  <si>
    <t xml:space="preserve">05-10-2024</t>
  </si>
  <si>
    <t xml:space="preserve">06 Oct 2024</t>
  </si>
  <si>
    <t xml:space="preserve">489.58</t>
  </si>
  <si>
    <t xml:space="preserve">3745.29</t>
  </si>
  <si>
    <t xml:space="preserve">2302.65</t>
  </si>
  <si>
    <t xml:space="preserve">1442.64</t>
  </si>
  <si>
    <t xml:space="preserve">2024-09-15</t>
  </si>
  <si>
    <t xml:space="preserve">865.63</t>
  </si>
  <si>
    <t xml:space="preserve">3462.52</t>
  </si>
  <si>
    <t xml:space="preserve">2797.29</t>
  </si>
  <si>
    <t xml:space="preserve">665.23</t>
  </si>
  <si>
    <t xml:space="preserve">16-12-2024</t>
  </si>
  <si>
    <t xml:space="preserve">1538.1</t>
  </si>
  <si>
    <t xml:space="preserve">8767.17</t>
  </si>
  <si>
    <t xml:space="preserve">5098.2</t>
  </si>
  <si>
    <t xml:space="preserve">3668.97</t>
  </si>
  <si>
    <t xml:space="preserve">10-10-2025</t>
  </si>
  <si>
    <t xml:space="preserve">2365.68</t>
  </si>
  <si>
    <t xml:space="preserve">8516.45</t>
  </si>
  <si>
    <t xml:space="preserve">5903.81</t>
  </si>
  <si>
    <t xml:space="preserve">2612.64</t>
  </si>
  <si>
    <t xml:space="preserve">03-04-2025</t>
  </si>
  <si>
    <t xml:space="preserve">4149.77</t>
  </si>
  <si>
    <t xml:space="preserve">11826.84</t>
  </si>
  <si>
    <t xml:space="preserve">8035.96</t>
  </si>
  <si>
    <t xml:space="preserve">3790.88</t>
  </si>
  <si>
    <t xml:space="preserve">2024-07-01</t>
  </si>
  <si>
    <t xml:space="preserve">257.39</t>
  </si>
  <si>
    <t xml:space="preserve">1029.56</t>
  </si>
  <si>
    <t xml:space="preserve">626.33</t>
  </si>
  <si>
    <t xml:space="preserve">403.23</t>
  </si>
  <si>
    <t xml:space="preserve">22 Sep 2025</t>
  </si>
  <si>
    <t xml:space="preserve">25 Sep 2025</t>
  </si>
  <si>
    <t xml:space="preserve">1178.84</t>
  </si>
  <si>
    <t xml:space="preserve">3536.52</t>
  </si>
  <si>
    <t xml:space="preserve">2102.41</t>
  </si>
  <si>
    <t xml:space="preserve">1363.28</t>
  </si>
  <si>
    <t xml:space="preserve">567.15</t>
  </si>
  <si>
    <t xml:space="preserve">2977.54</t>
  </si>
  <si>
    <t xml:space="preserve">1849.3</t>
  </si>
  <si>
    <t xml:space="preserve">1128.24</t>
  </si>
  <si>
    <t xml:space="preserve">14-09-2024</t>
  </si>
  <si>
    <t xml:space="preserve">4081.66</t>
  </si>
  <si>
    <t xml:space="preserve">28208.1</t>
  </si>
  <si>
    <t xml:space="preserve">23751.91</t>
  </si>
  <si>
    <t xml:space="preserve">4003.38</t>
  </si>
  <si>
    <t xml:space="preserve">2024-06-11</t>
  </si>
  <si>
    <t xml:space="preserve">11 Jun 2024</t>
  </si>
  <si>
    <t xml:space="preserve">1400.11</t>
  </si>
  <si>
    <t xml:space="preserve">9450.74</t>
  </si>
  <si>
    <t xml:space="preserve">7798.56</t>
  </si>
  <si>
    <t xml:space="preserve">1652.18</t>
  </si>
  <si>
    <t xml:space="preserve">18-09-2024</t>
  </si>
  <si>
    <t xml:space="preserve">3055.9</t>
  </si>
  <si>
    <t xml:space="preserve">7792.55</t>
  </si>
  <si>
    <t xml:space="preserve">4691.73</t>
  </si>
  <si>
    <t xml:space="preserve">3100.82</t>
  </si>
  <si>
    <t xml:space="preserve">1224.94</t>
  </si>
  <si>
    <t xml:space="preserve">8574.58</t>
  </si>
  <si>
    <t xml:space="preserve">6685.81</t>
  </si>
  <si>
    <t xml:space="preserve">1888.77</t>
  </si>
  <si>
    <t xml:space="preserve">2025-02-02</t>
  </si>
  <si>
    <t xml:space="preserve">997.34</t>
  </si>
  <si>
    <t xml:space="preserve">2692.82</t>
  </si>
  <si>
    <t xml:space="preserve">1820.08</t>
  </si>
  <si>
    <t xml:space="preserve">872.74</t>
  </si>
  <si>
    <t xml:space="preserve">19 Oct 2024</t>
  </si>
  <si>
    <t xml:space="preserve">1150.03</t>
  </si>
  <si>
    <t xml:space="preserve">1035.03</t>
  </si>
  <si>
    <t xml:space="preserve">854.35</t>
  </si>
  <si>
    <t xml:space="preserve">180.68</t>
  </si>
  <si>
    <t xml:space="preserve">08 Sep 2024</t>
  </si>
  <si>
    <t xml:space="preserve">09/14/2024</t>
  </si>
  <si>
    <t xml:space="preserve">3371.75</t>
  </si>
  <si>
    <t xml:space="preserve">16015.81</t>
  </si>
  <si>
    <t xml:space="preserve">11352.38</t>
  </si>
  <si>
    <t xml:space="preserve">4663.43</t>
  </si>
  <si>
    <t xml:space="preserve">24-06-2024</t>
  </si>
  <si>
    <t xml:space="preserve">2112.75</t>
  </si>
  <si>
    <t xml:space="preserve">1901.48</t>
  </si>
  <si>
    <t xml:space="preserve">1354.28</t>
  </si>
  <si>
    <t xml:space="preserve">547.2</t>
  </si>
  <si>
    <t xml:space="preserve">24-06-2025</t>
  </si>
  <si>
    <t xml:space="preserve">3722.66</t>
  </si>
  <si>
    <t xml:space="preserve">16751.97</t>
  </si>
  <si>
    <t xml:space="preserve">11678.32</t>
  </si>
  <si>
    <t xml:space="preserve">5073.65</t>
  </si>
  <si>
    <t xml:space="preserve">03/20/2025</t>
  </si>
  <si>
    <t xml:space="preserve">2025-03-26</t>
  </si>
  <si>
    <t xml:space="preserve">4357.66</t>
  </si>
  <si>
    <t xml:space="preserve">16559.11</t>
  </si>
  <si>
    <t xml:space="preserve">13233.79</t>
  </si>
  <si>
    <t xml:space="preserve">3325.32</t>
  </si>
  <si>
    <t xml:space="preserve">1363.04</t>
  </si>
  <si>
    <t xml:space="preserve">8110.09</t>
  </si>
  <si>
    <t xml:space="preserve">6417.32</t>
  </si>
  <si>
    <t xml:space="preserve">1692.77</t>
  </si>
  <si>
    <t xml:space="preserve">07/12/2024</t>
  </si>
  <si>
    <t xml:space="preserve">07/19/2024</t>
  </si>
  <si>
    <t xml:space="preserve">1559.16</t>
  </si>
  <si>
    <t xml:space="preserve">7406.01</t>
  </si>
  <si>
    <t xml:space="preserve">5941.74</t>
  </si>
  <si>
    <t xml:space="preserve">1464.27</t>
  </si>
  <si>
    <t xml:space="preserve">02-02-2025</t>
  </si>
  <si>
    <t xml:space="preserve">4326.75</t>
  </si>
  <si>
    <t xml:space="preserve">4110.41</t>
  </si>
  <si>
    <t xml:space="preserve">2394.14</t>
  </si>
  <si>
    <t xml:space="preserve">1716.27</t>
  </si>
  <si>
    <t xml:space="preserve">06/06/2025</t>
  </si>
  <si>
    <t xml:space="preserve">289.97</t>
  </si>
  <si>
    <t xml:space="preserve">217.48</t>
  </si>
  <si>
    <t xml:space="preserve">132.13</t>
  </si>
  <si>
    <t xml:space="preserve">85.35</t>
  </si>
  <si>
    <t xml:space="preserve">2075.02</t>
  </si>
  <si>
    <t xml:space="preserve">18675.18</t>
  </si>
  <si>
    <t xml:space="preserve">13974.7</t>
  </si>
  <si>
    <t xml:space="preserve">4700.48</t>
  </si>
  <si>
    <t xml:space="preserve">2843.09</t>
  </si>
  <si>
    <t xml:space="preserve">19901.63</t>
  </si>
  <si>
    <t xml:space="preserve">15492.03</t>
  </si>
  <si>
    <t xml:space="preserve">4409.6</t>
  </si>
  <si>
    <t xml:space="preserve">26 Aug 2025</t>
  </si>
  <si>
    <t xml:space="preserve">3388.02</t>
  </si>
  <si>
    <t xml:space="preserve">2879.82</t>
  </si>
  <si>
    <t xml:space="preserve">1824.88</t>
  </si>
  <si>
    <t xml:space="preserve">1054.94</t>
  </si>
  <si>
    <t xml:space="preserve">12-10-2025</t>
  </si>
  <si>
    <t xml:space="preserve">2598.92</t>
  </si>
  <si>
    <t xml:space="preserve">18712.22</t>
  </si>
  <si>
    <t xml:space="preserve">11852.22</t>
  </si>
  <si>
    <t xml:space="preserve">6860</t>
  </si>
  <si>
    <t xml:space="preserve">06 Sep 2024</t>
  </si>
  <si>
    <t xml:space="preserve">1972.27</t>
  </si>
  <si>
    <t xml:space="preserve">4733.45</t>
  </si>
  <si>
    <t xml:space="preserve">3672.32</t>
  </si>
  <si>
    <t xml:space="preserve">1061.13</t>
  </si>
  <si>
    <t xml:space="preserve">07/16/2024</t>
  </si>
  <si>
    <t xml:space="preserve">4479.92</t>
  </si>
  <si>
    <t xml:space="preserve">15231.73</t>
  </si>
  <si>
    <t xml:space="preserve">12451.46</t>
  </si>
  <si>
    <t xml:space="preserve">2780.27</t>
  </si>
  <si>
    <t xml:space="preserve">23-06-2025</t>
  </si>
  <si>
    <t xml:space="preserve">2729.95</t>
  </si>
  <si>
    <t xml:space="preserve">13649.75</t>
  </si>
  <si>
    <t xml:space="preserve">10288.03</t>
  </si>
  <si>
    <t xml:space="preserve">3361.72</t>
  </si>
  <si>
    <t xml:space="preserve">10 Oct 2024</t>
  </si>
  <si>
    <t xml:space="preserve">481.51</t>
  </si>
  <si>
    <t xml:space="preserve">4333.59</t>
  </si>
  <si>
    <t xml:space="preserve">2533.59</t>
  </si>
  <si>
    <t xml:space="preserve">1800</t>
  </si>
  <si>
    <t xml:space="preserve">2025-10-13</t>
  </si>
  <si>
    <t xml:space="preserve">2391.93</t>
  </si>
  <si>
    <t xml:space="preserve">13634</t>
  </si>
  <si>
    <t xml:space="preserve">9589.81</t>
  </si>
  <si>
    <t xml:space="preserve">4044.19</t>
  </si>
  <si>
    <t xml:space="preserve">02/10/2024</t>
  </si>
  <si>
    <t xml:space="preserve">253.43</t>
  </si>
  <si>
    <t xml:space="preserve">760.29</t>
  </si>
  <si>
    <t xml:space="preserve">497.77</t>
  </si>
  <si>
    <t xml:space="preserve">262.52</t>
  </si>
  <si>
    <t xml:space="preserve">10/05/2025</t>
  </si>
  <si>
    <t xml:space="preserve">2134.73</t>
  </si>
  <si>
    <t xml:space="preserve">14943.11</t>
  </si>
  <si>
    <t xml:space="preserve">8521.5</t>
  </si>
  <si>
    <t xml:space="preserve">6421.61</t>
  </si>
  <si>
    <t xml:space="preserve">2024-01-17</t>
  </si>
  <si>
    <t xml:space="preserve">01/23/2024</t>
  </si>
  <si>
    <t xml:space="preserve">2018</t>
  </si>
  <si>
    <t xml:space="preserve">8072</t>
  </si>
  <si>
    <t xml:space="preserve">5379.22</t>
  </si>
  <si>
    <t xml:space="preserve">2692.78</t>
  </si>
  <si>
    <t xml:space="preserve">13 Oct 2024</t>
  </si>
  <si>
    <t xml:space="preserve">3730.66</t>
  </si>
  <si>
    <t xml:space="preserve">28353.02</t>
  </si>
  <si>
    <t xml:space="preserve">19257.85</t>
  </si>
  <si>
    <t xml:space="preserve">9095.17</t>
  </si>
  <si>
    <t xml:space="preserve">2363.02</t>
  </si>
  <si>
    <t xml:space="preserve">2008.57</t>
  </si>
  <si>
    <t xml:space="preserve">1194.83</t>
  </si>
  <si>
    <t xml:space="preserve">813.74</t>
  </si>
  <si>
    <t xml:space="preserve">06/19/2025</t>
  </si>
  <si>
    <t xml:space="preserve">782.01</t>
  </si>
  <si>
    <t xml:space="preserve">2658.83</t>
  </si>
  <si>
    <t xml:space="preserve">2226.97</t>
  </si>
  <si>
    <t xml:space="preserve">431.86</t>
  </si>
  <si>
    <t xml:space="preserve">2024-03-17</t>
  </si>
  <si>
    <t xml:space="preserve">19 Mar 2024</t>
  </si>
  <si>
    <t xml:space="preserve">4376.68</t>
  </si>
  <si>
    <t xml:space="preserve">15756.05</t>
  </si>
  <si>
    <t xml:space="preserve">10245.44</t>
  </si>
  <si>
    <t xml:space="preserve">5510.61</t>
  </si>
  <si>
    <t xml:space="preserve">2024-11-28</t>
  </si>
  <si>
    <t xml:space="preserve">2464.63</t>
  </si>
  <si>
    <t xml:space="preserve">14787.78</t>
  </si>
  <si>
    <t xml:space="preserve">8596.65</t>
  </si>
  <si>
    <t xml:space="preserve">6191.13</t>
  </si>
  <si>
    <t xml:space="preserve">28 Jun 2024</t>
  </si>
  <si>
    <t xml:space="preserve">2797.96</t>
  </si>
  <si>
    <t xml:space="preserve">25181.64</t>
  </si>
  <si>
    <t xml:space="preserve">15337.9</t>
  </si>
  <si>
    <t xml:space="preserve">9843.74</t>
  </si>
  <si>
    <t xml:space="preserve">24-08-2024</t>
  </si>
  <si>
    <t xml:space="preserve">2761.86</t>
  </si>
  <si>
    <t xml:space="preserve">8837.95</t>
  </si>
  <si>
    <t xml:space="preserve">6157.27</t>
  </si>
  <si>
    <t xml:space="preserve">2680.68</t>
  </si>
  <si>
    <t xml:space="preserve">2024-08-11</t>
  </si>
  <si>
    <t xml:space="preserve">1515.79</t>
  </si>
  <si>
    <t xml:space="preserve">7275.79</t>
  </si>
  <si>
    <t xml:space="preserve">6152.87</t>
  </si>
  <si>
    <t xml:space="preserve">1122.92</t>
  </si>
  <si>
    <t xml:space="preserve">09-12-2024</t>
  </si>
  <si>
    <t xml:space="preserve">290.75</t>
  </si>
  <si>
    <t xml:space="preserve">2355.08</t>
  </si>
  <si>
    <t xml:space="preserve">1350.03</t>
  </si>
  <si>
    <t xml:space="preserve">1005.05</t>
  </si>
  <si>
    <t xml:space="preserve">601.52</t>
  </si>
  <si>
    <t xml:space="preserve">3609.12</t>
  </si>
  <si>
    <t xml:space="preserve">2645.5</t>
  </si>
  <si>
    <t xml:space="preserve">963.62</t>
  </si>
  <si>
    <t xml:space="preserve">02/22/2025</t>
  </si>
  <si>
    <t xml:space="preserve">2188.19</t>
  </si>
  <si>
    <t xml:space="preserve">1298.84</t>
  </si>
  <si>
    <t xml:space="preserve">889.35</t>
  </si>
  <si>
    <t xml:space="preserve">03 Dec 2024</t>
  </si>
  <si>
    <t xml:space="preserve">12/10/2024</t>
  </si>
  <si>
    <t xml:space="preserve">2393.86</t>
  </si>
  <si>
    <t xml:space="preserve">11370.84</t>
  </si>
  <si>
    <t xml:space="preserve">7469.58</t>
  </si>
  <si>
    <t xml:space="preserve">3901.26</t>
  </si>
  <si>
    <t xml:space="preserve">02 Apr 2024</t>
  </si>
  <si>
    <t xml:space="preserve">2583</t>
  </si>
  <si>
    <t xml:space="preserve">9298.8</t>
  </si>
  <si>
    <t xml:space="preserve">6548.5</t>
  </si>
  <si>
    <t xml:space="preserve">2750.3</t>
  </si>
  <si>
    <t xml:space="preserve">04/23/2025</t>
  </si>
  <si>
    <t xml:space="preserve">2025-04-25</t>
  </si>
  <si>
    <t xml:space="preserve">2951.12</t>
  </si>
  <si>
    <t xml:space="preserve">7082.69</t>
  </si>
  <si>
    <t xml:space="preserve">5596.34</t>
  </si>
  <si>
    <t xml:space="preserve">1486.35</t>
  </si>
  <si>
    <t xml:space="preserve">10/15/2024</t>
  </si>
  <si>
    <t xml:space="preserve">22 Oct 2024</t>
  </si>
  <si>
    <t xml:space="preserve">east</t>
  </si>
  <si>
    <t xml:space="preserve">2260.95</t>
  </si>
  <si>
    <t xml:space="preserve">9043.8</t>
  </si>
  <si>
    <t xml:space="preserve">5913.38</t>
  </si>
  <si>
    <t xml:space="preserve">3130.42</t>
  </si>
  <si>
    <t xml:space="preserve">491.4</t>
  </si>
  <si>
    <t xml:space="preserve">2211.3</t>
  </si>
  <si>
    <t xml:space="preserve">1735.64</t>
  </si>
  <si>
    <t xml:space="preserve">475.66</t>
  </si>
  <si>
    <t xml:space="preserve">2025-08-17</t>
  </si>
  <si>
    <t xml:space="preserve">2701.89</t>
  </si>
  <si>
    <t xml:space="preserve">12158.5</t>
  </si>
  <si>
    <t xml:space="preserve">10260.07</t>
  </si>
  <si>
    <t xml:space="preserve">1898.43</t>
  </si>
  <si>
    <t xml:space="preserve">24 Oct 2024</t>
  </si>
  <si>
    <t xml:space="preserve">28-10-2024</t>
  </si>
  <si>
    <t xml:space="preserve">723.59</t>
  </si>
  <si>
    <t xml:space="preserve">1736.62</t>
  </si>
  <si>
    <t xml:space="preserve">1059.52</t>
  </si>
  <si>
    <t xml:space="preserve">677.1</t>
  </si>
  <si>
    <t xml:space="preserve">10-01-2025</t>
  </si>
  <si>
    <t xml:space="preserve">2583.19</t>
  </si>
  <si>
    <t xml:space="preserve">8266.21</t>
  </si>
  <si>
    <t xml:space="preserve">6236.32</t>
  </si>
  <si>
    <t xml:space="preserve">2029.89</t>
  </si>
  <si>
    <t xml:space="preserve">2024-05-01</t>
  </si>
  <si>
    <t xml:space="preserve">07 May 2024</t>
  </si>
  <si>
    <t xml:space="preserve">1473.83</t>
  </si>
  <si>
    <t xml:space="preserve">10022.04</t>
  </si>
  <si>
    <t xml:space="preserve">5576.98</t>
  </si>
  <si>
    <t xml:space="preserve">4445.06</t>
  </si>
  <si>
    <t xml:space="preserve">30-05-2024</t>
  </si>
  <si>
    <t xml:space="preserve">05/30/2024</t>
  </si>
  <si>
    <t xml:space="preserve">3848.04</t>
  </si>
  <si>
    <t xml:space="preserve">2886.03</t>
  </si>
  <si>
    <t xml:space="preserve">2064.83</t>
  </si>
  <si>
    <t xml:space="preserve">821.2</t>
  </si>
  <si>
    <t xml:space="preserve">21 Mar 2024</t>
  </si>
  <si>
    <t xml:space="preserve">2024-03-25</t>
  </si>
  <si>
    <t xml:space="preserve">1716.7</t>
  </si>
  <si>
    <t xml:space="preserve">1459.19</t>
  </si>
  <si>
    <t xml:space="preserve">1055.79</t>
  </si>
  <si>
    <t xml:space="preserve">403.4</t>
  </si>
  <si>
    <t xml:space="preserve">06/02/2025</t>
  </si>
  <si>
    <t xml:space="preserve">3925.93</t>
  </si>
  <si>
    <t xml:space="preserve">26696.32</t>
  </si>
  <si>
    <t xml:space="preserve">22724.52</t>
  </si>
  <si>
    <t xml:space="preserve">3971.8</t>
  </si>
  <si>
    <t xml:space="preserve">19-07-2025</t>
  </si>
  <si>
    <t xml:space="preserve">2963.25</t>
  </si>
  <si>
    <t xml:space="preserve">8445.26</t>
  </si>
  <si>
    <t xml:space="preserve">6937.6</t>
  </si>
  <si>
    <t xml:space="preserve">1507.66</t>
  </si>
  <si>
    <t xml:space="preserve">2465.22</t>
  </si>
  <si>
    <t xml:space="preserve">11709.79</t>
  </si>
  <si>
    <t xml:space="preserve">8372.29</t>
  </si>
  <si>
    <t xml:space="preserve">3337.5</t>
  </si>
  <si>
    <t xml:space="preserve">1017.22</t>
  </si>
  <si>
    <t xml:space="preserve">2593.91</t>
  </si>
  <si>
    <t xml:space="preserve">1848.48</t>
  </si>
  <si>
    <t xml:space="preserve">745.43</t>
  </si>
  <si>
    <t xml:space="preserve">06/04/2025</t>
  </si>
  <si>
    <t xml:space="preserve">891.34</t>
  </si>
  <si>
    <t xml:space="preserve">2674.02</t>
  </si>
  <si>
    <t xml:space="preserve">2207.57</t>
  </si>
  <si>
    <t xml:space="preserve">466.45</t>
  </si>
  <si>
    <t xml:space="preserve">2481.74</t>
  </si>
  <si>
    <t xml:space="preserve">9926.96</t>
  </si>
  <si>
    <t xml:space="preserve">7994.98</t>
  </si>
  <si>
    <t xml:space="preserve">1931.98</t>
  </si>
  <si>
    <t xml:space="preserve">10/27/2024</t>
  </si>
  <si>
    <t xml:space="preserve">11/01/2024</t>
  </si>
  <si>
    <t xml:space="preserve">2177.1</t>
  </si>
  <si>
    <t xml:space="preserve">12191.76</t>
  </si>
  <si>
    <t xml:space="preserve">10457.49</t>
  </si>
  <si>
    <t xml:space="preserve">1734.27</t>
  </si>
  <si>
    <t xml:space="preserve">01 Aug 2025</t>
  </si>
  <si>
    <t xml:space="preserve">2025-08-03</t>
  </si>
  <si>
    <t xml:space="preserve">1904.78</t>
  </si>
  <si>
    <t xml:space="preserve">4285.76</t>
  </si>
  <si>
    <t xml:space="preserve">2386.33</t>
  </si>
  <si>
    <t xml:space="preserve">1899.43</t>
  </si>
  <si>
    <t xml:space="preserve">02 May 2024</t>
  </si>
  <si>
    <t xml:space="preserve">4166.91</t>
  </si>
  <si>
    <t xml:space="preserve">3412.63</t>
  </si>
  <si>
    <t xml:space="preserve">754.28</t>
  </si>
  <si>
    <t xml:space="preserve">26-07-2024</t>
  </si>
  <si>
    <t xml:space="preserve">3986.01</t>
  </si>
  <si>
    <t xml:space="preserve">14947.54</t>
  </si>
  <si>
    <t xml:space="preserve">9438.46</t>
  </si>
  <si>
    <t xml:space="preserve">5509.08</t>
  </si>
  <si>
    <t xml:space="preserve">28-08-2024</t>
  </si>
  <si>
    <t xml:space="preserve">3365.53</t>
  </si>
  <si>
    <t xml:space="preserve">13462.12</t>
  </si>
  <si>
    <t xml:space="preserve">7600.63</t>
  </si>
  <si>
    <t xml:space="preserve">5861.49</t>
  </si>
  <si>
    <t xml:space="preserve">08/31/2025</t>
  </si>
  <si>
    <t xml:space="preserve">2489.12</t>
  </si>
  <si>
    <t xml:space="preserve">7467.36</t>
  </si>
  <si>
    <t xml:space="preserve">5010.61</t>
  </si>
  <si>
    <t xml:space="preserve">2456.75</t>
  </si>
  <si>
    <t xml:space="preserve">01/01/2024</t>
  </si>
  <si>
    <t xml:space="preserve">05 Jan 2024</t>
  </si>
  <si>
    <t xml:space="preserve">3694.12</t>
  </si>
  <si>
    <t xml:space="preserve">5910.59</t>
  </si>
  <si>
    <t xml:space="preserve">4775.44</t>
  </si>
  <si>
    <t xml:space="preserve">1135.15</t>
  </si>
  <si>
    <t xml:space="preserve">23 Aug 2025</t>
  </si>
  <si>
    <t xml:space="preserve">2025-08-25</t>
  </si>
  <si>
    <t xml:space="preserve">2742.48</t>
  </si>
  <si>
    <t xml:space="preserve">16454.88</t>
  </si>
  <si>
    <t xml:space="preserve">12081.54</t>
  </si>
  <si>
    <t xml:space="preserve">4373.34</t>
  </si>
  <si>
    <t xml:space="preserve">4414</t>
  </si>
  <si>
    <t xml:space="preserve">25159.8</t>
  </si>
  <si>
    <t xml:space="preserve">21606.83</t>
  </si>
  <si>
    <t xml:space="preserve">3552.97</t>
  </si>
  <si>
    <t xml:space="preserve">29-06-2025</t>
  </si>
  <si>
    <t xml:space="preserve">2025-07-03</t>
  </si>
  <si>
    <t xml:space="preserve">608.14</t>
  </si>
  <si>
    <t xml:space="preserve">1824.42</t>
  </si>
  <si>
    <t xml:space="preserve">1214.87</t>
  </si>
  <si>
    <t xml:space="preserve">609.55</t>
  </si>
  <si>
    <t xml:space="preserve">17 Sep 2024</t>
  </si>
  <si>
    <t xml:space="preserve">2307.96</t>
  </si>
  <si>
    <t xml:space="preserve">16617.31</t>
  </si>
  <si>
    <t xml:space="preserve">9195.73</t>
  </si>
  <si>
    <t xml:space="preserve">7421.58</t>
  </si>
  <si>
    <t xml:space="preserve">03 May 2024</t>
  </si>
  <si>
    <t xml:space="preserve">1244.58</t>
  </si>
  <si>
    <t xml:space="preserve">933.43</t>
  </si>
  <si>
    <t xml:space="preserve">583.09</t>
  </si>
  <si>
    <t xml:space="preserve">350.34</t>
  </si>
  <si>
    <t xml:space="preserve">2025-04-04</t>
  </si>
  <si>
    <t xml:space="preserve">3234.24</t>
  </si>
  <si>
    <t xml:space="preserve">14554.08</t>
  </si>
  <si>
    <t xml:space="preserve">11166.84</t>
  </si>
  <si>
    <t xml:space="preserve">3387.24</t>
  </si>
  <si>
    <t xml:space="preserve">05/11/2024</t>
  </si>
  <si>
    <t xml:space="preserve">3612.75</t>
  </si>
  <si>
    <t xml:space="preserve">8128.69</t>
  </si>
  <si>
    <t xml:space="preserve">5071.66</t>
  </si>
  <si>
    <t xml:space="preserve">3057.03</t>
  </si>
  <si>
    <t xml:space="preserve">863</t>
  </si>
  <si>
    <t xml:space="preserve">3106.8</t>
  </si>
  <si>
    <t xml:space="preserve">2376.62</t>
  </si>
  <si>
    <t xml:space="preserve">730.18</t>
  </si>
  <si>
    <t xml:space="preserve">2024-07-12</t>
  </si>
  <si>
    <t xml:space="preserve">2131.41</t>
  </si>
  <si>
    <t xml:space="preserve">6394.23</t>
  </si>
  <si>
    <t xml:space="preserve">3520.69</t>
  </si>
  <si>
    <t xml:space="preserve">2873.54</t>
  </si>
  <si>
    <t xml:space="preserve">3903.22</t>
  </si>
  <si>
    <t xml:space="preserve">3708.06</t>
  </si>
  <si>
    <t xml:space="preserve">2760.29</t>
  </si>
  <si>
    <t xml:space="preserve">947.77</t>
  </si>
  <si>
    <t xml:space="preserve">2025-02-21</t>
  </si>
  <si>
    <t xml:space="preserve">21 Feb 2025</t>
  </si>
  <si>
    <t xml:space="preserve">2945.07</t>
  </si>
  <si>
    <t xml:space="preserve">9424.22</t>
  </si>
  <si>
    <t xml:space="preserve">6178.92</t>
  </si>
  <si>
    <t xml:space="preserve">3245.3</t>
  </si>
  <si>
    <t xml:space="preserve">07-08-2025</t>
  </si>
  <si>
    <t xml:space="preserve">1076.75</t>
  </si>
  <si>
    <t xml:space="preserve">7752.6</t>
  </si>
  <si>
    <t xml:space="preserve">4689.3</t>
  </si>
  <si>
    <t xml:space="preserve">3063.3</t>
  </si>
  <si>
    <t xml:space="preserve">14 Apr 2024</t>
  </si>
  <si>
    <t xml:space="preserve">22-04-2024</t>
  </si>
  <si>
    <t xml:space="preserve">3956.12</t>
  </si>
  <si>
    <t xml:space="preserve">23736.72</t>
  </si>
  <si>
    <t xml:space="preserve">13890.9</t>
  </si>
  <si>
    <t xml:space="preserve">9845.82</t>
  </si>
  <si>
    <t xml:space="preserve">08-06-2025</t>
  </si>
  <si>
    <t xml:space="preserve">3857.13</t>
  </si>
  <si>
    <t xml:space="preserve">26999.91</t>
  </si>
  <si>
    <t xml:space="preserve">17815.98</t>
  </si>
  <si>
    <t xml:space="preserve">9183.93</t>
  </si>
  <si>
    <t xml:space="preserve">04-02-2024</t>
  </si>
  <si>
    <t xml:space="preserve">1489.74</t>
  </si>
  <si>
    <t xml:space="preserve">5065.12</t>
  </si>
  <si>
    <t xml:space="preserve">3530.12</t>
  </si>
  <si>
    <t xml:space="preserve">1535</t>
  </si>
  <si>
    <t xml:space="preserve">24-07-2024</t>
  </si>
  <si>
    <t xml:space="preserve">1676.88</t>
  </si>
  <si>
    <t xml:space="preserve">6707.52</t>
  </si>
  <si>
    <t xml:space="preserve">5672.57</t>
  </si>
  <si>
    <t xml:space="preserve">1034.95</t>
  </si>
  <si>
    <t xml:space="preserve">20-01-2024</t>
  </si>
  <si>
    <t xml:space="preserve">3153.54</t>
  </si>
  <si>
    <t xml:space="preserve">11983.45</t>
  </si>
  <si>
    <t xml:space="preserve">8572.9</t>
  </si>
  <si>
    <t xml:space="preserve">3410.55</t>
  </si>
  <si>
    <t xml:space="preserve">04 Aug 2024</t>
  </si>
  <si>
    <t xml:space="preserve">426.43</t>
  </si>
  <si>
    <t xml:space="preserve">1364.58</t>
  </si>
  <si>
    <t xml:space="preserve">978.16</t>
  </si>
  <si>
    <t xml:space="preserve">386.42</t>
  </si>
  <si>
    <t xml:space="preserve">2024-02-02</t>
  </si>
  <si>
    <t xml:space="preserve">383.4</t>
  </si>
  <si>
    <t xml:space="preserve">862.65</t>
  </si>
  <si>
    <t xml:space="preserve">603.73</t>
  </si>
  <si>
    <t xml:space="preserve">258.92</t>
  </si>
  <si>
    <t xml:space="preserve">03/22/2025</t>
  </si>
  <si>
    <t xml:space="preserve">669.63</t>
  </si>
  <si>
    <t xml:space="preserve">1138.37</t>
  </si>
  <si>
    <t xml:space="preserve">797.34</t>
  </si>
  <si>
    <t xml:space="preserve">341.03</t>
  </si>
  <si>
    <t xml:space="preserve">07 Jun 2024</t>
  </si>
  <si>
    <t xml:space="preserve">2024-06-07</t>
  </si>
  <si>
    <t xml:space="preserve">2581.93</t>
  </si>
  <si>
    <t xml:space="preserve">2452.83</t>
  </si>
  <si>
    <t xml:space="preserve">1906.7</t>
  </si>
  <si>
    <t xml:space="preserve">10/04/2025</t>
  </si>
  <si>
    <t xml:space="preserve">north</t>
  </si>
  <si>
    <t xml:space="preserve">418.18</t>
  </si>
  <si>
    <t xml:space="preserve">1589.08</t>
  </si>
  <si>
    <t xml:space="preserve">1084.66</t>
  </si>
  <si>
    <t xml:space="preserve">504.42</t>
  </si>
  <si>
    <t xml:space="preserve">23-05-2024</t>
  </si>
  <si>
    <t xml:space="preserve">3012.94</t>
  </si>
  <si>
    <t xml:space="preserve">4519.41</t>
  </si>
  <si>
    <t xml:space="preserve">3504.16</t>
  </si>
  <si>
    <t xml:space="preserve">1275.55</t>
  </si>
  <si>
    <t xml:space="preserve">715.45</t>
  </si>
  <si>
    <t xml:space="preserve">2718.71</t>
  </si>
  <si>
    <t xml:space="preserve">2065.05</t>
  </si>
  <si>
    <t xml:space="preserve">653.66</t>
  </si>
  <si>
    <t xml:space="preserve">2024-09-18</t>
  </si>
  <si>
    <t xml:space="preserve">3718.77</t>
  </si>
  <si>
    <t xml:space="preserve">7065.66</t>
  </si>
  <si>
    <t xml:space="preserve">4915.27</t>
  </si>
  <si>
    <t xml:space="preserve">2150.39</t>
  </si>
  <si>
    <t xml:space="preserve">2487.64</t>
  </si>
  <si>
    <t xml:space="preserve">17911.01</t>
  </si>
  <si>
    <t xml:space="preserve">11546.05</t>
  </si>
  <si>
    <t xml:space="preserve">6364.96</t>
  </si>
  <si>
    <t xml:space="preserve">07 Mar 2025</t>
  </si>
  <si>
    <t xml:space="preserve">3537.48</t>
  </si>
  <si>
    <t xml:space="preserve">14149.92</t>
  </si>
  <si>
    <t xml:space="preserve">9466.51</t>
  </si>
  <si>
    <t xml:space="preserve">4683.41</t>
  </si>
  <si>
    <t xml:space="preserve">31 May 2024</t>
  </si>
  <si>
    <t xml:space="preserve">2024-06-02</t>
  </si>
  <si>
    <t xml:space="preserve">667.59</t>
  </si>
  <si>
    <t xml:space="preserve">4272.58</t>
  </si>
  <si>
    <t xml:space="preserve">3328.92</t>
  </si>
  <si>
    <t xml:space="preserve">943.66</t>
  </si>
  <si>
    <t xml:space="preserve">2024-10-06</t>
  </si>
  <si>
    <t xml:space="preserve">1558.77</t>
  </si>
  <si>
    <t xml:space="preserve">9352.62</t>
  </si>
  <si>
    <t xml:space="preserve">5269.41</t>
  </si>
  <si>
    <t xml:space="preserve">4083.21</t>
  </si>
  <si>
    <t xml:space="preserve">08 Jun 2025</t>
  </si>
  <si>
    <t xml:space="preserve">3501.12</t>
  </si>
  <si>
    <t xml:space="preserve">2800.9</t>
  </si>
  <si>
    <t xml:space="preserve">1735.98</t>
  </si>
  <si>
    <t xml:space="preserve">1064.92</t>
  </si>
  <si>
    <t xml:space="preserve">03 Jun 2024</t>
  </si>
  <si>
    <t xml:space="preserve">4302.32</t>
  </si>
  <si>
    <t xml:space="preserve">21511.6</t>
  </si>
  <si>
    <t xml:space="preserve">15408.47</t>
  </si>
  <si>
    <t xml:space="preserve">6103.13</t>
  </si>
  <si>
    <t xml:space="preserve">2025-06-22</t>
  </si>
  <si>
    <t xml:space="preserve">951.55</t>
  </si>
  <si>
    <t xml:space="preserve">7279.36</t>
  </si>
  <si>
    <t xml:space="preserve">4870.39</t>
  </si>
  <si>
    <t xml:space="preserve">2408.97</t>
  </si>
  <si>
    <t xml:space="preserve">30-07-2024</t>
  </si>
  <si>
    <t xml:space="preserve">2894.66</t>
  </si>
  <si>
    <t xml:space="preserve">26051.94</t>
  </si>
  <si>
    <t xml:space="preserve">16883.59</t>
  </si>
  <si>
    <t xml:space="preserve">9168.35</t>
  </si>
  <si>
    <t xml:space="preserve">30-03-2024</t>
  </si>
  <si>
    <t xml:space="preserve">1894.44</t>
  </si>
  <si>
    <t xml:space="preserve">9661.64</t>
  </si>
  <si>
    <t xml:space="preserve">6303.77</t>
  </si>
  <si>
    <t xml:space="preserve">3357.87</t>
  </si>
  <si>
    <t xml:space="preserve">18 Apr 2024</t>
  </si>
  <si>
    <t xml:space="preserve">1714.37</t>
  </si>
  <si>
    <t xml:space="preserve">13714.96</t>
  </si>
  <si>
    <t xml:space="preserve">10550.47</t>
  </si>
  <si>
    <t xml:space="preserve">3164.49</t>
  </si>
  <si>
    <t xml:space="preserve">2025-07-11</t>
  </si>
  <si>
    <t xml:space="preserve">09-07-2025</t>
  </si>
  <si>
    <t xml:space="preserve">1706.05</t>
  </si>
  <si>
    <t xml:space="preserve">15354.45</t>
  </si>
  <si>
    <t xml:space="preserve">9656.5</t>
  </si>
  <si>
    <t xml:space="preserve">5697.95</t>
  </si>
  <si>
    <t xml:space="preserve">967.41</t>
  </si>
  <si>
    <t xml:space="preserve">4595.2</t>
  </si>
  <si>
    <t xml:space="preserve">3887.41</t>
  </si>
  <si>
    <t xml:space="preserve">707.79</t>
  </si>
  <si>
    <t xml:space="preserve">01 Mar 2024</t>
  </si>
  <si>
    <t xml:space="preserve">2024-03-07</t>
  </si>
  <si>
    <t xml:space="preserve">4163.72</t>
  </si>
  <si>
    <t xml:space="preserve">21234.97</t>
  </si>
  <si>
    <t xml:space="preserve">16736.09</t>
  </si>
  <si>
    <t xml:space="preserve">4498.88</t>
  </si>
  <si>
    <t xml:space="preserve">2025-10-08</t>
  </si>
  <si>
    <t xml:space="preserve">3372.21</t>
  </si>
  <si>
    <t xml:space="preserve">8093.3</t>
  </si>
  <si>
    <t xml:space="preserve">6052.43</t>
  </si>
  <si>
    <t xml:space="preserve">2040.87</t>
  </si>
  <si>
    <t xml:space="preserve">2025-02-16</t>
  </si>
  <si>
    <t xml:space="preserve">1441.91</t>
  </si>
  <si>
    <t xml:space="preserve">8651.46</t>
  </si>
  <si>
    <t xml:space="preserve">5254.62</t>
  </si>
  <si>
    <t xml:space="preserve">3396.84</t>
  </si>
  <si>
    <t xml:space="preserve">failed</t>
  </si>
  <si>
    <t xml:space="preserve">09 Dec 2024</t>
  </si>
  <si>
    <t xml:space="preserve">4306.65</t>
  </si>
  <si>
    <t xml:space="preserve">2568.82</t>
  </si>
  <si>
    <t xml:space="preserve">1737.83</t>
  </si>
  <si>
    <t xml:space="preserve">2050.62</t>
  </si>
  <si>
    <t xml:space="preserve">1948.09</t>
  </si>
  <si>
    <t xml:space="preserve">1507.08</t>
  </si>
  <si>
    <t xml:space="preserve">441.01</t>
  </si>
  <si>
    <t xml:space="preserve">2030.06</t>
  </si>
  <si>
    <t xml:space="preserve">3045.09</t>
  </si>
  <si>
    <t xml:space="preserve">2601.09</t>
  </si>
  <si>
    <t xml:space="preserve">444</t>
  </si>
  <si>
    <t xml:space="preserve">09-11-2024</t>
  </si>
  <si>
    <t xml:space="preserve">15 Nov 2024</t>
  </si>
  <si>
    <t xml:space="preserve">3665.97</t>
  </si>
  <si>
    <t xml:space="preserve">2932.78</t>
  </si>
  <si>
    <t xml:space="preserve">1900.35</t>
  </si>
  <si>
    <t xml:space="preserve">1032.43</t>
  </si>
  <si>
    <t xml:space="preserve">standard class</t>
  </si>
  <si>
    <t xml:space="preserve">2432.98</t>
  </si>
  <si>
    <t xml:space="preserve">4379.36</t>
  </si>
  <si>
    <t xml:space="preserve">3723.93</t>
  </si>
  <si>
    <t xml:space="preserve">655.43</t>
  </si>
  <si>
    <t xml:space="preserve">2025-08-31</t>
  </si>
  <si>
    <t xml:space="preserve">977.28</t>
  </si>
  <si>
    <t xml:space="preserve">5472.77</t>
  </si>
  <si>
    <t xml:space="preserve">4477.33</t>
  </si>
  <si>
    <t xml:space="preserve">995.44</t>
  </si>
  <si>
    <t xml:space="preserve">1366.13</t>
  </si>
  <si>
    <t xml:space="preserve">7377.1</t>
  </si>
  <si>
    <t xml:space="preserve">5085.21</t>
  </si>
  <si>
    <t xml:space="preserve">2291.89</t>
  </si>
  <si>
    <t xml:space="preserve">04/03/2024</t>
  </si>
  <si>
    <t xml:space="preserve">08-04-2024</t>
  </si>
  <si>
    <t xml:space="preserve">3151.85</t>
  </si>
  <si>
    <t xml:space="preserve">2363.89</t>
  </si>
  <si>
    <t xml:space="preserve">1471.51</t>
  </si>
  <si>
    <t xml:space="preserve">892.38</t>
  </si>
  <si>
    <t xml:space="preserve">12 Dec 2024</t>
  </si>
  <si>
    <t xml:space="preserve">19 Dec 2024</t>
  </si>
  <si>
    <t xml:space="preserve">1610.75</t>
  </si>
  <si>
    <t xml:space="preserve">2577.2</t>
  </si>
  <si>
    <t xml:space="preserve">1475.87</t>
  </si>
  <si>
    <t xml:space="preserve">1101.33</t>
  </si>
  <si>
    <t xml:space="preserve">20-06-2024</t>
  </si>
  <si>
    <t xml:space="preserve">2228.47</t>
  </si>
  <si>
    <t xml:space="preserve">17827.76</t>
  </si>
  <si>
    <t xml:space="preserve">14122.13</t>
  </si>
  <si>
    <t xml:space="preserve">3705.63</t>
  </si>
  <si>
    <t xml:space="preserve">04/06/2025</t>
  </si>
  <si>
    <t xml:space="preserve">10 Apr 2025</t>
  </si>
  <si>
    <t xml:space="preserve">1337.67</t>
  </si>
  <si>
    <t xml:space="preserve">2675.34</t>
  </si>
  <si>
    <t xml:space="preserve">1595.87</t>
  </si>
  <si>
    <t xml:space="preserve">1079.47</t>
  </si>
  <si>
    <t xml:space="preserve">2375.94</t>
  </si>
  <si>
    <t xml:space="preserve">3563.91</t>
  </si>
  <si>
    <t xml:space="preserve">2639.7</t>
  </si>
  <si>
    <t xml:space="preserve">924.21</t>
  </si>
  <si>
    <t xml:space="preserve">2024-04-08</t>
  </si>
  <si>
    <t xml:space="preserve">715.81</t>
  </si>
  <si>
    <t xml:space="preserve">4259.07</t>
  </si>
  <si>
    <t xml:space="preserve">3130.32</t>
  </si>
  <si>
    <t xml:space="preserve">1128.75</t>
  </si>
  <si>
    <t xml:space="preserve">11/27/2024</t>
  </si>
  <si>
    <t xml:space="preserve">2024-11-30</t>
  </si>
  <si>
    <t xml:space="preserve">874.3</t>
  </si>
  <si>
    <t xml:space="preserve">786.87</t>
  </si>
  <si>
    <t xml:space="preserve">288.37</t>
  </si>
  <si>
    <t xml:space="preserve">05 Apr 2025</t>
  </si>
  <si>
    <t xml:space="preserve">04/05/2025</t>
  </si>
  <si>
    <t xml:space="preserve">1829.69</t>
  </si>
  <si>
    <t xml:space="preserve">8233.6</t>
  </si>
  <si>
    <t xml:space="preserve">4713.79</t>
  </si>
  <si>
    <t xml:space="preserve">3519.81</t>
  </si>
  <si>
    <t xml:space="preserve">29 Sep 2024</t>
  </si>
  <si>
    <t xml:space="preserve">1981.04</t>
  </si>
  <si>
    <t xml:space="preserve">12678.66</t>
  </si>
  <si>
    <t xml:space="preserve">10088.65</t>
  </si>
  <si>
    <t xml:space="preserve">2590.01</t>
  </si>
  <si>
    <t xml:space="preserve">31-07-2024</t>
  </si>
  <si>
    <t xml:space="preserve">MACHINES</t>
  </si>
  <si>
    <t xml:space="preserve">4246.01</t>
  </si>
  <si>
    <t xml:space="preserve">33968.08</t>
  </si>
  <si>
    <t xml:space="preserve">26902.44</t>
  </si>
  <si>
    <t xml:space="preserve">7065.64</t>
  </si>
  <si>
    <t xml:space="preserve">06-02-2025</t>
  </si>
  <si>
    <t xml:space="preserve">10-02-2025</t>
  </si>
  <si>
    <t xml:space="preserve">319.57</t>
  </si>
  <si>
    <t xml:space="preserve">511.31</t>
  </si>
  <si>
    <t xml:space="preserve">436.43</t>
  </si>
  <si>
    <t xml:space="preserve">74.88</t>
  </si>
  <si>
    <t xml:space="preserve">2024-07-03</t>
  </si>
  <si>
    <t xml:space="preserve">06-07-2024</t>
  </si>
  <si>
    <t xml:space="preserve">1942.49</t>
  </si>
  <si>
    <t xml:space="preserve">10877.94</t>
  </si>
  <si>
    <t xml:space="preserve">9110.14</t>
  </si>
  <si>
    <t xml:space="preserve">1767.8</t>
  </si>
  <si>
    <t xml:space="preserve">10/12/2024</t>
  </si>
  <si>
    <t xml:space="preserve">08 Oct 2024</t>
  </si>
  <si>
    <t xml:space="preserve">3202.04</t>
  </si>
  <si>
    <t xml:space="preserve">10246.53</t>
  </si>
  <si>
    <t xml:space="preserve">8634.42</t>
  </si>
  <si>
    <t xml:space="preserve">1612.11</t>
  </si>
  <si>
    <t xml:space="preserve">2025-01-06</t>
  </si>
  <si>
    <t xml:space="preserve">668.33</t>
  </si>
  <si>
    <t xml:space="preserve">1704.24</t>
  </si>
  <si>
    <t xml:space="preserve">957.55</t>
  </si>
  <si>
    <t xml:space="preserve">746.69</t>
  </si>
  <si>
    <t xml:space="preserve">21-03-2025</t>
  </si>
  <si>
    <t xml:space="preserve">4436.74</t>
  </si>
  <si>
    <t xml:space="preserve">33719.22</t>
  </si>
  <si>
    <t xml:space="preserve">28924.43</t>
  </si>
  <si>
    <t xml:space="preserve">4794.79</t>
  </si>
  <si>
    <t xml:space="preserve">16 Apr 2025</t>
  </si>
  <si>
    <t xml:space="preserve">17-04-2025</t>
  </si>
  <si>
    <t xml:space="preserve">2720.17</t>
  </si>
  <si>
    <t xml:space="preserve">1834.23</t>
  </si>
  <si>
    <t xml:space="preserve">885.94</t>
  </si>
  <si>
    <t xml:space="preserve">14 Aug 2025</t>
  </si>
  <si>
    <t xml:space="preserve">2190.14</t>
  </si>
  <si>
    <t xml:space="preserve">8213.02</t>
  </si>
  <si>
    <t xml:space="preserve">5569.3</t>
  </si>
  <si>
    <t xml:space="preserve">2643.72</t>
  </si>
  <si>
    <t xml:space="preserve">24 Nov 2024</t>
  </si>
  <si>
    <t xml:space="preserve">844.89</t>
  </si>
  <si>
    <t xml:space="preserve">633.67</t>
  </si>
  <si>
    <t xml:space="preserve">520.47</t>
  </si>
  <si>
    <t xml:space="preserve">113.2</t>
  </si>
  <si>
    <t xml:space="preserve">10/10/2025</t>
  </si>
  <si>
    <t xml:space="preserve">11-10-2025</t>
  </si>
  <si>
    <t xml:space="preserve">3791.96</t>
  </si>
  <si>
    <t xml:space="preserve">25216.53</t>
  </si>
  <si>
    <t xml:space="preserve">14216.94</t>
  </si>
  <si>
    <t xml:space="preserve">10999.59</t>
  </si>
  <si>
    <t xml:space="preserve">02/26/2024</t>
  </si>
  <si>
    <t xml:space="preserve">1035.14</t>
  </si>
  <si>
    <t xml:space="preserve">6521.38</t>
  </si>
  <si>
    <t xml:space="preserve">4511.1</t>
  </si>
  <si>
    <t xml:space="preserve">2010.28</t>
  </si>
  <si>
    <t xml:space="preserve">2382.88</t>
  </si>
  <si>
    <t xml:space="preserve">12867.55</t>
  </si>
  <si>
    <t xml:space="preserve">10068.94</t>
  </si>
  <si>
    <t xml:space="preserve">2798.61</t>
  </si>
  <si>
    <t xml:space="preserve">3462.7</t>
  </si>
  <si>
    <t xml:space="preserve">26489.65</t>
  </si>
  <si>
    <t xml:space="preserve">15818.46</t>
  </si>
  <si>
    <t xml:space="preserve">10671.19</t>
  </si>
  <si>
    <t xml:space="preserve">26 May 2025</t>
  </si>
  <si>
    <t xml:space="preserve">28-05-2025</t>
  </si>
  <si>
    <t xml:space="preserve">4302.02</t>
  </si>
  <si>
    <t xml:space="preserve">36782.27</t>
  </si>
  <si>
    <t xml:space="preserve">25902.81</t>
  </si>
  <si>
    <t xml:space="preserve">10879.46</t>
  </si>
  <si>
    <t xml:space="preserve">2024-06-04</t>
  </si>
  <si>
    <t xml:space="preserve">06/04/2024</t>
  </si>
  <si>
    <t xml:space="preserve">3949.4</t>
  </si>
  <si>
    <t xml:space="preserve">23696.4</t>
  </si>
  <si>
    <t xml:space="preserve">18109.77</t>
  </si>
  <si>
    <t xml:space="preserve">5586.63</t>
  </si>
  <si>
    <t xml:space="preserve">2024-10-22</t>
  </si>
  <si>
    <t xml:space="preserve">674.61</t>
  </si>
  <si>
    <t xml:space="preserve">4047.66</t>
  </si>
  <si>
    <t xml:space="preserve">3078.93</t>
  </si>
  <si>
    <t xml:space="preserve">1279.79</t>
  </si>
  <si>
    <t xml:space="preserve">1509.59</t>
  </si>
  <si>
    <t xml:space="preserve">10038.77</t>
  </si>
  <si>
    <t xml:space="preserve">5673.1</t>
  </si>
  <si>
    <t xml:space="preserve">4365.67</t>
  </si>
  <si>
    <t xml:space="preserve">2024-12-18</t>
  </si>
  <si>
    <t xml:space="preserve">537.11</t>
  </si>
  <si>
    <t xml:space="preserve">1074.22</t>
  </si>
  <si>
    <t xml:space="preserve">850.86</t>
  </si>
  <si>
    <t xml:space="preserve">223.36</t>
  </si>
  <si>
    <t xml:space="preserve">09/28/2025</t>
  </si>
  <si>
    <t xml:space="preserve">4177.63</t>
  </si>
  <si>
    <t xml:space="preserve">9399.67</t>
  </si>
  <si>
    <t xml:space="preserve">6540.37</t>
  </si>
  <si>
    <t xml:space="preserve">2859.3</t>
  </si>
  <si>
    <t xml:space="preserve">07 Apr 2025</t>
  </si>
  <si>
    <t xml:space="preserve">1470.57</t>
  </si>
  <si>
    <t xml:space="preserve">834.02</t>
  </si>
  <si>
    <t xml:space="preserve">636.55</t>
  </si>
  <si>
    <t xml:space="preserve">09/20/2024</t>
  </si>
  <si>
    <t xml:space="preserve">22-09-2024</t>
  </si>
  <si>
    <t xml:space="preserve">531.43</t>
  </si>
  <si>
    <t xml:space="preserve">3826.3</t>
  </si>
  <si>
    <t xml:space="preserve">2194.12</t>
  </si>
  <si>
    <t xml:space="preserve">1632.18</t>
  </si>
  <si>
    <t xml:space="preserve">1584.11</t>
  </si>
  <si>
    <t xml:space="preserve">6336.44</t>
  </si>
  <si>
    <t xml:space="preserve">4680.68</t>
  </si>
  <si>
    <t xml:space="preserve">1655.76</t>
  </si>
  <si>
    <t xml:space="preserve">2025-02-06</t>
  </si>
  <si>
    <t xml:space="preserve">12 Feb 2025</t>
  </si>
  <si>
    <t xml:space="preserve">3237.16</t>
  </si>
  <si>
    <t xml:space="preserve">21850.83</t>
  </si>
  <si>
    <t xml:space="preserve">16600.13</t>
  </si>
  <si>
    <t xml:space="preserve">5250.7</t>
  </si>
  <si>
    <t xml:space="preserve">31-03-2024</t>
  </si>
  <si>
    <t xml:space="preserve">03/30/2024</t>
  </si>
  <si>
    <t xml:space="preserve">kabir singh</t>
  </si>
  <si>
    <t xml:space="preserve">2192.08</t>
  </si>
  <si>
    <t xml:space="preserve">7453.07</t>
  </si>
  <si>
    <t xml:space="preserve">5133.78</t>
  </si>
  <si>
    <t xml:space="preserve">2319.29</t>
  </si>
  <si>
    <t xml:space="preserve">25 Jul 2025</t>
  </si>
  <si>
    <t xml:space="preserve">3989.52</t>
  </si>
  <si>
    <t xml:space="preserve">35905.68</t>
  </si>
  <si>
    <t xml:space="preserve">23916.1</t>
  </si>
  <si>
    <t xml:space="preserve">11989.58</t>
  </si>
  <si>
    <t xml:space="preserve">20-01-2025</t>
  </si>
  <si>
    <t xml:space="preserve">25-01-2025</t>
  </si>
  <si>
    <t xml:space="preserve">3515.15</t>
  </si>
  <si>
    <t xml:space="preserve">2216.34</t>
  </si>
  <si>
    <t xml:space="preserve">1298.81</t>
  </si>
  <si>
    <t xml:space="preserve">27 Feb 2024</t>
  </si>
  <si>
    <t xml:space="preserve">3616.23</t>
  </si>
  <si>
    <t xml:space="preserve">24409.55</t>
  </si>
  <si>
    <t xml:space="preserve">17157.58</t>
  </si>
  <si>
    <t xml:space="preserve">7251.97</t>
  </si>
  <si>
    <t xml:space="preserve">2024-04-14</t>
  </si>
  <si>
    <t xml:space="preserve">2024-04-22</t>
  </si>
  <si>
    <t xml:space="preserve">3977.52</t>
  </si>
  <si>
    <t xml:space="preserve">7955.04</t>
  </si>
  <si>
    <t xml:space="preserve">5580.68</t>
  </si>
  <si>
    <t xml:space="preserve">2374.36</t>
  </si>
  <si>
    <t xml:space="preserve">2025-05-20</t>
  </si>
  <si>
    <t xml:space="preserve">05/22/2025</t>
  </si>
  <si>
    <t xml:space="preserve">210.08</t>
  </si>
  <si>
    <t xml:space="preserve">336.13</t>
  </si>
  <si>
    <t xml:space="preserve">242.19</t>
  </si>
  <si>
    <t xml:space="preserve">93.94</t>
  </si>
  <si>
    <t xml:space="preserve">29 May 2025</t>
  </si>
  <si>
    <t xml:space="preserve">1744.35</t>
  </si>
  <si>
    <t xml:space="preserve">1308.26</t>
  </si>
  <si>
    <t xml:space="preserve">1083.56</t>
  </si>
  <si>
    <t xml:space="preserve">224.7</t>
  </si>
  <si>
    <t xml:space="preserve">1211.01</t>
  </si>
  <si>
    <t xml:space="preserve">7266.06</t>
  </si>
  <si>
    <t xml:space="preserve">6216.89</t>
  </si>
  <si>
    <t xml:space="preserve">1049.17</t>
  </si>
  <si>
    <t xml:space="preserve">1161.3</t>
  </si>
  <si>
    <t xml:space="preserve">1858.08</t>
  </si>
  <si>
    <t xml:space="preserve">1590.75</t>
  </si>
  <si>
    <t xml:space="preserve">267.33</t>
  </si>
  <si>
    <t xml:space="preserve">01-04-2024</t>
  </si>
  <si>
    <t xml:space="preserve">4205.35</t>
  </si>
  <si>
    <t xml:space="preserve">25021.83</t>
  </si>
  <si>
    <t xml:space="preserve">15544.44</t>
  </si>
  <si>
    <t xml:space="preserve">9477.39</t>
  </si>
  <si>
    <t xml:space="preserve">2025-05-16</t>
  </si>
  <si>
    <t xml:space="preserve">579.8</t>
  </si>
  <si>
    <t xml:space="preserve">3710.72</t>
  </si>
  <si>
    <t xml:space="preserve">3115.29</t>
  </si>
  <si>
    <t xml:space="preserve">595.43</t>
  </si>
  <si>
    <t xml:space="preserve">03/25/2025</t>
  </si>
  <si>
    <t xml:space="preserve">04/02/2025</t>
  </si>
  <si>
    <t xml:space="preserve">2233.64</t>
  </si>
  <si>
    <t xml:space="preserve">8487.83</t>
  </si>
  <si>
    <t xml:space="preserve">5245.72</t>
  </si>
  <si>
    <t xml:space="preserve">3242.11</t>
  </si>
  <si>
    <t xml:space="preserve">02 Aug 2024</t>
  </si>
  <si>
    <t xml:space="preserve">LABELS</t>
  </si>
  <si>
    <t xml:space="preserve">2073.53</t>
  </si>
  <si>
    <t xml:space="preserve">3110.3</t>
  </si>
  <si>
    <t xml:space="preserve">2101.03</t>
  </si>
  <si>
    <t xml:space="preserve">1009.27</t>
  </si>
  <si>
    <t xml:space="preserve">2024-06-12</t>
  </si>
  <si>
    <t xml:space="preserve">395.1</t>
  </si>
  <si>
    <t xml:space="preserve">1185.3</t>
  </si>
  <si>
    <t xml:space="preserve">966.55</t>
  </si>
  <si>
    <t xml:space="preserve">218.75</t>
  </si>
  <si>
    <t xml:space="preserve">04 Jun 2024</t>
  </si>
  <si>
    <t xml:space="preserve">04-06-2024</t>
  </si>
  <si>
    <t xml:space="preserve">2708.97</t>
  </si>
  <si>
    <t xml:space="preserve">12190.36</t>
  </si>
  <si>
    <t xml:space="preserve">10176.99</t>
  </si>
  <si>
    <t xml:space="preserve">2013.37</t>
  </si>
  <si>
    <t xml:space="preserve">2904.86</t>
  </si>
  <si>
    <t xml:space="preserve">11619.44</t>
  </si>
  <si>
    <t xml:space="preserve">7184.32</t>
  </si>
  <si>
    <t xml:space="preserve">4494.64</t>
  </si>
  <si>
    <t xml:space="preserve">2024-11-01</t>
  </si>
  <si>
    <t xml:space="preserve">4399.2</t>
  </si>
  <si>
    <t xml:space="preserve">25075.44</t>
  </si>
  <si>
    <t xml:space="preserve">16282.74</t>
  </si>
  <si>
    <t xml:space="preserve">8792.7</t>
  </si>
  <si>
    <t xml:space="preserve">04 Feb 2024</t>
  </si>
  <si>
    <t xml:space="preserve">4397.32</t>
  </si>
  <si>
    <t xml:space="preserve">4177.45</t>
  </si>
  <si>
    <t xml:space="preserve">2299.5</t>
  </si>
  <si>
    <t xml:space="preserve">1877.95</t>
  </si>
  <si>
    <t xml:space="preserve">2025-03-08</t>
  </si>
  <si>
    <t xml:space="preserve">2025-03-09</t>
  </si>
  <si>
    <t xml:space="preserve">3405.68</t>
  </si>
  <si>
    <t xml:space="preserve">10898.18</t>
  </si>
  <si>
    <t xml:space="preserve">6231.41</t>
  </si>
  <si>
    <t xml:space="preserve">4666.77</t>
  </si>
  <si>
    <t xml:space="preserve">31-03-2025</t>
  </si>
  <si>
    <t xml:space="preserve">1395.14</t>
  </si>
  <si>
    <t xml:space="preserve">6975.7</t>
  </si>
  <si>
    <t xml:space="preserve">4797.88</t>
  </si>
  <si>
    <t xml:space="preserve">2177.82</t>
  </si>
  <si>
    <t xml:space="preserve">09/06/2025</t>
  </si>
  <si>
    <t xml:space="preserve">2937.23</t>
  </si>
  <si>
    <t xml:space="preserve">8811.69</t>
  </si>
  <si>
    <t xml:space="preserve">6765.91</t>
  </si>
  <si>
    <t xml:space="preserve">2045.78</t>
  </si>
  <si>
    <t xml:space="preserve">02 Sep 2025</t>
  </si>
  <si>
    <t xml:space="preserve">3406.87</t>
  </si>
  <si>
    <t xml:space="preserve">17034.35</t>
  </si>
  <si>
    <t xml:space="preserve">14631.36</t>
  </si>
  <si>
    <t xml:space="preserve">2402.99</t>
  </si>
  <si>
    <t xml:space="preserve">3992.04</t>
  </si>
  <si>
    <t xml:space="preserve">7984.08</t>
  </si>
  <si>
    <t xml:space="preserve">5658.05</t>
  </si>
  <si>
    <t xml:space="preserve">2326.03</t>
  </si>
  <si>
    <t xml:space="preserve">2025-03-06</t>
  </si>
  <si>
    <t xml:space="preserve">3043.37</t>
  </si>
  <si>
    <t xml:space="preserve">21912.26</t>
  </si>
  <si>
    <t xml:space="preserve">16367.78</t>
  </si>
  <si>
    <t xml:space="preserve">5544.48</t>
  </si>
  <si>
    <t xml:space="preserve">21 Nov 2024</t>
  </si>
  <si>
    <t xml:space="preserve">22 Nov 2024</t>
  </si>
  <si>
    <t xml:space="preserve">1043.49</t>
  </si>
  <si>
    <t xml:space="preserve">4695.7</t>
  </si>
  <si>
    <t xml:space="preserve">3871.69</t>
  </si>
  <si>
    <t xml:space="preserve">824.01</t>
  </si>
  <si>
    <t xml:space="preserve">224.94</t>
  </si>
  <si>
    <t xml:space="preserve">1923.24</t>
  </si>
  <si>
    <t xml:space="preserve">1093.66</t>
  </si>
  <si>
    <t xml:space="preserve">829.58</t>
  </si>
  <si>
    <t xml:space="preserve">03/06/2025</t>
  </si>
  <si>
    <t xml:space="preserve">796.65</t>
  </si>
  <si>
    <t xml:space="preserve">4301.91</t>
  </si>
  <si>
    <t xml:space="preserve">2374.4</t>
  </si>
  <si>
    <t xml:space="preserve">1927.51</t>
  </si>
  <si>
    <t xml:space="preserve">06 Jun 2025</t>
  </si>
  <si>
    <t xml:space="preserve">07 Jun 2025</t>
  </si>
  <si>
    <t xml:space="preserve">2932.92</t>
  </si>
  <si>
    <t xml:space="preserve">22436.84</t>
  </si>
  <si>
    <t xml:space="preserve">17454.67</t>
  </si>
  <si>
    <t xml:space="preserve">4982.17</t>
  </si>
  <si>
    <t xml:space="preserve">02/20/2024</t>
  </si>
  <si>
    <t xml:space="preserve">2186.23</t>
  </si>
  <si>
    <t xml:space="preserve">19676.07</t>
  </si>
  <si>
    <t xml:space="preserve">12458.62</t>
  </si>
  <si>
    <t xml:space="preserve">7217.45</t>
  </si>
  <si>
    <t xml:space="preserve">02 Nov 2024</t>
  </si>
  <si>
    <t xml:space="preserve">2212.02</t>
  </si>
  <si>
    <t xml:space="preserve">8848.08</t>
  </si>
  <si>
    <t xml:space="preserve">5691.56</t>
  </si>
  <si>
    <t xml:space="preserve">3156.52</t>
  </si>
  <si>
    <t xml:space="preserve">01 Feb 2025</t>
  </si>
  <si>
    <t xml:space="preserve">08-02-2025</t>
  </si>
  <si>
    <t xml:space="preserve">623.31</t>
  </si>
  <si>
    <t xml:space="preserve">4487.83</t>
  </si>
  <si>
    <t xml:space="preserve">2633.78</t>
  </si>
  <si>
    <t xml:space="preserve">1854.05</t>
  </si>
  <si>
    <t xml:space="preserve">3924.88</t>
  </si>
  <si>
    <t xml:space="preserve">29829.09</t>
  </si>
  <si>
    <t xml:space="preserve">20710.18</t>
  </si>
  <si>
    <t xml:space="preserve">9118.91</t>
  </si>
  <si>
    <t xml:space="preserve">10 Aug 2024</t>
  </si>
  <si>
    <t xml:space="preserve">08/11/2024</t>
  </si>
  <si>
    <t xml:space="preserve">3852.62</t>
  </si>
  <si>
    <t xml:space="preserve">21574.67</t>
  </si>
  <si>
    <t xml:space="preserve">14672.83</t>
  </si>
  <si>
    <t xml:space="preserve">6901.84</t>
  </si>
  <si>
    <t xml:space="preserve">11/18/2024</t>
  </si>
  <si>
    <t xml:space="preserve">20-11-2024</t>
  </si>
  <si>
    <t xml:space="preserve">3790.22</t>
  </si>
  <si>
    <t xml:space="preserve">22741.32</t>
  </si>
  <si>
    <t xml:space="preserve">16388.57</t>
  </si>
  <si>
    <t xml:space="preserve">6352.75</t>
  </si>
  <si>
    <t xml:space="preserve">26-08-2025</t>
  </si>
  <si>
    <t xml:space="preserve">674.36</t>
  </si>
  <si>
    <t xml:space="preserve">3641.54</t>
  </si>
  <si>
    <t xml:space="preserve">2690.37</t>
  </si>
  <si>
    <t xml:space="preserve">951.17</t>
  </si>
  <si>
    <t xml:space="preserve">1557.21</t>
  </si>
  <si>
    <t xml:space="preserve">11834.8</t>
  </si>
  <si>
    <t xml:space="preserve">9322.36</t>
  </si>
  <si>
    <t xml:space="preserve">2512.44</t>
  </si>
  <si>
    <t xml:space="preserve">2025-08-27</t>
  </si>
  <si>
    <t xml:space="preserve">1182.03</t>
  </si>
  <si>
    <t xml:space="preserve">6028.35</t>
  </si>
  <si>
    <t xml:space="preserve">4433.63</t>
  </si>
  <si>
    <t xml:space="preserve">1594.72</t>
  </si>
  <si>
    <t xml:space="preserve">08-03-2024</t>
  </si>
  <si>
    <t xml:space="preserve">3234.77</t>
  </si>
  <si>
    <t xml:space="preserve">16173.85</t>
  </si>
  <si>
    <t xml:space="preserve">13636.34</t>
  </si>
  <si>
    <t xml:space="preserve">2537.51</t>
  </si>
  <si>
    <t xml:space="preserve">05-12-2024</t>
  </si>
  <si>
    <t xml:space="preserve">3726.75</t>
  </si>
  <si>
    <t xml:space="preserve">25155.56</t>
  </si>
  <si>
    <t xml:space="preserve">17592.69</t>
  </si>
  <si>
    <t xml:space="preserve">7562.87</t>
  </si>
  <si>
    <t xml:space="preserve">02 Feb 2025</t>
  </si>
  <si>
    <t xml:space="preserve">1912.45</t>
  </si>
  <si>
    <t xml:space="preserve">7649.8</t>
  </si>
  <si>
    <t xml:space="preserve">4894.53</t>
  </si>
  <si>
    <t xml:space="preserve">2755.27</t>
  </si>
  <si>
    <t xml:space="preserve">28 Apr 2025</t>
  </si>
  <si>
    <t xml:space="preserve">05/01/2025</t>
  </si>
  <si>
    <t xml:space="preserve">1620.87</t>
  </si>
  <si>
    <t xml:space="preserve">1103.61</t>
  </si>
  <si>
    <t xml:space="preserve">517.26</t>
  </si>
  <si>
    <t xml:space="preserve">18-01-2025</t>
  </si>
  <si>
    <t xml:space="preserve">2025-01-25</t>
  </si>
  <si>
    <t xml:space="preserve">2098.54</t>
  </si>
  <si>
    <t xml:space="preserve">3567.52</t>
  </si>
  <si>
    <t xml:space="preserve">2411.8</t>
  </si>
  <si>
    <t xml:space="preserve">1155.72</t>
  </si>
  <si>
    <t xml:space="preserve">2024-01-05</t>
  </si>
  <si>
    <t xml:space="preserve">2167.08</t>
  </si>
  <si>
    <t xml:space="preserve">1625.31</t>
  </si>
  <si>
    <t xml:space="preserve">1157.89</t>
  </si>
  <si>
    <t xml:space="preserve">467.42</t>
  </si>
  <si>
    <t xml:space="preserve">26-04-2025</t>
  </si>
  <si>
    <t xml:space="preserve">03-05-2025</t>
  </si>
  <si>
    <t xml:space="preserve">3989.9</t>
  </si>
  <si>
    <t xml:space="preserve">23739.9</t>
  </si>
  <si>
    <t xml:space="preserve">17716.52</t>
  </si>
  <si>
    <t xml:space="preserve">6023.38</t>
  </si>
  <si>
    <t xml:space="preserve">4176.13</t>
  </si>
  <si>
    <t xml:space="preserve">16704.52</t>
  </si>
  <si>
    <t xml:space="preserve">10158.28</t>
  </si>
  <si>
    <t xml:space="preserve">6546.24</t>
  </si>
  <si>
    <t xml:space="preserve">06-08-2025</t>
  </si>
  <si>
    <t xml:space="preserve">3523.64</t>
  </si>
  <si>
    <t xml:space="preserve">12685.1</t>
  </si>
  <si>
    <t xml:space="preserve">10779.56</t>
  </si>
  <si>
    <t xml:space="preserve">1905.54</t>
  </si>
  <si>
    <t xml:space="preserve">10 Mar 2025</t>
  </si>
  <si>
    <t xml:space="preserve">03/11/2025</t>
  </si>
  <si>
    <t xml:space="preserve">3922.08</t>
  </si>
  <si>
    <t xml:space="preserve">5883.12</t>
  </si>
  <si>
    <t xml:space="preserve">4647.91</t>
  </si>
  <si>
    <t xml:space="preserve">1235.21</t>
  </si>
  <si>
    <t xml:space="preserve">2909.56</t>
  </si>
  <si>
    <t xml:space="preserve">13965.89</t>
  </si>
  <si>
    <t xml:space="preserve">11646.12</t>
  </si>
  <si>
    <t xml:space="preserve">2319.77</t>
  </si>
  <si>
    <t xml:space="preserve">2407.97</t>
  </si>
  <si>
    <t xml:space="preserve">10835.86</t>
  </si>
  <si>
    <t xml:space="preserve">6419.92</t>
  </si>
  <si>
    <t xml:space="preserve">4415.94</t>
  </si>
  <si>
    <t xml:space="preserve">04/12/2025</t>
  </si>
  <si>
    <t xml:space="preserve">726.89</t>
  </si>
  <si>
    <t xml:space="preserve">581.51</t>
  </si>
  <si>
    <t xml:space="preserve">423.86</t>
  </si>
  <si>
    <t xml:space="preserve">157.65</t>
  </si>
  <si>
    <t xml:space="preserve">06 Jun 2024</t>
  </si>
  <si>
    <t xml:space="preserve">08 Jun 2024</t>
  </si>
  <si>
    <t xml:space="preserve">395.49</t>
  </si>
  <si>
    <t xml:space="preserve">1127.15</t>
  </si>
  <si>
    <t xml:space="preserve">845.62</t>
  </si>
  <si>
    <t xml:space="preserve">281.53</t>
  </si>
  <si>
    <t xml:space="preserve">02/29/2024</t>
  </si>
  <si>
    <t xml:space="preserve">4254.05</t>
  </si>
  <si>
    <t xml:space="preserve">25524.3</t>
  </si>
  <si>
    <t xml:space="preserve">16711.93</t>
  </si>
  <si>
    <t xml:space="preserve">8812.37</t>
  </si>
  <si>
    <t xml:space="preserve">05 Nov 2024</t>
  </si>
  <si>
    <t xml:space="preserve">711.18</t>
  </si>
  <si>
    <t xml:space="preserve">2418.01</t>
  </si>
  <si>
    <t xml:space="preserve">1441.89</t>
  </si>
  <si>
    <t xml:space="preserve">976.12</t>
  </si>
  <si>
    <t xml:space="preserve">12/24/2024</t>
  </si>
  <si>
    <t xml:space="preserve">3693.03</t>
  </si>
  <si>
    <t xml:space="preserve">3508.38</t>
  </si>
  <si>
    <t xml:space="preserve">2828.06</t>
  </si>
  <si>
    <t xml:space="preserve">680.32</t>
  </si>
  <si>
    <t xml:space="preserve">03 May 2025</t>
  </si>
  <si>
    <t xml:space="preserve">1786.65</t>
  </si>
  <si>
    <t xml:space="preserve">6789.27</t>
  </si>
  <si>
    <t xml:space="preserve">5626.43</t>
  </si>
  <si>
    <t xml:space="preserve">1162.84</t>
  </si>
  <si>
    <t xml:space="preserve">1536.7</t>
  </si>
  <si>
    <t xml:space="preserve">4917.44</t>
  </si>
  <si>
    <t xml:space="preserve">3846.77</t>
  </si>
  <si>
    <t xml:space="preserve">1070.67</t>
  </si>
  <si>
    <t xml:space="preserve">06/03/2025</t>
  </si>
  <si>
    <t xml:space="preserve">881.08</t>
  </si>
  <si>
    <t xml:space="preserve">3304.05</t>
  </si>
  <si>
    <t xml:space="preserve">2279.41</t>
  </si>
  <si>
    <t xml:space="preserve">1024.64</t>
  </si>
  <si>
    <t xml:space="preserve">10989.89</t>
  </si>
  <si>
    <t xml:space="preserve">9549.44</t>
  </si>
  <si>
    <t xml:space="preserve">10348.43</t>
  </si>
  <si>
    <t xml:space="preserve">12116.89</t>
  </si>
  <si>
    <t xml:space="preserve">6589.37</t>
  </si>
  <si>
    <t xml:space="preserve">5206.53</t>
  </si>
  <si>
    <t xml:space="preserve">27322.9</t>
  </si>
  <si>
    <t xml:space="preserve">21443.63</t>
  </si>
  <si>
    <t xml:space="preserve">4099.69</t>
  </si>
  <si>
    <t xml:space="preserve">3797.79</t>
  </si>
  <si>
    <t xml:space="preserve">808.67</t>
  </si>
  <si>
    <t xml:space="preserve">11778.71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</si>
</sst>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#,##0.00"/>
    <numFmt numFmtId="168" formatCode="0.00%"/>
    <numFmt numFmtId="169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Orders" displayName="CleanedOrders" ref="A1:AL913" headerRowCount="1" totalsRowCount="0" totalsRowShown="0">
  <autoFilter ref="A1:AL913"/>
  <tableColumns count="38">
    <tableColumn id="1" name="order_id"/>
    <tableColumn id="2" name="order_date"/>
    <tableColumn id="3" name="ship_date"/>
    <tableColumn id="4" name="customer_id"/>
    <tableColumn id="5" name="customer_name"/>
    <tableColumn id="6" name="segment"/>
    <tableColumn id="7" name="region"/>
    <tableColumn id="8" name="region_was_missing"/>
    <tableColumn id="9" name="state"/>
    <tableColumn id="10" name="city"/>
    <tableColumn id="11" name="category"/>
    <tableColumn id="12" name="sub_category"/>
    <tableColumn id="13" name="product_name"/>
    <tableColumn id="14" name="ship_mode"/>
    <tableColumn id="15" name="ship_mode_was_missing"/>
    <tableColumn id="16" name="quantity"/>
    <tableColumn id="17" name="unit_price"/>
    <tableColumn id="18" name="discount_original"/>
    <tableColumn id="19" name="discount_value"/>
    <tableColumn id="20" name="discount_status"/>
    <tableColumn id="21" name="cleaned_discount"/>
    <tableColumn id="22" name="sales_reported"/>
    <tableColumn id="23" name="cost"/>
    <tableColumn id="24" name="profit_reported"/>
    <tableColumn id="25" name="calculated_sales"/>
    <tableColumn id="26" name="calculated_profit"/>
    <tableColumn id="27" name="profit_margin"/>
    <tableColumn id="28" name="sales_mismatch_flag"/>
    <tableColumn id="29" name="profit_mismatch_flag"/>
    <tableColumn id="30" name="shipping_delay_days"/>
    <tableColumn id="31" name="date_sequence_flag"/>
    <tableColumn id="32" name="order_month"/>
    <tableColumn id="33" name="order_year"/>
    <tableColumn id="34" name="payment_status"/>
    <tableColumn id="35" name="order_status"/>
    <tableColumn id="36" name="order_status_issue_flag"/>
    <tableColumn id="37" name="duplicate_status"/>
    <tableColumn id="38" name="data_quality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22"/>
    <col collapsed="false" customWidth="true" hidden="false" outlineLevel="0" max="14" min="14" style="1" width="14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7" min="17" style="1" width="11"/>
    <col collapsed="false" customWidth="true" hidden="false" outlineLevel="0" max="18" min="18" style="1" width="12"/>
    <col collapsed="false" customWidth="true" hidden="false" outlineLevel="0" max="19" min="19" style="1" width="11"/>
    <col collapsed="false" customWidth="true" hidden="false" outlineLevel="0" max="20" min="20" style="1" width="22"/>
    <col collapsed="false" customWidth="true" hidden="false" outlineLevel="0" max="21" min="21" style="1" width="13"/>
    <col collapsed="false" customWidth="true" hidden="false" outlineLevel="0" max="22" min="22" style="1" width="12"/>
    <col collapsed="false" customWidth="true" hidden="false" outlineLevel="0" max="23" min="23" style="1" width="11"/>
    <col collapsed="false" customWidth="true" hidden="false" outlineLevel="0" max="24" min="24" style="1" width="12"/>
    <col collapsed="false" customWidth="true" hidden="false" outlineLevel="0" max="26" min="25" style="1" width="14"/>
    <col collapsed="false" customWidth="true" hidden="false" outlineLevel="0" max="27" min="27" style="1" width="11"/>
    <col collapsed="false" customWidth="true" hidden="false" outlineLevel="0" max="28" min="28" style="1" width="13"/>
    <col collapsed="false" customWidth="true" hidden="false" outlineLevel="0" max="29" min="29" style="1" width="14"/>
    <col collapsed="false" customWidth="true" hidden="false" outlineLevel="0" max="30" min="30" style="1" width="13"/>
    <col collapsed="false" customWidth="true" hidden="false" outlineLevel="0" max="31" min="31" style="1" width="22"/>
    <col collapsed="false" customWidth="true" hidden="false" outlineLevel="0" max="33" min="32" style="1" width="9"/>
    <col collapsed="false" customWidth="true" hidden="false" outlineLevel="0" max="34" min="34" style="1" width="13"/>
    <col collapsed="false" customWidth="true" hidden="false" outlineLevel="0" max="35" min="35" style="1" width="12"/>
    <col collapsed="false" customWidth="true" hidden="false" outlineLevel="0" max="37" min="36" style="1" width="30"/>
    <col collapsed="false" customWidth="true" hidden="false" outlineLevel="0" max="38" min="38" style="1" width="13"/>
  </cols>
  <sheetData>
    <row r="1" customFormat="false" ht="5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5" hidden="false" customHeight="true" outlineLevel="0" collapsed="false">
      <c r="A2" s="3" t="s">
        <v>38</v>
      </c>
      <c r="B2" s="4" t="n">
        <v>45494</v>
      </c>
      <c r="C2" s="4" t="n">
        <v>45500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43</v>
      </c>
      <c r="P2" s="5" t="n">
        <v>8</v>
      </c>
      <c r="Q2" s="6" t="n">
        <v>2976.45</v>
      </c>
      <c r="R2" s="3" t="s">
        <v>50</v>
      </c>
      <c r="S2" s="7" t="n">
        <v>0.2</v>
      </c>
      <c r="T2" s="3" t="s">
        <v>51</v>
      </c>
      <c r="U2" s="7" t="n">
        <f aca="false">IF(T2="Valid",S2,0)</f>
        <v>0.2</v>
      </c>
      <c r="V2" s="6" t="n">
        <v>19049.28</v>
      </c>
      <c r="W2" s="6" t="n">
        <v>15841.89</v>
      </c>
      <c r="X2" s="6" t="n">
        <v>3207.39</v>
      </c>
      <c r="Y2" s="6" t="n">
        <f aca="false">P2*Q2*(1-U2)</f>
        <v>19049.28</v>
      </c>
      <c r="Z2" s="6" t="n">
        <f aca="false">Y2-W2</f>
        <v>3207.39</v>
      </c>
      <c r="AA2" s="8" t="n">
        <f aca="false">IF(Y2=0,0,Z2/Y2)</f>
        <v>0.168373292848864</v>
      </c>
      <c r="AB2" s="3" t="str">
        <f aca="false">IF(ABS(V2-Y2)&gt;1,"Mismatch","OK")</f>
        <v>OK</v>
      </c>
      <c r="AC2" s="3" t="str">
        <f aca="false">IF(ABS(X2-Z2)&gt;1,"Mismatch","OK")</f>
        <v>OK</v>
      </c>
      <c r="AD2" s="5" t="n">
        <f aca="false">IF(OR(B2="",C2=""),"",C2-B2)</f>
        <v>6</v>
      </c>
      <c r="AE2" s="3" t="str">
        <f aca="false">IF(AD2="","Unknown",IF(AD2&lt;0,"Invalid - Ship Before Order","OK"))</f>
        <v>OK</v>
      </c>
      <c r="AF2" s="5" t="n">
        <f aca="false">IF(B2="","",MONTH(B2))</f>
        <v>7</v>
      </c>
      <c r="AG2" s="5" t="n">
        <f aca="false">IF(B2="","",YEAR(B2))</f>
        <v>2024</v>
      </c>
      <c r="AH2" s="3" t="s">
        <v>52</v>
      </c>
      <c r="AI2" s="3" t="s">
        <v>53</v>
      </c>
      <c r="AJ2" s="3" t="str">
        <f aca="false">IF(AND(AI2="Completed",AH2="Failed"),"Inconsistent - Completed Order with Failed Payment","OK")</f>
        <v>OK</v>
      </c>
      <c r="AK2" s="3" t="s">
        <v>54</v>
      </c>
      <c r="AL2" s="3" t="str">
        <f aca="false">IF(OR(T2="Negative - Invalid",T2="Above Allowed Range - Invalid",AE2="Invalid - Ship Before Order",AK2&lt;&gt;"Unique",AB2="Mismatch",AC2="Mismatch",AJ2&lt;&gt;"OK"),"Invalid",IF(OR(H2="Yes",O2="Yes",T2="Missing"),"Warning","Clean"))</f>
        <v>Clean</v>
      </c>
    </row>
    <row r="3" customFormat="false" ht="15" hidden="false" customHeight="true" outlineLevel="0" collapsed="false">
      <c r="A3" s="3" t="s">
        <v>55</v>
      </c>
      <c r="B3" s="4" t="n">
        <v>45535</v>
      </c>
      <c r="C3" s="4" t="n">
        <v>45540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43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43</v>
      </c>
      <c r="P3" s="5" t="n">
        <v>3</v>
      </c>
      <c r="Q3" s="6" t="n">
        <v>2437.5</v>
      </c>
      <c r="R3" s="3" t="s">
        <v>66</v>
      </c>
      <c r="S3" s="7" t="n">
        <v>0</v>
      </c>
      <c r="T3" s="3" t="s">
        <v>51</v>
      </c>
      <c r="U3" s="7" t="n">
        <f aca="false">IF(T3="Valid",S3,0)</f>
        <v>0</v>
      </c>
      <c r="V3" s="6" t="n">
        <v>7312.5</v>
      </c>
      <c r="W3" s="6" t="n">
        <v>4904.73</v>
      </c>
      <c r="X3" s="6" t="n">
        <v>2407.77</v>
      </c>
      <c r="Y3" s="6" t="n">
        <f aca="false">P3*Q3*(1-U3)</f>
        <v>7312.5</v>
      </c>
      <c r="Z3" s="6" t="n">
        <f aca="false">Y3-W3</f>
        <v>2407.77</v>
      </c>
      <c r="AA3" s="8" t="n">
        <f aca="false">IF(Y3=0,0,Z3/Y3)</f>
        <v>0.329267692307692</v>
      </c>
      <c r="AB3" s="3" t="str">
        <f aca="false">IF(ABS(V3-Y3)&gt;1,"Mismatch","OK")</f>
        <v>OK</v>
      </c>
      <c r="AC3" s="3" t="str">
        <f aca="false">IF(ABS(X3-Z3)&gt;1,"Mismatch","OK")</f>
        <v>OK</v>
      </c>
      <c r="AD3" s="5" t="n">
        <f aca="false">IF(OR(B3="",C3=""),"",C3-B3)</f>
        <v>5</v>
      </c>
      <c r="AE3" s="3" t="str">
        <f aca="false">IF(AD3="","Unknown",IF(AD3&lt;0,"Invalid - Ship Before Order","OK"))</f>
        <v>OK</v>
      </c>
      <c r="AF3" s="5" t="n">
        <f aca="false">IF(B3="","",MONTH(B3))</f>
        <v>8</v>
      </c>
      <c r="AG3" s="5" t="n">
        <f aca="false">IF(B3="","",YEAR(B3))</f>
        <v>2024</v>
      </c>
      <c r="AH3" s="3" t="s">
        <v>52</v>
      </c>
      <c r="AI3" s="3" t="s">
        <v>53</v>
      </c>
      <c r="AJ3" s="3" t="str">
        <f aca="false">IF(AND(AI3="Completed",AH3="Failed"),"Inconsistent - Completed Order with Failed Payment","OK")</f>
        <v>OK</v>
      </c>
      <c r="AK3" s="3" t="s">
        <v>54</v>
      </c>
      <c r="AL3" s="3" t="str">
        <f aca="false">IF(OR(T3="Negative - Invalid",T3="Above Allowed Range - Invalid",AE3="Invalid - Ship Before Order",AK3&lt;&gt;"Unique",AB3="Mismatch",AC3="Mismatch",AJ3&lt;&gt;"OK"),"Invalid",IF(OR(H3="Yes",O3="Yes",T3="Missing"),"Warning","Clean"))</f>
        <v>Clean</v>
      </c>
    </row>
    <row r="4" customFormat="false" ht="15" hidden="false" customHeight="true" outlineLevel="0" collapsed="false">
      <c r="A4" s="3" t="s">
        <v>67</v>
      </c>
      <c r="B4" s="4" t="n">
        <v>45451</v>
      </c>
      <c r="C4" s="4" t="n">
        <v>45458</v>
      </c>
      <c r="D4" s="3" t="s">
        <v>68</v>
      </c>
      <c r="E4" s="3" t="s">
        <v>69</v>
      </c>
      <c r="F4" s="3" t="s">
        <v>41</v>
      </c>
      <c r="G4" s="3" t="s">
        <v>59</v>
      </c>
      <c r="H4" s="3" t="s">
        <v>43</v>
      </c>
      <c r="I4" s="3" t="s">
        <v>60</v>
      </c>
      <c r="J4" s="3" t="s">
        <v>61</v>
      </c>
      <c r="K4" s="3" t="s">
        <v>46</v>
      </c>
      <c r="L4" s="3" t="s">
        <v>70</v>
      </c>
      <c r="M4" s="3" t="s">
        <v>71</v>
      </c>
      <c r="N4" s="3" t="s">
        <v>72</v>
      </c>
      <c r="O4" s="3" t="s">
        <v>43</v>
      </c>
      <c r="P4" s="5" t="n">
        <v>4</v>
      </c>
      <c r="Q4" s="6" t="n">
        <v>1065.43</v>
      </c>
      <c r="R4" s="3" t="s">
        <v>73</v>
      </c>
      <c r="S4" s="7" t="n">
        <v>0.55</v>
      </c>
      <c r="T4" s="3" t="s">
        <v>74</v>
      </c>
      <c r="U4" s="7" t="n">
        <f aca="false">IF(T4="Valid",S4,0)</f>
        <v>0</v>
      </c>
      <c r="V4" s="6" t="n">
        <v>4261.72</v>
      </c>
      <c r="W4" s="6" t="n">
        <v>2465.69</v>
      </c>
      <c r="X4" s="6" t="n">
        <v>1796.03</v>
      </c>
      <c r="Y4" s="6" t="n">
        <f aca="false">P4*Q4*(1-U4)</f>
        <v>4261.72</v>
      </c>
      <c r="Z4" s="6" t="n">
        <f aca="false">Y4-W4</f>
        <v>1796.03</v>
      </c>
      <c r="AA4" s="8" t="n">
        <f aca="false">IF(Y4=0,0,Z4/Y4)</f>
        <v>0.421433130285425</v>
      </c>
      <c r="AB4" s="3" t="str">
        <f aca="false">IF(ABS(V4-Y4)&gt;1,"Mismatch","OK")</f>
        <v>OK</v>
      </c>
      <c r="AC4" s="3" t="str">
        <f aca="false">IF(ABS(X4-Z4)&gt;1,"Mismatch","OK")</f>
        <v>OK</v>
      </c>
      <c r="AD4" s="5" t="n">
        <f aca="false">IF(OR(B4="",C4=""),"",C4-B4)</f>
        <v>7</v>
      </c>
      <c r="AE4" s="3" t="str">
        <f aca="false">IF(AD4="","Unknown",IF(AD4&lt;0,"Invalid - Ship Before Order","OK"))</f>
        <v>OK</v>
      </c>
      <c r="AF4" s="5" t="n">
        <f aca="false">IF(B4="","",MONTH(B4))</f>
        <v>6</v>
      </c>
      <c r="AG4" s="5" t="n">
        <f aca="false">IF(B4="","",YEAR(B4))</f>
        <v>2024</v>
      </c>
      <c r="AH4" s="3" t="s">
        <v>52</v>
      </c>
      <c r="AI4" s="3" t="s">
        <v>53</v>
      </c>
      <c r="AJ4" s="3" t="str">
        <f aca="false">IF(AND(AI4="Completed",AH4="Failed"),"Inconsistent - Completed Order with Failed Payment","OK")</f>
        <v>OK</v>
      </c>
      <c r="AK4" s="3" t="s">
        <v>54</v>
      </c>
      <c r="AL4" s="3" t="str">
        <f aca="false">IF(OR(T4="Negative - Invalid",T4="Above Allowed Range - Invalid",AE4="Invalid - Ship Before Order",AK4&lt;&gt;"Unique",AB4="Mismatch",AC4="Mismatch",AJ4&lt;&gt;"OK"),"Invalid",IF(OR(H4="Yes",O4="Yes",T4="Missing"),"Warning","Clean"))</f>
        <v>Invalid</v>
      </c>
    </row>
    <row r="5" customFormat="false" ht="15" hidden="false" customHeight="true" outlineLevel="0" collapsed="false">
      <c r="A5" s="3" t="s">
        <v>75</v>
      </c>
      <c r="B5" s="4" t="n">
        <v>45624</v>
      </c>
      <c r="C5" s="4" t="n">
        <v>45625</v>
      </c>
      <c r="D5" s="3" t="s">
        <v>76</v>
      </c>
      <c r="E5" s="3" t="s">
        <v>77</v>
      </c>
      <c r="F5" s="3" t="s">
        <v>58</v>
      </c>
      <c r="G5" s="3" t="s">
        <v>78</v>
      </c>
      <c r="H5" s="3" t="s">
        <v>43</v>
      </c>
      <c r="I5" s="3" t="s">
        <v>79</v>
      </c>
      <c r="J5" s="3" t="s">
        <v>80</v>
      </c>
      <c r="K5" s="3" t="s">
        <v>62</v>
      </c>
      <c r="L5" s="3" t="s">
        <v>81</v>
      </c>
      <c r="M5" s="3" t="s">
        <v>82</v>
      </c>
      <c r="N5" s="3" t="s">
        <v>83</v>
      </c>
      <c r="O5" s="3" t="s">
        <v>43</v>
      </c>
      <c r="P5" s="5" t="n">
        <v>6</v>
      </c>
      <c r="Q5" s="6" t="n">
        <v>1848.43</v>
      </c>
      <c r="R5" s="3" t="s">
        <v>84</v>
      </c>
      <c r="S5" s="7" t="n">
        <v>0.25</v>
      </c>
      <c r="T5" s="3" t="s">
        <v>51</v>
      </c>
      <c r="U5" s="7" t="n">
        <f aca="false">IF(T5="Valid",S5,0)</f>
        <v>0.25</v>
      </c>
      <c r="V5" s="6" t="n">
        <v>8317.93</v>
      </c>
      <c r="W5" s="6" t="n">
        <v>6796.77</v>
      </c>
      <c r="X5" s="6" t="n">
        <v>1521.16</v>
      </c>
      <c r="Y5" s="6" t="n">
        <f aca="false">P5*Q5*(1-U5)</f>
        <v>8317.935</v>
      </c>
      <c r="Z5" s="6" t="n">
        <f aca="false">Y5-W5</f>
        <v>1521.165</v>
      </c>
      <c r="AA5" s="8" t="n">
        <f aca="false">IF(Y5=0,0,Z5/Y5)</f>
        <v>0.182877721453702</v>
      </c>
      <c r="AB5" s="3" t="str">
        <f aca="false">IF(ABS(V5-Y5)&gt;1,"Mismatch","OK")</f>
        <v>OK</v>
      </c>
      <c r="AC5" s="3" t="str">
        <f aca="false">IF(ABS(X5-Z5)&gt;1,"Mismatch","OK")</f>
        <v>OK</v>
      </c>
      <c r="AD5" s="5" t="n">
        <f aca="false">IF(OR(B5="",C5=""),"",C5-B5)</f>
        <v>1</v>
      </c>
      <c r="AE5" s="3" t="str">
        <f aca="false">IF(AD5="","Unknown",IF(AD5&lt;0,"Invalid - Ship Before Order","OK"))</f>
        <v>OK</v>
      </c>
      <c r="AF5" s="5" t="n">
        <f aca="false">IF(B5="","",MONTH(B5))</f>
        <v>11</v>
      </c>
      <c r="AG5" s="5" t="n">
        <f aca="false">IF(B5="","",YEAR(B5))</f>
        <v>2024</v>
      </c>
      <c r="AH5" s="3" t="s">
        <v>52</v>
      </c>
      <c r="AI5" s="3" t="s">
        <v>53</v>
      </c>
      <c r="AJ5" s="3" t="str">
        <f aca="false">IF(AND(AI5="Completed",AH5="Failed"),"Inconsistent - Completed Order with Failed Payment","OK")</f>
        <v>OK</v>
      </c>
      <c r="AK5" s="3" t="s">
        <v>54</v>
      </c>
      <c r="AL5" s="3" t="str">
        <f aca="false">IF(OR(T5="Negative - Invalid",T5="Above Allowed Range - Invalid",AE5="Invalid - Ship Before Order",AK5&lt;&gt;"Unique",AB5="Mismatch",AC5="Mismatch",AJ5&lt;&gt;"OK"),"Invalid",IF(OR(H5="Yes",O5="Yes",T5="Missing"),"Warning","Clean"))</f>
        <v>Clean</v>
      </c>
    </row>
    <row r="6" customFormat="false" ht="15" hidden="false" customHeight="true" outlineLevel="0" collapsed="false">
      <c r="A6" s="3" t="s">
        <v>85</v>
      </c>
      <c r="B6" s="4" t="n">
        <v>45898</v>
      </c>
      <c r="C6" s="4" t="n">
        <v>45901</v>
      </c>
      <c r="D6" s="3" t="s">
        <v>86</v>
      </c>
      <c r="E6" s="3" t="s">
        <v>87</v>
      </c>
      <c r="F6" s="3" t="s">
        <v>58</v>
      </c>
      <c r="G6" s="3" t="s">
        <v>88</v>
      </c>
      <c r="H6" s="3" t="s">
        <v>43</v>
      </c>
      <c r="I6" s="3" t="s">
        <v>89</v>
      </c>
      <c r="J6" s="3" t="s">
        <v>90</v>
      </c>
      <c r="K6" s="3" t="s">
        <v>62</v>
      </c>
      <c r="L6" s="3" t="s">
        <v>91</v>
      </c>
      <c r="M6" s="3" t="s">
        <v>92</v>
      </c>
      <c r="N6" s="3" t="s">
        <v>72</v>
      </c>
      <c r="O6" s="3" t="s">
        <v>43</v>
      </c>
      <c r="P6" s="5" t="n">
        <v>7</v>
      </c>
      <c r="Q6" s="6" t="n">
        <v>2973.76</v>
      </c>
      <c r="R6" s="3" t="s">
        <v>66</v>
      </c>
      <c r="S6" s="7" t="n">
        <v>0</v>
      </c>
      <c r="T6" s="3" t="s">
        <v>51</v>
      </c>
      <c r="U6" s="7" t="n">
        <f aca="false">IF(T6="Valid",S6,0)</f>
        <v>0</v>
      </c>
      <c r="V6" s="6" t="n">
        <v>20816.32</v>
      </c>
      <c r="W6" s="6" t="n">
        <v>17705.37</v>
      </c>
      <c r="X6" s="6" t="n">
        <v>3110.95</v>
      </c>
      <c r="Y6" s="6" t="n">
        <f aca="false">P6*Q6*(1-U6)</f>
        <v>20816.32</v>
      </c>
      <c r="Z6" s="6" t="n">
        <f aca="false">Y6-W6</f>
        <v>3110.95</v>
      </c>
      <c r="AA6" s="8" t="n">
        <f aca="false">IF(Y6=0,0,Z6/Y6)</f>
        <v>0.149447644924751</v>
      </c>
      <c r="AB6" s="3" t="str">
        <f aca="false">IF(ABS(V6-Y6)&gt;1,"Mismatch","OK")</f>
        <v>OK</v>
      </c>
      <c r="AC6" s="3" t="str">
        <f aca="false">IF(ABS(X6-Z6)&gt;1,"Mismatch","OK")</f>
        <v>OK</v>
      </c>
      <c r="AD6" s="5" t="n">
        <f aca="false">IF(OR(B6="",C6=""),"",C6-B6)</f>
        <v>3</v>
      </c>
      <c r="AE6" s="3" t="str">
        <f aca="false">IF(AD6="","Unknown",IF(AD6&lt;0,"Invalid - Ship Before Order","OK"))</f>
        <v>OK</v>
      </c>
      <c r="AF6" s="5" t="n">
        <f aca="false">IF(B6="","",MONTH(B6))</f>
        <v>8</v>
      </c>
      <c r="AG6" s="5" t="n">
        <f aca="false">IF(B6="","",YEAR(B6))</f>
        <v>2025</v>
      </c>
      <c r="AH6" s="3" t="s">
        <v>52</v>
      </c>
      <c r="AI6" s="3" t="s">
        <v>93</v>
      </c>
      <c r="AJ6" s="3" t="str">
        <f aca="false">IF(AND(AI6="Completed",AH6="Failed"),"Inconsistent - Completed Order with Failed Payment","OK")</f>
        <v>OK</v>
      </c>
      <c r="AK6" s="3" t="s">
        <v>54</v>
      </c>
      <c r="AL6" s="3" t="str">
        <f aca="false">IF(OR(T6="Negative - Invalid",T6="Above Allowed Range - Invalid",AE6="Invalid - Ship Before Order",AK6&lt;&gt;"Unique",AB6="Mismatch",AC6="Mismatch",AJ6&lt;&gt;"OK"),"Invalid",IF(OR(H6="Yes",O6="Yes",T6="Missing"),"Warning","Clean"))</f>
        <v>Clean</v>
      </c>
    </row>
    <row r="7" customFormat="false" ht="15" hidden="false" customHeight="true" outlineLevel="0" collapsed="false">
      <c r="A7" s="3" t="s">
        <v>94</v>
      </c>
      <c r="B7" s="4" t="n">
        <v>45436</v>
      </c>
      <c r="C7" s="4" t="n">
        <v>45440</v>
      </c>
      <c r="D7" s="3" t="s">
        <v>95</v>
      </c>
      <c r="E7" s="3" t="s">
        <v>96</v>
      </c>
      <c r="F7" s="3" t="s">
        <v>58</v>
      </c>
      <c r="G7" s="3" t="s">
        <v>88</v>
      </c>
      <c r="H7" s="3" t="s">
        <v>43</v>
      </c>
      <c r="I7" s="3" t="s">
        <v>97</v>
      </c>
      <c r="J7" s="3" t="s">
        <v>98</v>
      </c>
      <c r="K7" s="3" t="s">
        <v>99</v>
      </c>
      <c r="L7" s="3" t="s">
        <v>100</v>
      </c>
      <c r="M7" s="3" t="s">
        <v>101</v>
      </c>
      <c r="N7" s="3" t="s">
        <v>65</v>
      </c>
      <c r="O7" s="3" t="s">
        <v>43</v>
      </c>
      <c r="P7" s="5" t="n">
        <v>3</v>
      </c>
      <c r="Q7" s="6" t="n">
        <v>1053.11</v>
      </c>
      <c r="R7" s="3" t="s">
        <v>50</v>
      </c>
      <c r="S7" s="7" t="n">
        <v>0.2</v>
      </c>
      <c r="T7" s="3" t="s">
        <v>51</v>
      </c>
      <c r="U7" s="7" t="n">
        <f aca="false">IF(T7="Valid",S7,0)</f>
        <v>0.2</v>
      </c>
      <c r="V7" s="6" t="n">
        <v>2527.46</v>
      </c>
      <c r="W7" s="6" t="n">
        <v>1533.58</v>
      </c>
      <c r="X7" s="6" t="n">
        <v>993.88</v>
      </c>
      <c r="Y7" s="6" t="n">
        <f aca="false">P7*Q7*(1-U7)</f>
        <v>2527.464</v>
      </c>
      <c r="Z7" s="6" t="n">
        <f aca="false">Y7-W7</f>
        <v>993.884</v>
      </c>
      <c r="AA7" s="8" t="n">
        <f aca="false">IF(Y7=0,0,Z7/Y7)</f>
        <v>0.393233691953674</v>
      </c>
      <c r="AB7" s="3" t="str">
        <f aca="false">IF(ABS(V7-Y7)&gt;1,"Mismatch","OK")</f>
        <v>OK</v>
      </c>
      <c r="AC7" s="3" t="str">
        <f aca="false">IF(ABS(X7-Z7)&gt;1,"Mismatch","OK")</f>
        <v>OK</v>
      </c>
      <c r="AD7" s="5" t="n">
        <f aca="false">IF(OR(B7="",C7=""),"",C7-B7)</f>
        <v>4</v>
      </c>
      <c r="AE7" s="3" t="str">
        <f aca="false">IF(AD7="","Unknown",IF(AD7&lt;0,"Invalid - Ship Before Order","OK"))</f>
        <v>OK</v>
      </c>
      <c r="AF7" s="5" t="n">
        <f aca="false">IF(B7="","",MONTH(B7))</f>
        <v>5</v>
      </c>
      <c r="AG7" s="5" t="n">
        <f aca="false">IF(B7="","",YEAR(B7))</f>
        <v>2024</v>
      </c>
      <c r="AH7" s="3" t="s">
        <v>52</v>
      </c>
      <c r="AI7" s="3" t="s">
        <v>53</v>
      </c>
      <c r="AJ7" s="3" t="str">
        <f aca="false">IF(AND(AI7="Completed",AH7="Failed"),"Inconsistent - Completed Order with Failed Payment","OK")</f>
        <v>OK</v>
      </c>
      <c r="AK7" s="3" t="s">
        <v>54</v>
      </c>
      <c r="AL7" s="3" t="str">
        <f aca="false">IF(OR(T7="Negative - Invalid",T7="Above Allowed Range - Invalid",AE7="Invalid - Ship Before Order",AK7&lt;&gt;"Unique",AB7="Mismatch",AC7="Mismatch",AJ7&lt;&gt;"OK"),"Invalid",IF(OR(H7="Yes",O7="Yes",T7="Missing"),"Warning","Clean"))</f>
        <v>Clean</v>
      </c>
    </row>
    <row r="8" customFormat="false" ht="15" hidden="false" customHeight="true" outlineLevel="0" collapsed="false">
      <c r="A8" s="3" t="s">
        <v>102</v>
      </c>
      <c r="B8" s="4" t="n">
        <v>45757</v>
      </c>
      <c r="C8" s="4" t="n">
        <v>45763</v>
      </c>
      <c r="D8" s="3" t="s">
        <v>103</v>
      </c>
      <c r="E8" s="3" t="s">
        <v>104</v>
      </c>
      <c r="F8" s="3" t="s">
        <v>41</v>
      </c>
      <c r="G8" s="3" t="s">
        <v>59</v>
      </c>
      <c r="H8" s="3" t="s">
        <v>43</v>
      </c>
      <c r="I8" s="3" t="s">
        <v>60</v>
      </c>
      <c r="J8" s="3" t="s">
        <v>61</v>
      </c>
      <c r="K8" s="3" t="s">
        <v>99</v>
      </c>
      <c r="L8" s="3" t="s">
        <v>105</v>
      </c>
      <c r="M8" s="3" t="s">
        <v>106</v>
      </c>
      <c r="N8" s="3" t="s">
        <v>83</v>
      </c>
      <c r="O8" s="3" t="s">
        <v>43</v>
      </c>
      <c r="P8" s="5" t="n">
        <v>4</v>
      </c>
      <c r="Q8" s="6" t="n">
        <v>1719.87</v>
      </c>
      <c r="R8" s="3" t="s">
        <v>107</v>
      </c>
      <c r="S8" s="7" t="n">
        <v>0.15</v>
      </c>
      <c r="T8" s="3" t="s">
        <v>51</v>
      </c>
      <c r="U8" s="7" t="n">
        <f aca="false">IF(T8="Valid",S8,0)</f>
        <v>0.15</v>
      </c>
      <c r="V8" s="6" t="n">
        <v>5847.56</v>
      </c>
      <c r="W8" s="6" t="n">
        <v>4727.25</v>
      </c>
      <c r="X8" s="6" t="n">
        <v>1120.31</v>
      </c>
      <c r="Y8" s="6" t="n">
        <f aca="false">P8*Q8*(1-U8)</f>
        <v>5847.558</v>
      </c>
      <c r="Z8" s="6" t="n">
        <f aca="false">Y8-W8</f>
        <v>1120.308</v>
      </c>
      <c r="AA8" s="8" t="n">
        <f aca="false">IF(Y8=0,0,Z8/Y8)</f>
        <v>0.191585615739083</v>
      </c>
      <c r="AB8" s="3" t="str">
        <f aca="false">IF(ABS(V8-Y8)&gt;1,"Mismatch","OK")</f>
        <v>OK</v>
      </c>
      <c r="AC8" s="3" t="str">
        <f aca="false">IF(ABS(X8-Z8)&gt;1,"Mismatch","OK")</f>
        <v>OK</v>
      </c>
      <c r="AD8" s="5" t="n">
        <f aca="false">IF(OR(B8="",C8=""),"",C8-B8)</f>
        <v>6</v>
      </c>
      <c r="AE8" s="3" t="str">
        <f aca="false">IF(AD8="","Unknown",IF(AD8&lt;0,"Invalid - Ship Before Order","OK"))</f>
        <v>OK</v>
      </c>
      <c r="AF8" s="5" t="n">
        <f aca="false">IF(B8="","",MONTH(B8))</f>
        <v>4</v>
      </c>
      <c r="AG8" s="5" t="n">
        <f aca="false">IF(B8="","",YEAR(B8))</f>
        <v>2025</v>
      </c>
      <c r="AH8" s="3" t="s">
        <v>52</v>
      </c>
      <c r="AI8" s="3" t="s">
        <v>53</v>
      </c>
      <c r="AJ8" s="3" t="str">
        <f aca="false">IF(AND(AI8="Completed",AH8="Failed"),"Inconsistent - Completed Order with Failed Payment","OK")</f>
        <v>OK</v>
      </c>
      <c r="AK8" s="3" t="s">
        <v>54</v>
      </c>
      <c r="AL8" s="3" t="str">
        <f aca="false">IF(OR(T8="Negative - Invalid",T8="Above Allowed Range - Invalid",AE8="Invalid - Ship Before Order",AK8&lt;&gt;"Unique",AB8="Mismatch",AC8="Mismatch",AJ8&lt;&gt;"OK"),"Invalid",IF(OR(H8="Yes",O8="Yes",T8="Missing"),"Warning","Clean"))</f>
        <v>Clean</v>
      </c>
    </row>
    <row r="9" customFormat="false" ht="15" hidden="false" customHeight="true" outlineLevel="0" collapsed="false">
      <c r="A9" s="3" t="s">
        <v>108</v>
      </c>
      <c r="B9" s="4" t="n">
        <v>45711</v>
      </c>
      <c r="C9" s="4" t="n">
        <v>45714</v>
      </c>
      <c r="D9" s="3" t="s">
        <v>109</v>
      </c>
      <c r="E9" s="3" t="s">
        <v>69</v>
      </c>
      <c r="F9" s="3" t="s">
        <v>58</v>
      </c>
      <c r="G9" s="3" t="s">
        <v>78</v>
      </c>
      <c r="H9" s="3" t="s">
        <v>43</v>
      </c>
      <c r="I9" s="3" t="s">
        <v>110</v>
      </c>
      <c r="J9" s="3" t="s">
        <v>111</v>
      </c>
      <c r="K9" s="3" t="s">
        <v>46</v>
      </c>
      <c r="L9" s="3" t="s">
        <v>70</v>
      </c>
      <c r="M9" s="3" t="s">
        <v>112</v>
      </c>
      <c r="N9" s="3" t="s">
        <v>72</v>
      </c>
      <c r="O9" s="3" t="s">
        <v>43</v>
      </c>
      <c r="P9" s="5" t="n">
        <v>1</v>
      </c>
      <c r="Q9" s="6" t="n">
        <v>2980.71</v>
      </c>
      <c r="R9" s="3" t="s">
        <v>66</v>
      </c>
      <c r="S9" s="7" t="n">
        <v>0</v>
      </c>
      <c r="T9" s="3" t="s">
        <v>51</v>
      </c>
      <c r="U9" s="7" t="n">
        <f aca="false">IF(T9="Valid",S9,0)</f>
        <v>0</v>
      </c>
      <c r="V9" s="6" t="n">
        <v>2980.71</v>
      </c>
      <c r="W9" s="6" t="n">
        <v>2357.22</v>
      </c>
      <c r="X9" s="6" t="n">
        <v>623.49</v>
      </c>
      <c r="Y9" s="6" t="n">
        <f aca="false">P9*Q9*(1-U9)</f>
        <v>2980.71</v>
      </c>
      <c r="Z9" s="6" t="n">
        <f aca="false">Y9-W9</f>
        <v>623.49</v>
      </c>
      <c r="AA9" s="8" t="n">
        <f aca="false">IF(Y9=0,0,Z9/Y9)</f>
        <v>0.20917499521926</v>
      </c>
      <c r="AB9" s="3" t="str">
        <f aca="false">IF(ABS(V9-Y9)&gt;1,"Mismatch","OK")</f>
        <v>OK</v>
      </c>
      <c r="AC9" s="3" t="str">
        <f aca="false">IF(ABS(X9-Z9)&gt;1,"Mismatch","OK")</f>
        <v>OK</v>
      </c>
      <c r="AD9" s="5" t="n">
        <f aca="false">IF(OR(B9="",C9=""),"",C9-B9)</f>
        <v>3</v>
      </c>
      <c r="AE9" s="3" t="str">
        <f aca="false">IF(AD9="","Unknown",IF(AD9&lt;0,"Invalid - Ship Before Order","OK"))</f>
        <v>OK</v>
      </c>
      <c r="AF9" s="5" t="n">
        <f aca="false">IF(B9="","",MONTH(B9))</f>
        <v>2</v>
      </c>
      <c r="AG9" s="5" t="n">
        <f aca="false">IF(B9="","",YEAR(B9))</f>
        <v>2025</v>
      </c>
      <c r="AH9" s="3" t="s">
        <v>52</v>
      </c>
      <c r="AI9" s="3" t="s">
        <v>53</v>
      </c>
      <c r="AJ9" s="3" t="str">
        <f aca="false">IF(AND(AI9="Completed",AH9="Failed"),"Inconsistent - Completed Order with Failed Payment","OK")</f>
        <v>OK</v>
      </c>
      <c r="AK9" s="3" t="s">
        <v>54</v>
      </c>
      <c r="AL9" s="3" t="str">
        <f aca="false">IF(OR(T9="Negative - Invalid",T9="Above Allowed Range - Invalid",AE9="Invalid - Ship Before Order",AK9&lt;&gt;"Unique",AB9="Mismatch",AC9="Mismatch",AJ9&lt;&gt;"OK"),"Invalid",IF(OR(H9="Yes",O9="Yes",T9="Missing"),"Warning","Clean"))</f>
        <v>Clean</v>
      </c>
    </row>
    <row r="10" customFormat="false" ht="15" hidden="false" customHeight="true" outlineLevel="0" collapsed="false">
      <c r="A10" s="3" t="s">
        <v>113</v>
      </c>
      <c r="B10" s="4" t="n">
        <v>45601</v>
      </c>
      <c r="C10" s="4" t="n">
        <v>45606</v>
      </c>
      <c r="D10" s="3" t="s">
        <v>114</v>
      </c>
      <c r="E10" s="3" t="s">
        <v>115</v>
      </c>
      <c r="F10" s="3" t="s">
        <v>116</v>
      </c>
      <c r="G10" s="3" t="s">
        <v>78</v>
      </c>
      <c r="H10" s="3" t="s">
        <v>43</v>
      </c>
      <c r="I10" s="3" t="s">
        <v>79</v>
      </c>
      <c r="J10" s="3" t="s">
        <v>80</v>
      </c>
      <c r="K10" s="3" t="s">
        <v>46</v>
      </c>
      <c r="L10" s="3" t="s">
        <v>117</v>
      </c>
      <c r="M10" s="3" t="s">
        <v>118</v>
      </c>
      <c r="N10" s="3" t="s">
        <v>72</v>
      </c>
      <c r="O10" s="3" t="s">
        <v>43</v>
      </c>
      <c r="P10" s="5" t="n">
        <v>8</v>
      </c>
      <c r="Q10" s="6" t="n">
        <v>3134.2</v>
      </c>
      <c r="R10" s="3" t="s">
        <v>66</v>
      </c>
      <c r="S10" s="7" t="n">
        <v>0</v>
      </c>
      <c r="T10" s="3" t="s">
        <v>51</v>
      </c>
      <c r="U10" s="7" t="n">
        <f aca="false">IF(T10="Valid",S10,0)</f>
        <v>0</v>
      </c>
      <c r="V10" s="6" t="n">
        <v>25073.6</v>
      </c>
      <c r="W10" s="6" t="n">
        <v>17347.23</v>
      </c>
      <c r="X10" s="6" t="n">
        <v>7726.37</v>
      </c>
      <c r="Y10" s="6" t="n">
        <f aca="false">P10*Q10*(1-U10)</f>
        <v>25073.6</v>
      </c>
      <c r="Z10" s="6" t="n">
        <f aca="false">Y10-W10</f>
        <v>7726.37</v>
      </c>
      <c r="AA10" s="8" t="n">
        <f aca="false">IF(Y10=0,0,Z10/Y10)</f>
        <v>0.308147613426074</v>
      </c>
      <c r="AB10" s="3" t="str">
        <f aca="false">IF(ABS(V10-Y10)&gt;1,"Mismatch","OK")</f>
        <v>OK</v>
      </c>
      <c r="AC10" s="3" t="str">
        <f aca="false">IF(ABS(X10-Z10)&gt;1,"Mismatch","OK")</f>
        <v>OK</v>
      </c>
      <c r="AD10" s="5" t="n">
        <f aca="false">IF(OR(B10="",C10=""),"",C10-B10)</f>
        <v>5</v>
      </c>
      <c r="AE10" s="3" t="str">
        <f aca="false">IF(AD10="","Unknown",IF(AD10&lt;0,"Invalid - Ship Before Order","OK"))</f>
        <v>OK</v>
      </c>
      <c r="AF10" s="5" t="n">
        <f aca="false">IF(B10="","",MONTH(B10))</f>
        <v>11</v>
      </c>
      <c r="AG10" s="5" t="n">
        <f aca="false">IF(B10="","",YEAR(B10))</f>
        <v>2024</v>
      </c>
      <c r="AH10" s="3" t="s">
        <v>52</v>
      </c>
      <c r="AI10" s="3" t="s">
        <v>53</v>
      </c>
      <c r="AJ10" s="3" t="str">
        <f aca="false">IF(AND(AI10="Completed",AH10="Failed"),"Inconsistent - Completed Order with Failed Payment","OK")</f>
        <v>OK</v>
      </c>
      <c r="AK10" s="3" t="s">
        <v>54</v>
      </c>
      <c r="AL10" s="3" t="str">
        <f aca="false">IF(OR(T10="Negative - Invalid",T10="Above Allowed Range - Invalid",AE10="Invalid - Ship Before Order",AK10&lt;&gt;"Unique",AB10="Mismatch",AC10="Mismatch",AJ10&lt;&gt;"OK"),"Invalid",IF(OR(H10="Yes",O10="Yes",T10="Missing"),"Warning","Clean"))</f>
        <v>Clean</v>
      </c>
    </row>
    <row r="11" customFormat="false" ht="15" hidden="false" customHeight="true" outlineLevel="0" collapsed="false">
      <c r="A11" s="3" t="s">
        <v>119</v>
      </c>
      <c r="B11" s="4" t="n">
        <v>45907</v>
      </c>
      <c r="C11" s="4" t="n">
        <v>45912</v>
      </c>
      <c r="D11" s="3" t="s">
        <v>120</v>
      </c>
      <c r="E11" s="3" t="s">
        <v>57</v>
      </c>
      <c r="F11" s="3" t="s">
        <v>121</v>
      </c>
      <c r="G11" s="3" t="s">
        <v>78</v>
      </c>
      <c r="H11" s="3" t="s">
        <v>43</v>
      </c>
      <c r="I11" s="3" t="s">
        <v>79</v>
      </c>
      <c r="J11" s="3" t="s">
        <v>80</v>
      </c>
      <c r="K11" s="3" t="s">
        <v>46</v>
      </c>
      <c r="L11" s="3" t="s">
        <v>47</v>
      </c>
      <c r="M11" s="3" t="s">
        <v>122</v>
      </c>
      <c r="N11" s="3" t="s">
        <v>49</v>
      </c>
      <c r="O11" s="3" t="s">
        <v>43</v>
      </c>
      <c r="P11" s="5" t="n">
        <v>9</v>
      </c>
      <c r="Q11" s="6" t="n">
        <v>852.04</v>
      </c>
      <c r="R11" s="3" t="s">
        <v>50</v>
      </c>
      <c r="S11" s="7" t="n">
        <v>0.2</v>
      </c>
      <c r="T11" s="3" t="s">
        <v>51</v>
      </c>
      <c r="U11" s="7" t="n">
        <f aca="false">IF(T11="Valid",S11,0)</f>
        <v>0.2</v>
      </c>
      <c r="V11" s="6" t="n">
        <v>6134.69</v>
      </c>
      <c r="W11" s="6" t="n">
        <v>3800.19</v>
      </c>
      <c r="X11" s="6" t="n">
        <v>2334.5</v>
      </c>
      <c r="Y11" s="6" t="n">
        <f aca="false">P11*Q11*(1-U11)</f>
        <v>6134.688</v>
      </c>
      <c r="Z11" s="6" t="n">
        <f aca="false">Y11-W11</f>
        <v>2334.498</v>
      </c>
      <c r="AA11" s="8" t="n">
        <f aca="false">IF(Y11=0,0,Z11/Y11)</f>
        <v>0.380540624070857</v>
      </c>
      <c r="AB11" s="3" t="str">
        <f aca="false">IF(ABS(V11-Y11)&gt;1,"Mismatch","OK")</f>
        <v>OK</v>
      </c>
      <c r="AC11" s="3" t="str">
        <f aca="false">IF(ABS(X11-Z11)&gt;1,"Mismatch","OK")</f>
        <v>OK</v>
      </c>
      <c r="AD11" s="5" t="n">
        <f aca="false">IF(OR(B11="",C11=""),"",C11-B11)</f>
        <v>5</v>
      </c>
      <c r="AE11" s="3" t="str">
        <f aca="false">IF(AD11="","Unknown",IF(AD11&lt;0,"Invalid - Ship Before Order","OK"))</f>
        <v>OK</v>
      </c>
      <c r="AF11" s="5" t="n">
        <f aca="false">IF(B11="","",MONTH(B11))</f>
        <v>9</v>
      </c>
      <c r="AG11" s="5" t="n">
        <f aca="false">IF(B11="","",YEAR(B11))</f>
        <v>2025</v>
      </c>
      <c r="AH11" s="3" t="s">
        <v>52</v>
      </c>
      <c r="AI11" s="3" t="s">
        <v>53</v>
      </c>
      <c r="AJ11" s="3" t="str">
        <f aca="false">IF(AND(AI11="Completed",AH11="Failed"),"Inconsistent - Completed Order with Failed Payment","OK")</f>
        <v>OK</v>
      </c>
      <c r="AK11" s="3" t="s">
        <v>54</v>
      </c>
      <c r="AL11" s="3" t="str">
        <f aca="false">IF(OR(T11="Negative - Invalid",T11="Above Allowed Range - Invalid",AE11="Invalid - Ship Before Order",AK11&lt;&gt;"Unique",AB11="Mismatch",AC11="Mismatch",AJ11&lt;&gt;"OK"),"Invalid",IF(OR(H11="Yes",O11="Yes",T11="Missing"),"Warning","Clean"))</f>
        <v>Clean</v>
      </c>
    </row>
    <row r="12" customFormat="false" ht="15" hidden="false" customHeight="true" outlineLevel="0" collapsed="false">
      <c r="A12" s="3" t="s">
        <v>123</v>
      </c>
      <c r="B12" s="4" t="n">
        <v>45797</v>
      </c>
      <c r="C12" s="4" t="n">
        <v>45797</v>
      </c>
      <c r="D12" s="3" t="s">
        <v>124</v>
      </c>
      <c r="E12" s="3" t="s">
        <v>87</v>
      </c>
      <c r="F12" s="3" t="s">
        <v>116</v>
      </c>
      <c r="G12" s="3" t="s">
        <v>59</v>
      </c>
      <c r="H12" s="3" t="s">
        <v>43</v>
      </c>
      <c r="I12" s="3" t="s">
        <v>125</v>
      </c>
      <c r="J12" s="3" t="s">
        <v>126</v>
      </c>
      <c r="K12" s="3" t="s">
        <v>46</v>
      </c>
      <c r="L12" s="3" t="s">
        <v>117</v>
      </c>
      <c r="M12" s="3" t="s">
        <v>127</v>
      </c>
      <c r="N12" s="3" t="s">
        <v>49</v>
      </c>
      <c r="O12" s="3" t="s">
        <v>43</v>
      </c>
      <c r="P12" s="5" t="n">
        <v>3</v>
      </c>
      <c r="Q12" s="6" t="n">
        <v>3534.83</v>
      </c>
      <c r="R12" s="3" t="s">
        <v>128</v>
      </c>
      <c r="S12" s="7" t="n">
        <v>0.05</v>
      </c>
      <c r="T12" s="3" t="s">
        <v>51</v>
      </c>
      <c r="U12" s="7" t="n">
        <f aca="false">IF(T12="Valid",S12,0)</f>
        <v>0.05</v>
      </c>
      <c r="V12" s="6" t="n">
        <v>10074.27</v>
      </c>
      <c r="W12" s="6" t="n">
        <v>6048.27</v>
      </c>
      <c r="X12" s="6" t="n">
        <v>4026</v>
      </c>
      <c r="Y12" s="6" t="n">
        <f aca="false">P12*Q12*(1-U12)</f>
        <v>10074.2655</v>
      </c>
      <c r="Z12" s="6" t="n">
        <f aca="false">Y12-W12</f>
        <v>4025.9955</v>
      </c>
      <c r="AA12" s="8" t="n">
        <f aca="false">IF(Y12=0,0,Z12/Y12)</f>
        <v>0.399631665454916</v>
      </c>
      <c r="AB12" s="3" t="str">
        <f aca="false">IF(ABS(V12-Y12)&gt;1,"Mismatch","OK")</f>
        <v>OK</v>
      </c>
      <c r="AC12" s="3" t="str">
        <f aca="false">IF(ABS(X12-Z12)&gt;1,"Mismatch","OK")</f>
        <v>OK</v>
      </c>
      <c r="AD12" s="5" t="n">
        <f aca="false">IF(OR(B12="",C12=""),"",C12-B12)</f>
        <v>0</v>
      </c>
      <c r="AE12" s="3" t="str">
        <f aca="false">IF(AD12="","Unknown",IF(AD12&lt;0,"Invalid - Ship Before Order","OK"))</f>
        <v>OK</v>
      </c>
      <c r="AF12" s="5" t="n">
        <f aca="false">IF(B12="","",MONTH(B12))</f>
        <v>5</v>
      </c>
      <c r="AG12" s="5" t="n">
        <f aca="false">IF(B12="","",YEAR(B12))</f>
        <v>2025</v>
      </c>
      <c r="AH12" s="3" t="s">
        <v>129</v>
      </c>
      <c r="AI12" s="3" t="s">
        <v>130</v>
      </c>
      <c r="AJ12" s="3" t="str">
        <f aca="false">IF(AND(AI12="Completed",AH12="Failed"),"Inconsistent - Completed Order with Failed Payment","OK")</f>
        <v>OK</v>
      </c>
      <c r="AK12" s="3" t="s">
        <v>54</v>
      </c>
      <c r="AL12" s="3" t="str">
        <f aca="false">IF(OR(T12="Negative - Invalid",T12="Above Allowed Range - Invalid",AE12="Invalid - Ship Before Order",AK12&lt;&gt;"Unique",AB12="Mismatch",AC12="Mismatch",AJ12&lt;&gt;"OK"),"Invalid",IF(OR(H12="Yes",O12="Yes",T12="Missing"),"Warning","Clean"))</f>
        <v>Clean</v>
      </c>
    </row>
    <row r="13" customFormat="false" ht="15" hidden="false" customHeight="true" outlineLevel="0" collapsed="false">
      <c r="A13" s="3" t="s">
        <v>131</v>
      </c>
      <c r="B13" s="4" t="n">
        <v>45495</v>
      </c>
      <c r="C13" s="4" t="n">
        <v>45496</v>
      </c>
      <c r="D13" s="3" t="s">
        <v>132</v>
      </c>
      <c r="E13" s="3" t="s">
        <v>96</v>
      </c>
      <c r="F13" s="3" t="s">
        <v>58</v>
      </c>
      <c r="G13" s="3" t="s">
        <v>59</v>
      </c>
      <c r="H13" s="3" t="s">
        <v>43</v>
      </c>
      <c r="I13" s="3" t="s">
        <v>60</v>
      </c>
      <c r="J13" s="3" t="s">
        <v>61</v>
      </c>
      <c r="K13" s="3" t="s">
        <v>99</v>
      </c>
      <c r="L13" s="3" t="s">
        <v>100</v>
      </c>
      <c r="M13" s="3" t="s">
        <v>133</v>
      </c>
      <c r="N13" s="3" t="s">
        <v>65</v>
      </c>
      <c r="O13" s="3" t="s">
        <v>43</v>
      </c>
      <c r="P13" s="5" t="n">
        <v>6</v>
      </c>
      <c r="Q13" s="6" t="n">
        <v>2005.95</v>
      </c>
      <c r="R13" s="3" t="s">
        <v>50</v>
      </c>
      <c r="S13" s="7" t="n">
        <v>0.2</v>
      </c>
      <c r="T13" s="3" t="s">
        <v>51</v>
      </c>
      <c r="U13" s="7" t="n">
        <f aca="false">IF(T13="Valid",S13,0)</f>
        <v>0.2</v>
      </c>
      <c r="V13" s="6" t="n">
        <v>9628.56</v>
      </c>
      <c r="W13" s="6" t="n">
        <v>8038.59</v>
      </c>
      <c r="X13" s="6" t="n">
        <v>1589.97</v>
      </c>
      <c r="Y13" s="6" t="n">
        <f aca="false">P13*Q13*(1-U13)</f>
        <v>9628.56</v>
      </c>
      <c r="Z13" s="6" t="n">
        <f aca="false">Y13-W13</f>
        <v>1589.97</v>
      </c>
      <c r="AA13" s="8" t="n">
        <f aca="false">IF(Y13=0,0,Z13/Y13)</f>
        <v>0.165130611430993</v>
      </c>
      <c r="AB13" s="3" t="str">
        <f aca="false">IF(ABS(V13-Y13)&gt;1,"Mismatch","OK")</f>
        <v>OK</v>
      </c>
      <c r="AC13" s="3" t="str">
        <f aca="false">IF(ABS(X13-Z13)&gt;1,"Mismatch","OK")</f>
        <v>OK</v>
      </c>
      <c r="AD13" s="5" t="n">
        <f aca="false">IF(OR(B13="",C13=""),"",C13-B13)</f>
        <v>1</v>
      </c>
      <c r="AE13" s="3" t="str">
        <f aca="false">IF(AD13="","Unknown",IF(AD13&lt;0,"Invalid - Ship Before Order","OK"))</f>
        <v>OK</v>
      </c>
      <c r="AF13" s="5" t="n">
        <f aca="false">IF(B13="","",MONTH(B13))</f>
        <v>7</v>
      </c>
      <c r="AG13" s="5" t="n">
        <f aca="false">IF(B13="","",YEAR(B13))</f>
        <v>2024</v>
      </c>
      <c r="AH13" s="3" t="s">
        <v>52</v>
      </c>
      <c r="AI13" s="3" t="s">
        <v>53</v>
      </c>
      <c r="AJ13" s="3" t="str">
        <f aca="false">IF(AND(AI13="Completed",AH13="Failed"),"Inconsistent - Completed Order with Failed Payment","OK")</f>
        <v>OK</v>
      </c>
      <c r="AK13" s="3" t="s">
        <v>54</v>
      </c>
      <c r="AL13" s="3" t="str">
        <f aca="false">IF(OR(T13="Negative - Invalid",T13="Above Allowed Range - Invalid",AE13="Invalid - Ship Before Order",AK13&lt;&gt;"Unique",AB13="Mismatch",AC13="Mismatch",AJ13&lt;&gt;"OK"),"Invalid",IF(OR(H13="Yes",O13="Yes",T13="Missing"),"Warning","Clean"))</f>
        <v>Clean</v>
      </c>
    </row>
    <row r="14" customFormat="false" ht="15" hidden="false" customHeight="true" outlineLevel="0" collapsed="false">
      <c r="A14" s="3" t="s">
        <v>134</v>
      </c>
      <c r="B14" s="4" t="n">
        <v>45646</v>
      </c>
      <c r="C14" s="4" t="n">
        <v>45647</v>
      </c>
      <c r="D14" s="3" t="s">
        <v>135</v>
      </c>
      <c r="E14" s="3" t="s">
        <v>87</v>
      </c>
      <c r="F14" s="3" t="s">
        <v>116</v>
      </c>
      <c r="G14" s="3" t="s">
        <v>88</v>
      </c>
      <c r="H14" s="3" t="s">
        <v>43</v>
      </c>
      <c r="I14" s="3" t="s">
        <v>44</v>
      </c>
      <c r="J14" s="3" t="s">
        <v>136</v>
      </c>
      <c r="K14" s="3" t="s">
        <v>46</v>
      </c>
      <c r="L14" s="3" t="s">
        <v>47</v>
      </c>
      <c r="M14" s="3" t="s">
        <v>137</v>
      </c>
      <c r="N14" s="3" t="s">
        <v>72</v>
      </c>
      <c r="O14" s="3" t="s">
        <v>43</v>
      </c>
      <c r="P14" s="5" t="n">
        <v>1</v>
      </c>
      <c r="Q14" s="6" t="n">
        <v>702.14</v>
      </c>
      <c r="R14" s="3" t="s">
        <v>107</v>
      </c>
      <c r="S14" s="7" t="n">
        <v>0.15</v>
      </c>
      <c r="T14" s="3" t="s">
        <v>51</v>
      </c>
      <c r="U14" s="7" t="n">
        <f aca="false">IF(T14="Valid",S14,0)</f>
        <v>0.15</v>
      </c>
      <c r="V14" s="6" t="n">
        <v>596.82</v>
      </c>
      <c r="W14" s="6" t="n">
        <v>380.25</v>
      </c>
      <c r="X14" s="6" t="n">
        <v>216.57</v>
      </c>
      <c r="Y14" s="6" t="n">
        <f aca="false">P14*Q14*(1-U14)</f>
        <v>596.819</v>
      </c>
      <c r="Z14" s="6" t="n">
        <f aca="false">Y14-W14</f>
        <v>216.569</v>
      </c>
      <c r="AA14" s="8" t="n">
        <f aca="false">IF(Y14=0,0,Z14/Y14)</f>
        <v>0.362872160571295</v>
      </c>
      <c r="AB14" s="3" t="str">
        <f aca="false">IF(ABS(V14-Y14)&gt;1,"Mismatch","OK")</f>
        <v>OK</v>
      </c>
      <c r="AC14" s="3" t="str">
        <f aca="false">IF(ABS(X14-Z14)&gt;1,"Mismatch","OK")</f>
        <v>OK</v>
      </c>
      <c r="AD14" s="5" t="n">
        <f aca="false">IF(OR(B14="",C14=""),"",C14-B14)</f>
        <v>1</v>
      </c>
      <c r="AE14" s="3" t="str">
        <f aca="false">IF(AD14="","Unknown",IF(AD14&lt;0,"Invalid - Ship Before Order","OK"))</f>
        <v>OK</v>
      </c>
      <c r="AF14" s="5" t="n">
        <f aca="false">IF(B14="","",MONTH(B14))</f>
        <v>12</v>
      </c>
      <c r="AG14" s="5" t="n">
        <f aca="false">IF(B14="","",YEAR(B14))</f>
        <v>2024</v>
      </c>
      <c r="AH14" s="3" t="s">
        <v>138</v>
      </c>
      <c r="AI14" s="3" t="s">
        <v>130</v>
      </c>
      <c r="AJ14" s="3" t="str">
        <f aca="false">IF(AND(AI14="Completed",AH14="Failed"),"Inconsistent - Completed Order with Failed Payment","OK")</f>
        <v>OK</v>
      </c>
      <c r="AK14" s="3" t="s">
        <v>54</v>
      </c>
      <c r="AL14" s="3" t="str">
        <f aca="false">IF(OR(T14="Negative - Invalid",T14="Above Allowed Range - Invalid",AE14="Invalid - Ship Before Order",AK14&lt;&gt;"Unique",AB14="Mismatch",AC14="Mismatch",AJ14&lt;&gt;"OK"),"Invalid",IF(OR(H14="Yes",O14="Yes",T14="Missing"),"Warning","Clean"))</f>
        <v>Clean</v>
      </c>
    </row>
    <row r="15" customFormat="false" ht="15" hidden="false" customHeight="true" outlineLevel="0" collapsed="false">
      <c r="A15" s="3" t="s">
        <v>139</v>
      </c>
      <c r="B15" s="4" t="n">
        <v>45942</v>
      </c>
      <c r="C15" s="4" t="n">
        <v>45946</v>
      </c>
      <c r="D15" s="3" t="s">
        <v>140</v>
      </c>
      <c r="E15" s="3" t="s">
        <v>141</v>
      </c>
      <c r="F15" s="3" t="s">
        <v>58</v>
      </c>
      <c r="G15" s="3" t="s">
        <v>88</v>
      </c>
      <c r="H15" s="3" t="s">
        <v>43</v>
      </c>
      <c r="I15" s="3" t="s">
        <v>89</v>
      </c>
      <c r="J15" s="3" t="s">
        <v>90</v>
      </c>
      <c r="K15" s="3" t="s">
        <v>46</v>
      </c>
      <c r="L15" s="3" t="s">
        <v>70</v>
      </c>
      <c r="M15" s="3" t="s">
        <v>142</v>
      </c>
      <c r="N15" s="3" t="s">
        <v>49</v>
      </c>
      <c r="O15" s="3" t="s">
        <v>43</v>
      </c>
      <c r="P15" s="5" t="n">
        <v>7</v>
      </c>
      <c r="Q15" s="6" t="n">
        <v>3964.72</v>
      </c>
      <c r="R15" s="3" t="s">
        <v>128</v>
      </c>
      <c r="S15" s="7" t="n">
        <v>0.05</v>
      </c>
      <c r="T15" s="3" t="s">
        <v>51</v>
      </c>
      <c r="U15" s="7" t="n">
        <f aca="false">IF(T15="Valid",S15,0)</f>
        <v>0.05</v>
      </c>
      <c r="V15" s="6" t="n">
        <v>26365.39</v>
      </c>
      <c r="W15" s="6" t="n">
        <v>22306.24</v>
      </c>
      <c r="X15" s="6" t="n">
        <v>4059.15</v>
      </c>
      <c r="Y15" s="6" t="n">
        <f aca="false">P15*Q15*(1-U15)</f>
        <v>26365.388</v>
      </c>
      <c r="Z15" s="6" t="n">
        <f aca="false">Y15-W15</f>
        <v>4059.14799999999</v>
      </c>
      <c r="AA15" s="8" t="n">
        <f aca="false">IF(Y15=0,0,Z15/Y15)</f>
        <v>0.153957453613047</v>
      </c>
      <c r="AB15" s="3" t="str">
        <f aca="false">IF(ABS(V15-Y15)&gt;1,"Mismatch","OK")</f>
        <v>OK</v>
      </c>
      <c r="AC15" s="3" t="str">
        <f aca="false">IF(ABS(X15-Z15)&gt;1,"Mismatch","OK")</f>
        <v>OK</v>
      </c>
      <c r="AD15" s="5" t="n">
        <f aca="false">IF(OR(B15="",C15=""),"",C15-B15)</f>
        <v>4</v>
      </c>
      <c r="AE15" s="3" t="str">
        <f aca="false">IF(AD15="","Unknown",IF(AD15&lt;0,"Invalid - Ship Before Order","OK"))</f>
        <v>OK</v>
      </c>
      <c r="AF15" s="5" t="n">
        <f aca="false">IF(B15="","",MONTH(B15))</f>
        <v>10</v>
      </c>
      <c r="AG15" s="5" t="n">
        <f aca="false">IF(B15="","",YEAR(B15))</f>
        <v>2025</v>
      </c>
      <c r="AH15" s="3" t="s">
        <v>52</v>
      </c>
      <c r="AI15" s="3" t="s">
        <v>53</v>
      </c>
      <c r="AJ15" s="3" t="str">
        <f aca="false">IF(AND(AI15="Completed",AH15="Failed"),"Inconsistent - Completed Order with Failed Payment","OK")</f>
        <v>OK</v>
      </c>
      <c r="AK15" s="3" t="s">
        <v>54</v>
      </c>
      <c r="AL15" s="3" t="str">
        <f aca="false">IF(OR(T15="Negative - Invalid",T15="Above Allowed Range - Invalid",AE15="Invalid - Ship Before Order",AK15&lt;&gt;"Unique",AB15="Mismatch",AC15="Mismatch",AJ15&lt;&gt;"OK"),"Invalid",IF(OR(H15="Yes",O15="Yes",T15="Missing"),"Warning","Clean"))</f>
        <v>Clean</v>
      </c>
    </row>
    <row r="16" customFormat="false" ht="15" hidden="false" customHeight="true" outlineLevel="0" collapsed="false">
      <c r="A16" s="3" t="s">
        <v>143</v>
      </c>
      <c r="B16" s="4" t="n">
        <v>45653</v>
      </c>
      <c r="C16" s="4" t="n">
        <v>45654</v>
      </c>
      <c r="D16" s="3" t="s">
        <v>144</v>
      </c>
      <c r="E16" s="3" t="s">
        <v>145</v>
      </c>
      <c r="F16" s="3" t="s">
        <v>41</v>
      </c>
      <c r="G16" s="3" t="s">
        <v>88</v>
      </c>
      <c r="H16" s="3" t="s">
        <v>43</v>
      </c>
      <c r="I16" s="3" t="s">
        <v>44</v>
      </c>
      <c r="J16" s="3" t="s">
        <v>136</v>
      </c>
      <c r="K16" s="3" t="s">
        <v>99</v>
      </c>
      <c r="L16" s="3" t="s">
        <v>105</v>
      </c>
      <c r="M16" s="3" t="s">
        <v>146</v>
      </c>
      <c r="N16" s="3" t="s">
        <v>83</v>
      </c>
      <c r="O16" s="3" t="s">
        <v>43</v>
      </c>
      <c r="P16" s="5" t="n">
        <v>2</v>
      </c>
      <c r="Q16" s="6" t="n">
        <v>2737.83</v>
      </c>
      <c r="R16" s="3" t="s">
        <v>84</v>
      </c>
      <c r="S16" s="7" t="n">
        <v>0.25</v>
      </c>
      <c r="T16" s="3" t="s">
        <v>51</v>
      </c>
      <c r="U16" s="7" t="n">
        <f aca="false">IF(T16="Valid",S16,0)</f>
        <v>0.25</v>
      </c>
      <c r="V16" s="6" t="n">
        <v>4106.74</v>
      </c>
      <c r="W16" s="6" t="n">
        <v>2666.3</v>
      </c>
      <c r="X16" s="6" t="n">
        <v>1440.44</v>
      </c>
      <c r="Y16" s="6" t="n">
        <f aca="false">P16*Q16*(1-U16)</f>
        <v>4106.745</v>
      </c>
      <c r="Z16" s="6" t="n">
        <f aca="false">Y16-W16</f>
        <v>1440.445</v>
      </c>
      <c r="AA16" s="8" t="n">
        <f aca="false">IF(Y16=0,0,Z16/Y16)</f>
        <v>0.350751020577124</v>
      </c>
      <c r="AB16" s="3" t="str">
        <f aca="false">IF(ABS(V16-Y16)&gt;1,"Mismatch","OK")</f>
        <v>OK</v>
      </c>
      <c r="AC16" s="3" t="str">
        <f aca="false">IF(ABS(X16-Z16)&gt;1,"Mismatch","OK")</f>
        <v>OK</v>
      </c>
      <c r="AD16" s="5" t="n">
        <f aca="false">IF(OR(B16="",C16=""),"",C16-B16)</f>
        <v>1</v>
      </c>
      <c r="AE16" s="3" t="str">
        <f aca="false">IF(AD16="","Unknown",IF(AD16&lt;0,"Invalid - Ship Before Order","OK"))</f>
        <v>OK</v>
      </c>
      <c r="AF16" s="5" t="n">
        <f aca="false">IF(B16="","",MONTH(B16))</f>
        <v>12</v>
      </c>
      <c r="AG16" s="5" t="n">
        <f aca="false">IF(B16="","",YEAR(B16))</f>
        <v>2024</v>
      </c>
      <c r="AH16" s="3" t="s">
        <v>52</v>
      </c>
      <c r="AI16" s="3" t="s">
        <v>53</v>
      </c>
      <c r="AJ16" s="3" t="str">
        <f aca="false">IF(AND(AI16="Completed",AH16="Failed"),"Inconsistent - Completed Order with Failed Payment","OK")</f>
        <v>OK</v>
      </c>
      <c r="AK16" s="3" t="s">
        <v>54</v>
      </c>
      <c r="AL16" s="3" t="str">
        <f aca="false">IF(OR(T16="Negative - Invalid",T16="Above Allowed Range - Invalid",AE16="Invalid - Ship Before Order",AK16&lt;&gt;"Unique",AB16="Mismatch",AC16="Mismatch",AJ16&lt;&gt;"OK"),"Invalid",IF(OR(H16="Yes",O16="Yes",T16="Missing"),"Warning","Clean"))</f>
        <v>Clean</v>
      </c>
    </row>
    <row r="17" customFormat="false" ht="15" hidden="false" customHeight="true" outlineLevel="0" collapsed="false">
      <c r="A17" s="3" t="s">
        <v>147</v>
      </c>
      <c r="B17" s="4" t="n">
        <v>45482</v>
      </c>
      <c r="C17" s="4" t="n">
        <v>45482</v>
      </c>
      <c r="D17" s="3" t="s">
        <v>148</v>
      </c>
      <c r="E17" s="3" t="s">
        <v>40</v>
      </c>
      <c r="F17" s="3" t="s">
        <v>58</v>
      </c>
      <c r="G17" s="3" t="s">
        <v>42</v>
      </c>
      <c r="H17" s="3" t="s">
        <v>43</v>
      </c>
      <c r="I17" s="3" t="s">
        <v>149</v>
      </c>
      <c r="J17" s="3" t="s">
        <v>150</v>
      </c>
      <c r="K17" s="3" t="s">
        <v>46</v>
      </c>
      <c r="L17" s="3" t="s">
        <v>151</v>
      </c>
      <c r="M17" s="3" t="s">
        <v>152</v>
      </c>
      <c r="N17" s="3" t="s">
        <v>49</v>
      </c>
      <c r="O17" s="3" t="s">
        <v>43</v>
      </c>
      <c r="P17" s="5" t="n">
        <v>6</v>
      </c>
      <c r="Q17" s="6" t="n">
        <v>3965.76</v>
      </c>
      <c r="R17" s="3" t="s">
        <v>66</v>
      </c>
      <c r="S17" s="7" t="n">
        <v>0</v>
      </c>
      <c r="T17" s="3" t="s">
        <v>51</v>
      </c>
      <c r="U17" s="7" t="n">
        <f aca="false">IF(T17="Valid",S17,0)</f>
        <v>0</v>
      </c>
      <c r="V17" s="6" t="n">
        <v>23794.56</v>
      </c>
      <c r="W17" s="6" t="n">
        <v>15698.47</v>
      </c>
      <c r="X17" s="6" t="n">
        <v>8096.09</v>
      </c>
      <c r="Y17" s="6" t="n">
        <f aca="false">P17*Q17*(1-U17)</f>
        <v>23794.56</v>
      </c>
      <c r="Z17" s="6" t="n">
        <f aca="false">Y17-W17</f>
        <v>8096.09</v>
      </c>
      <c r="AA17" s="8" t="n">
        <f aca="false">IF(Y17=0,0,Z17/Y17)</f>
        <v>0.340249620081229</v>
      </c>
      <c r="AB17" s="3" t="str">
        <f aca="false">IF(ABS(V17-Y17)&gt;1,"Mismatch","OK")</f>
        <v>OK</v>
      </c>
      <c r="AC17" s="3" t="str">
        <f aca="false">IF(ABS(X17-Z17)&gt;1,"Mismatch","OK")</f>
        <v>OK</v>
      </c>
      <c r="AD17" s="5" t="n">
        <f aca="false">IF(OR(B17="",C17=""),"",C17-B17)</f>
        <v>0</v>
      </c>
      <c r="AE17" s="3" t="str">
        <f aca="false">IF(AD17="","Unknown",IF(AD17&lt;0,"Invalid - Ship Before Order","OK"))</f>
        <v>OK</v>
      </c>
      <c r="AF17" s="5" t="n">
        <f aca="false">IF(B17="","",MONTH(B17))</f>
        <v>7</v>
      </c>
      <c r="AG17" s="5" t="n">
        <f aca="false">IF(B17="","",YEAR(B17))</f>
        <v>2024</v>
      </c>
      <c r="AH17" s="3" t="s">
        <v>52</v>
      </c>
      <c r="AI17" s="3" t="s">
        <v>53</v>
      </c>
      <c r="AJ17" s="3" t="str">
        <f aca="false">IF(AND(AI17="Completed",AH17="Failed"),"Inconsistent - Completed Order with Failed Payment","OK")</f>
        <v>OK</v>
      </c>
      <c r="AK17" s="3" t="s">
        <v>54</v>
      </c>
      <c r="AL17" s="3" t="str">
        <f aca="false">IF(OR(T17="Negative - Invalid",T17="Above Allowed Range - Invalid",AE17="Invalid - Ship Before Order",AK17&lt;&gt;"Unique",AB17="Mismatch",AC17="Mismatch",AJ17&lt;&gt;"OK"),"Invalid",IF(OR(H17="Yes",O17="Yes",T17="Missing"),"Warning","Clean"))</f>
        <v>Clean</v>
      </c>
    </row>
    <row r="18" customFormat="false" ht="15" hidden="false" customHeight="true" outlineLevel="0" collapsed="false">
      <c r="A18" s="3" t="s">
        <v>153</v>
      </c>
      <c r="B18" s="4" t="n">
        <v>45420</v>
      </c>
      <c r="C18" s="4" t="n">
        <v>45427</v>
      </c>
      <c r="D18" s="3" t="s">
        <v>154</v>
      </c>
      <c r="E18" s="3" t="s">
        <v>155</v>
      </c>
      <c r="F18" s="3" t="s">
        <v>41</v>
      </c>
      <c r="G18" s="3" t="s">
        <v>78</v>
      </c>
      <c r="H18" s="3" t="s">
        <v>43</v>
      </c>
      <c r="I18" s="3" t="s">
        <v>79</v>
      </c>
      <c r="J18" s="3" t="s">
        <v>80</v>
      </c>
      <c r="K18" s="3" t="s">
        <v>46</v>
      </c>
      <c r="L18" s="3" t="s">
        <v>70</v>
      </c>
      <c r="M18" s="3" t="s">
        <v>156</v>
      </c>
      <c r="N18" s="3" t="s">
        <v>72</v>
      </c>
      <c r="O18" s="3" t="s">
        <v>43</v>
      </c>
      <c r="P18" s="5" t="n">
        <v>4</v>
      </c>
      <c r="Q18" s="6" t="n">
        <v>3323.51</v>
      </c>
      <c r="R18" s="3" t="s">
        <v>84</v>
      </c>
      <c r="S18" s="7" t="n">
        <v>0.25</v>
      </c>
      <c r="T18" s="3" t="s">
        <v>51</v>
      </c>
      <c r="U18" s="7" t="n">
        <f aca="false">IF(T18="Valid",S18,0)</f>
        <v>0.25</v>
      </c>
      <c r="V18" s="6" t="n">
        <v>9970.53</v>
      </c>
      <c r="W18" s="6" t="n">
        <v>5668.17</v>
      </c>
      <c r="X18" s="6" t="n">
        <v>4302.36</v>
      </c>
      <c r="Y18" s="6" t="n">
        <f aca="false">P18*Q18*(1-U18)</f>
        <v>9970.53</v>
      </c>
      <c r="Z18" s="6" t="n">
        <f aca="false">Y18-W18</f>
        <v>4302.36</v>
      </c>
      <c r="AA18" s="8" t="n">
        <f aca="false">IF(Y18=0,0,Z18/Y18)</f>
        <v>0.431507653053549</v>
      </c>
      <c r="AB18" s="3" t="str">
        <f aca="false">IF(ABS(V18-Y18)&gt;1,"Mismatch","OK")</f>
        <v>OK</v>
      </c>
      <c r="AC18" s="3" t="str">
        <f aca="false">IF(ABS(X18-Z18)&gt;1,"Mismatch","OK")</f>
        <v>OK</v>
      </c>
      <c r="AD18" s="5" t="n">
        <f aca="false">IF(OR(B18="",C18=""),"",C18-B18)</f>
        <v>7</v>
      </c>
      <c r="AE18" s="3" t="str">
        <f aca="false">IF(AD18="","Unknown",IF(AD18&lt;0,"Invalid - Ship Before Order","OK"))</f>
        <v>OK</v>
      </c>
      <c r="AF18" s="5" t="n">
        <f aca="false">IF(B18="","",MONTH(B18))</f>
        <v>5</v>
      </c>
      <c r="AG18" s="5" t="n">
        <f aca="false">IF(B18="","",YEAR(B18))</f>
        <v>2024</v>
      </c>
      <c r="AH18" s="3" t="s">
        <v>52</v>
      </c>
      <c r="AI18" s="3" t="s">
        <v>53</v>
      </c>
      <c r="AJ18" s="3" t="str">
        <f aca="false">IF(AND(AI18="Completed",AH18="Failed"),"Inconsistent - Completed Order with Failed Payment","OK")</f>
        <v>OK</v>
      </c>
      <c r="AK18" s="3" t="s">
        <v>54</v>
      </c>
      <c r="AL18" s="3" t="str">
        <f aca="false">IF(OR(T18="Negative - Invalid",T18="Above Allowed Range - Invalid",AE18="Invalid - Ship Before Order",AK18&lt;&gt;"Unique",AB18="Mismatch",AC18="Mismatch",AJ18&lt;&gt;"OK"),"Invalid",IF(OR(H18="Yes",O18="Yes",T18="Missing"),"Warning","Clean"))</f>
        <v>Clean</v>
      </c>
    </row>
    <row r="19" customFormat="false" ht="15" hidden="false" customHeight="true" outlineLevel="0" collapsed="false">
      <c r="A19" s="3" t="s">
        <v>157</v>
      </c>
      <c r="B19" s="4" t="n">
        <v>45298</v>
      </c>
      <c r="C19" s="4" t="n">
        <v>45299</v>
      </c>
      <c r="D19" s="3" t="s">
        <v>158</v>
      </c>
      <c r="E19" s="3" t="s">
        <v>159</v>
      </c>
      <c r="F19" s="3" t="s">
        <v>58</v>
      </c>
      <c r="G19" s="3" t="s">
        <v>42</v>
      </c>
      <c r="H19" s="3" t="s">
        <v>43</v>
      </c>
      <c r="I19" s="3" t="s">
        <v>44</v>
      </c>
      <c r="J19" s="3" t="s">
        <v>45</v>
      </c>
      <c r="K19" s="3" t="s">
        <v>62</v>
      </c>
      <c r="L19" s="3" t="s">
        <v>81</v>
      </c>
      <c r="M19" s="3" t="s">
        <v>160</v>
      </c>
      <c r="N19" s="3" t="s">
        <v>65</v>
      </c>
      <c r="O19" s="3" t="s">
        <v>43</v>
      </c>
      <c r="P19" s="5" t="n">
        <v>5</v>
      </c>
      <c r="Q19" s="6" t="n">
        <v>1526.78</v>
      </c>
      <c r="R19" s="3" t="s">
        <v>66</v>
      </c>
      <c r="S19" s="7" t="n">
        <v>0</v>
      </c>
      <c r="T19" s="3" t="s">
        <v>51</v>
      </c>
      <c r="U19" s="7" t="n">
        <f aca="false">IF(T19="Valid",S19,0)</f>
        <v>0</v>
      </c>
      <c r="V19" s="6" t="n">
        <v>7633.9</v>
      </c>
      <c r="W19" s="6" t="n">
        <v>4706.91</v>
      </c>
      <c r="X19" s="6" t="n">
        <v>2926.99</v>
      </c>
      <c r="Y19" s="6" t="n">
        <f aca="false">P19*Q19*(1-U19)</f>
        <v>7633.9</v>
      </c>
      <c r="Z19" s="6" t="n">
        <f aca="false">Y19-W19</f>
        <v>2926.99</v>
      </c>
      <c r="AA19" s="8" t="n">
        <f aca="false">IF(Y19=0,0,Z19/Y19)</f>
        <v>0.383420008121668</v>
      </c>
      <c r="AB19" s="3" t="str">
        <f aca="false">IF(ABS(V19-Y19)&gt;1,"Mismatch","OK")</f>
        <v>OK</v>
      </c>
      <c r="AC19" s="3" t="str">
        <f aca="false">IF(ABS(X19-Z19)&gt;1,"Mismatch","OK")</f>
        <v>OK</v>
      </c>
      <c r="AD19" s="5" t="n">
        <f aca="false">IF(OR(B19="",C19=""),"",C19-B19)</f>
        <v>1</v>
      </c>
      <c r="AE19" s="3" t="str">
        <f aca="false">IF(AD19="","Unknown",IF(AD19&lt;0,"Invalid - Ship Before Order","OK"))</f>
        <v>OK</v>
      </c>
      <c r="AF19" s="5" t="n">
        <f aca="false">IF(B19="","",MONTH(B19))</f>
        <v>1</v>
      </c>
      <c r="AG19" s="5" t="n">
        <f aca="false">IF(B19="","",YEAR(B19))</f>
        <v>2024</v>
      </c>
      <c r="AH19" s="3" t="s">
        <v>52</v>
      </c>
      <c r="AI19" s="3" t="s">
        <v>53</v>
      </c>
      <c r="AJ19" s="3" t="str">
        <f aca="false">IF(AND(AI19="Completed",AH19="Failed"),"Inconsistent - Completed Order with Failed Payment","OK")</f>
        <v>OK</v>
      </c>
      <c r="AK19" s="3" t="s">
        <v>54</v>
      </c>
      <c r="AL19" s="3" t="str">
        <f aca="false">IF(OR(T19="Negative - Invalid",T19="Above Allowed Range - Invalid",AE19="Invalid - Ship Before Order",AK19&lt;&gt;"Unique",AB19="Mismatch",AC19="Mismatch",AJ19&lt;&gt;"OK"),"Invalid",IF(OR(H19="Yes",O19="Yes",T19="Missing"),"Warning","Clean"))</f>
        <v>Clean</v>
      </c>
    </row>
    <row r="20" customFormat="false" ht="15" hidden="false" customHeight="true" outlineLevel="0" collapsed="false">
      <c r="A20" s="3" t="s">
        <v>161</v>
      </c>
      <c r="B20" s="4" t="n">
        <v>45853</v>
      </c>
      <c r="C20" s="4" t="n">
        <v>45855</v>
      </c>
      <c r="D20" s="3" t="s">
        <v>162</v>
      </c>
      <c r="E20" s="3" t="s">
        <v>155</v>
      </c>
      <c r="F20" s="3" t="s">
        <v>121</v>
      </c>
      <c r="G20" s="3" t="s">
        <v>42</v>
      </c>
      <c r="H20" s="3" t="s">
        <v>43</v>
      </c>
      <c r="I20" s="3" t="s">
        <v>163</v>
      </c>
      <c r="J20" s="3" t="s">
        <v>164</v>
      </c>
      <c r="K20" s="3" t="s">
        <v>99</v>
      </c>
      <c r="L20" s="3" t="s">
        <v>105</v>
      </c>
      <c r="M20" s="3" t="s">
        <v>165</v>
      </c>
      <c r="N20" s="3" t="s">
        <v>72</v>
      </c>
      <c r="O20" s="3" t="s">
        <v>43</v>
      </c>
      <c r="P20" s="5" t="n">
        <v>2</v>
      </c>
      <c r="Q20" s="6" t="n">
        <v>1997.99</v>
      </c>
      <c r="R20" s="3" t="s">
        <v>66</v>
      </c>
      <c r="S20" s="7" t="n">
        <v>0</v>
      </c>
      <c r="T20" s="3" t="s">
        <v>51</v>
      </c>
      <c r="U20" s="7" t="n">
        <f aca="false">IF(T20="Valid",S20,0)</f>
        <v>0</v>
      </c>
      <c r="V20" s="6" t="n">
        <v>3995.98</v>
      </c>
      <c r="W20" s="6" t="n">
        <v>2633.2</v>
      </c>
      <c r="X20" s="6" t="n">
        <v>1362.78</v>
      </c>
      <c r="Y20" s="6" t="n">
        <f aca="false">P20*Q20*(1-U20)</f>
        <v>3995.98</v>
      </c>
      <c r="Z20" s="6" t="n">
        <f aca="false">Y20-W20</f>
        <v>1362.78</v>
      </c>
      <c r="AA20" s="8" t="n">
        <f aca="false">IF(Y20=0,0,Z20/Y20)</f>
        <v>0.341037742931646</v>
      </c>
      <c r="AB20" s="3" t="str">
        <f aca="false">IF(ABS(V20-Y20)&gt;1,"Mismatch","OK")</f>
        <v>OK</v>
      </c>
      <c r="AC20" s="3" t="str">
        <f aca="false">IF(ABS(X20-Z20)&gt;1,"Mismatch","OK")</f>
        <v>OK</v>
      </c>
      <c r="AD20" s="5" t="n">
        <f aca="false">IF(OR(B20="",C20=""),"",C20-B20)</f>
        <v>2</v>
      </c>
      <c r="AE20" s="3" t="str">
        <f aca="false">IF(AD20="","Unknown",IF(AD20&lt;0,"Invalid - Ship Before Order","OK"))</f>
        <v>OK</v>
      </c>
      <c r="AF20" s="5" t="n">
        <f aca="false">IF(B20="","",MONTH(B20))</f>
        <v>7</v>
      </c>
      <c r="AG20" s="5" t="n">
        <f aca="false">IF(B20="","",YEAR(B20))</f>
        <v>2025</v>
      </c>
      <c r="AH20" s="3" t="s">
        <v>129</v>
      </c>
      <c r="AI20" s="3" t="s">
        <v>93</v>
      </c>
      <c r="AJ20" s="3" t="str">
        <f aca="false">IF(AND(AI20="Completed",AH20="Failed"),"Inconsistent - Completed Order with Failed Payment","OK")</f>
        <v>OK</v>
      </c>
      <c r="AK20" s="3" t="s">
        <v>54</v>
      </c>
      <c r="AL20" s="3" t="str">
        <f aca="false">IF(OR(T20="Negative - Invalid",T20="Above Allowed Range - Invalid",AE20="Invalid - Ship Before Order",AK20&lt;&gt;"Unique",AB20="Mismatch",AC20="Mismatch",AJ20&lt;&gt;"OK"),"Invalid",IF(OR(H20="Yes",O20="Yes",T20="Missing"),"Warning","Clean"))</f>
        <v>Clean</v>
      </c>
    </row>
    <row r="21" customFormat="false" ht="15" hidden="false" customHeight="true" outlineLevel="0" collapsed="false">
      <c r="A21" s="3" t="s">
        <v>166</v>
      </c>
      <c r="B21" s="4" t="n">
        <v>45500</v>
      </c>
      <c r="C21" s="4" t="n">
        <v>45504</v>
      </c>
      <c r="D21" s="3" t="s">
        <v>167</v>
      </c>
      <c r="E21" s="3" t="s">
        <v>168</v>
      </c>
      <c r="F21" s="3" t="s">
        <v>121</v>
      </c>
      <c r="G21" s="3" t="s">
        <v>88</v>
      </c>
      <c r="H21" s="3" t="s">
        <v>43</v>
      </c>
      <c r="I21" s="3" t="s">
        <v>97</v>
      </c>
      <c r="J21" s="3" t="s">
        <v>98</v>
      </c>
      <c r="K21" s="3" t="s">
        <v>46</v>
      </c>
      <c r="L21" s="3" t="s">
        <v>151</v>
      </c>
      <c r="M21" s="3" t="s">
        <v>169</v>
      </c>
      <c r="N21" s="3" t="s">
        <v>49</v>
      </c>
      <c r="O21" s="3" t="s">
        <v>43</v>
      </c>
      <c r="P21" s="5" t="n">
        <v>3</v>
      </c>
      <c r="Q21" s="6" t="n">
        <v>3887.94</v>
      </c>
      <c r="R21" s="3" t="s">
        <v>170</v>
      </c>
      <c r="S21" s="7" t="n">
        <v>-0.19</v>
      </c>
      <c r="T21" s="3" t="s">
        <v>171</v>
      </c>
      <c r="U21" s="7" t="n">
        <f aca="false">IF(T21="Valid",S21,0)</f>
        <v>0</v>
      </c>
      <c r="V21" s="6" t="n">
        <v>9331.06</v>
      </c>
      <c r="W21" s="6" t="n">
        <v>7529.31</v>
      </c>
      <c r="X21" s="6" t="n">
        <v>1801.75</v>
      </c>
      <c r="Y21" s="6" t="n">
        <f aca="false">P21*Q21*(1-U21)</f>
        <v>11663.82</v>
      </c>
      <c r="Z21" s="6" t="n">
        <f aca="false">Y21-W21</f>
        <v>4134.51</v>
      </c>
      <c r="AA21" s="8" t="n">
        <f aca="false">IF(Y21=0,0,Z21/Y21)</f>
        <v>0.354473062855908</v>
      </c>
      <c r="AB21" s="3" t="str">
        <f aca="false">IF(ABS(V21-Y21)&gt;1,"Mismatch","OK")</f>
        <v>Mismatch</v>
      </c>
      <c r="AC21" s="3" t="str">
        <f aca="false">IF(ABS(X21-Z21)&gt;1,"Mismatch","OK")</f>
        <v>Mismatch</v>
      </c>
      <c r="AD21" s="5" t="n">
        <f aca="false">IF(OR(B21="",C21=""),"",C21-B21)</f>
        <v>4</v>
      </c>
      <c r="AE21" s="3" t="str">
        <f aca="false">IF(AD21="","Unknown",IF(AD21&lt;0,"Invalid - Ship Before Order","OK"))</f>
        <v>OK</v>
      </c>
      <c r="AF21" s="5" t="n">
        <f aca="false">IF(B21="","",MONTH(B21))</f>
        <v>7</v>
      </c>
      <c r="AG21" s="5" t="n">
        <f aca="false">IF(B21="","",YEAR(B21))</f>
        <v>2024</v>
      </c>
      <c r="AH21" s="3" t="s">
        <v>52</v>
      </c>
      <c r="AI21" s="3" t="s">
        <v>53</v>
      </c>
      <c r="AJ21" s="3" t="str">
        <f aca="false">IF(AND(AI21="Completed",AH21="Failed"),"Inconsistent - Completed Order with Failed Payment","OK")</f>
        <v>OK</v>
      </c>
      <c r="AK21" s="3" t="s">
        <v>54</v>
      </c>
      <c r="AL21" s="3" t="str">
        <f aca="false">IF(OR(T21="Negative - Invalid",T21="Above Allowed Range - Invalid",AE21="Invalid - Ship Before Order",AK21&lt;&gt;"Unique",AB21="Mismatch",AC21="Mismatch",AJ21&lt;&gt;"OK"),"Invalid",IF(OR(H21="Yes",O21="Yes",T21="Missing"),"Warning","Clean"))</f>
        <v>Invalid</v>
      </c>
    </row>
    <row r="22" customFormat="false" ht="15" hidden="false" customHeight="true" outlineLevel="0" collapsed="false">
      <c r="A22" s="3" t="s">
        <v>172</v>
      </c>
      <c r="B22" s="4" t="n">
        <v>45678</v>
      </c>
      <c r="C22" s="4" t="n">
        <v>45680</v>
      </c>
      <c r="D22" s="3" t="s">
        <v>173</v>
      </c>
      <c r="E22" s="3" t="s">
        <v>115</v>
      </c>
      <c r="F22" s="3" t="s">
        <v>121</v>
      </c>
      <c r="G22" s="3" t="s">
        <v>59</v>
      </c>
      <c r="H22" s="3" t="s">
        <v>43</v>
      </c>
      <c r="I22" s="3" t="s">
        <v>174</v>
      </c>
      <c r="J22" s="3" t="s">
        <v>175</v>
      </c>
      <c r="K22" s="3" t="s">
        <v>99</v>
      </c>
      <c r="L22" s="3" t="s">
        <v>105</v>
      </c>
      <c r="M22" s="3" t="s">
        <v>176</v>
      </c>
      <c r="N22" s="3" t="s">
        <v>72</v>
      </c>
      <c r="O22" s="3" t="s">
        <v>43</v>
      </c>
      <c r="P22" s="5" t="n">
        <v>5</v>
      </c>
      <c r="Q22" s="6" t="n">
        <v>4373.06</v>
      </c>
      <c r="R22" s="3" t="s">
        <v>84</v>
      </c>
      <c r="S22" s="7" t="n">
        <v>0.25</v>
      </c>
      <c r="T22" s="3" t="s">
        <v>51</v>
      </c>
      <c r="U22" s="7" t="n">
        <f aca="false">IF(T22="Valid",S22,0)</f>
        <v>0.25</v>
      </c>
      <c r="V22" s="6" t="n">
        <v>16398.98</v>
      </c>
      <c r="W22" s="6" t="n">
        <v>9556.52</v>
      </c>
      <c r="X22" s="6" t="n">
        <v>6842.46</v>
      </c>
      <c r="Y22" s="6" t="n">
        <f aca="false">P22*Q22*(1-U22)</f>
        <v>16398.975</v>
      </c>
      <c r="Z22" s="6" t="n">
        <f aca="false">Y22-W22</f>
        <v>6842.455</v>
      </c>
      <c r="AA22" s="8" t="n">
        <f aca="false">IF(Y22=0,0,Z22/Y22)</f>
        <v>0.417248943912653</v>
      </c>
      <c r="AB22" s="3" t="str">
        <f aca="false">IF(ABS(V22-Y22)&gt;1,"Mismatch","OK")</f>
        <v>OK</v>
      </c>
      <c r="AC22" s="3" t="str">
        <f aca="false">IF(ABS(X22-Z22)&gt;1,"Mismatch","OK")</f>
        <v>OK</v>
      </c>
      <c r="AD22" s="5" t="n">
        <f aca="false">IF(OR(B22="",C22=""),"",C22-B22)</f>
        <v>2</v>
      </c>
      <c r="AE22" s="3" t="str">
        <f aca="false">IF(AD22="","Unknown",IF(AD22&lt;0,"Invalid - Ship Before Order","OK"))</f>
        <v>OK</v>
      </c>
      <c r="AF22" s="5" t="n">
        <f aca="false">IF(B22="","",MONTH(B22))</f>
        <v>1</v>
      </c>
      <c r="AG22" s="5" t="n">
        <f aca="false">IF(B22="","",YEAR(B22))</f>
        <v>2025</v>
      </c>
      <c r="AH22" s="3" t="s">
        <v>52</v>
      </c>
      <c r="AI22" s="3" t="s">
        <v>53</v>
      </c>
      <c r="AJ22" s="3" t="str">
        <f aca="false">IF(AND(AI22="Completed",AH22="Failed"),"Inconsistent - Completed Order with Failed Payment","OK")</f>
        <v>OK</v>
      </c>
      <c r="AK22" s="3" t="s">
        <v>54</v>
      </c>
      <c r="AL22" s="3" t="str">
        <f aca="false">IF(OR(T22="Negative - Invalid",T22="Above Allowed Range - Invalid",AE22="Invalid - Ship Before Order",AK22&lt;&gt;"Unique",AB22="Mismatch",AC22="Mismatch",AJ22&lt;&gt;"OK"),"Invalid",IF(OR(H22="Yes",O22="Yes",T22="Missing"),"Warning","Clean"))</f>
        <v>Clean</v>
      </c>
    </row>
    <row r="23" customFormat="false" ht="15" hidden="false" customHeight="true" outlineLevel="0" collapsed="false">
      <c r="A23" s="3" t="s">
        <v>177</v>
      </c>
      <c r="B23" s="4" t="n">
        <v>45681</v>
      </c>
      <c r="C23" s="4" t="n">
        <v>45687</v>
      </c>
      <c r="D23" s="3" t="s">
        <v>178</v>
      </c>
      <c r="E23" s="3" t="s">
        <v>159</v>
      </c>
      <c r="F23" s="3" t="s">
        <v>41</v>
      </c>
      <c r="G23" s="3" t="s">
        <v>88</v>
      </c>
      <c r="H23" s="3" t="s">
        <v>43</v>
      </c>
      <c r="I23" s="3" t="s">
        <v>97</v>
      </c>
      <c r="J23" s="3" t="s">
        <v>98</v>
      </c>
      <c r="K23" s="3" t="s">
        <v>62</v>
      </c>
      <c r="L23" s="3" t="s">
        <v>81</v>
      </c>
      <c r="M23" s="3" t="s">
        <v>179</v>
      </c>
      <c r="N23" s="3" t="s">
        <v>49</v>
      </c>
      <c r="O23" s="3" t="s">
        <v>43</v>
      </c>
      <c r="P23" s="5" t="n">
        <v>4</v>
      </c>
      <c r="Q23" s="6" t="n">
        <v>697.69</v>
      </c>
      <c r="R23" s="3" t="s">
        <v>180</v>
      </c>
      <c r="S23" s="7" t="n">
        <v>-0.23</v>
      </c>
      <c r="T23" s="3" t="s">
        <v>171</v>
      </c>
      <c r="U23" s="7" t="n">
        <f aca="false">IF(T23="Valid",S23,0)</f>
        <v>0</v>
      </c>
      <c r="V23" s="6" t="n">
        <v>2790.76</v>
      </c>
      <c r="W23" s="6" t="n">
        <v>2037.71</v>
      </c>
      <c r="X23" s="6" t="n">
        <v>753.05</v>
      </c>
      <c r="Y23" s="6" t="n">
        <f aca="false">P23*Q23*(1-U23)</f>
        <v>2790.76</v>
      </c>
      <c r="Z23" s="6" t="n">
        <f aca="false">Y23-W23</f>
        <v>753.05</v>
      </c>
      <c r="AA23" s="8" t="n">
        <f aca="false">IF(Y23=0,0,Z23/Y23)</f>
        <v>0.26983689030945</v>
      </c>
      <c r="AB23" s="3" t="str">
        <f aca="false">IF(ABS(V23-Y23)&gt;1,"Mismatch","OK")</f>
        <v>OK</v>
      </c>
      <c r="AC23" s="3" t="str">
        <f aca="false">IF(ABS(X23-Z23)&gt;1,"Mismatch","OK")</f>
        <v>OK</v>
      </c>
      <c r="AD23" s="5" t="n">
        <f aca="false">IF(OR(B23="",C23=""),"",C23-B23)</f>
        <v>6</v>
      </c>
      <c r="AE23" s="3" t="str">
        <f aca="false">IF(AD23="","Unknown",IF(AD23&lt;0,"Invalid - Ship Before Order","OK"))</f>
        <v>OK</v>
      </c>
      <c r="AF23" s="5" t="n">
        <f aca="false">IF(B23="","",MONTH(B23))</f>
        <v>1</v>
      </c>
      <c r="AG23" s="5" t="n">
        <f aca="false">IF(B23="","",YEAR(B23))</f>
        <v>2025</v>
      </c>
      <c r="AH23" s="3" t="s">
        <v>52</v>
      </c>
      <c r="AI23" s="3" t="s">
        <v>53</v>
      </c>
      <c r="AJ23" s="3" t="str">
        <f aca="false">IF(AND(AI23="Completed",AH23="Failed"),"Inconsistent - Completed Order with Failed Payment","OK")</f>
        <v>OK</v>
      </c>
      <c r="AK23" s="3" t="s">
        <v>54</v>
      </c>
      <c r="AL23" s="3" t="str">
        <f aca="false">IF(OR(T23="Negative - Invalid",T23="Above Allowed Range - Invalid",AE23="Invalid - Ship Before Order",AK23&lt;&gt;"Unique",AB23="Mismatch",AC23="Mismatch",AJ23&lt;&gt;"OK"),"Invalid",IF(OR(H23="Yes",O23="Yes",T23="Missing"),"Warning","Clean"))</f>
        <v>Invalid</v>
      </c>
    </row>
    <row r="24" customFormat="false" ht="15" hidden="false" customHeight="true" outlineLevel="0" collapsed="false">
      <c r="A24" s="3" t="s">
        <v>181</v>
      </c>
      <c r="B24" s="4" t="n">
        <v>45676</v>
      </c>
      <c r="C24" s="4" t="n">
        <v>45678</v>
      </c>
      <c r="D24" s="3" t="s">
        <v>182</v>
      </c>
      <c r="E24" s="3" t="s">
        <v>57</v>
      </c>
      <c r="F24" s="3" t="s">
        <v>41</v>
      </c>
      <c r="G24" s="3" t="s">
        <v>78</v>
      </c>
      <c r="H24" s="3" t="s">
        <v>43</v>
      </c>
      <c r="I24" s="3" t="s">
        <v>79</v>
      </c>
      <c r="J24" s="3" t="s">
        <v>80</v>
      </c>
      <c r="K24" s="3" t="s">
        <v>46</v>
      </c>
      <c r="L24" s="3" t="s">
        <v>183</v>
      </c>
      <c r="M24" s="3" t="s">
        <v>184</v>
      </c>
      <c r="N24" s="3" t="s">
        <v>83</v>
      </c>
      <c r="O24" s="3" t="s">
        <v>43</v>
      </c>
      <c r="P24" s="5" t="n">
        <v>8</v>
      </c>
      <c r="Q24" s="6" t="n">
        <v>1219.34</v>
      </c>
      <c r="R24" s="3" t="s">
        <v>107</v>
      </c>
      <c r="S24" s="7" t="n">
        <v>0.15</v>
      </c>
      <c r="T24" s="3" t="s">
        <v>51</v>
      </c>
      <c r="U24" s="7" t="n">
        <f aca="false">IF(T24="Valid",S24,0)</f>
        <v>0.15</v>
      </c>
      <c r="V24" s="6" t="n">
        <v>8291.51</v>
      </c>
      <c r="W24" s="6" t="n">
        <v>6685.03</v>
      </c>
      <c r="X24" s="6" t="n">
        <v>1606.48</v>
      </c>
      <c r="Y24" s="6" t="n">
        <f aca="false">P24*Q24*(1-U24)</f>
        <v>8291.512</v>
      </c>
      <c r="Z24" s="6" t="n">
        <f aca="false">Y24-W24</f>
        <v>1606.482</v>
      </c>
      <c r="AA24" s="8" t="n">
        <f aca="false">IF(Y24=0,0,Z24/Y24)</f>
        <v>0.19375018693816</v>
      </c>
      <c r="AB24" s="3" t="str">
        <f aca="false">IF(ABS(V24-Y24)&gt;1,"Mismatch","OK")</f>
        <v>OK</v>
      </c>
      <c r="AC24" s="3" t="str">
        <f aca="false">IF(ABS(X24-Z24)&gt;1,"Mismatch","OK")</f>
        <v>OK</v>
      </c>
      <c r="AD24" s="5" t="n">
        <f aca="false">IF(OR(B24="",C24=""),"",C24-B24)</f>
        <v>2</v>
      </c>
      <c r="AE24" s="3" t="str">
        <f aca="false">IF(AD24="","Unknown",IF(AD24&lt;0,"Invalid - Ship Before Order","OK"))</f>
        <v>OK</v>
      </c>
      <c r="AF24" s="5" t="n">
        <f aca="false">IF(B24="","",MONTH(B24))</f>
        <v>1</v>
      </c>
      <c r="AG24" s="5" t="n">
        <f aca="false">IF(B24="","",YEAR(B24))</f>
        <v>2025</v>
      </c>
      <c r="AH24" s="3" t="s">
        <v>185</v>
      </c>
      <c r="AI24" s="3" t="s">
        <v>130</v>
      </c>
      <c r="AJ24" s="3" t="str">
        <f aca="false">IF(AND(AI24="Completed",AH24="Failed"),"Inconsistent - Completed Order with Failed Payment","OK")</f>
        <v>OK</v>
      </c>
      <c r="AK24" s="3" t="s">
        <v>54</v>
      </c>
      <c r="AL24" s="3" t="str">
        <f aca="false">IF(OR(T24="Negative - Invalid",T24="Above Allowed Range - Invalid",AE24="Invalid - Ship Before Order",AK24&lt;&gt;"Unique",AB24="Mismatch",AC24="Mismatch",AJ24&lt;&gt;"OK"),"Invalid",IF(OR(H24="Yes",O24="Yes",T24="Missing"),"Warning","Clean"))</f>
        <v>Clean</v>
      </c>
    </row>
    <row r="25" customFormat="false" ht="15" hidden="false" customHeight="true" outlineLevel="0" collapsed="false">
      <c r="A25" s="3" t="s">
        <v>186</v>
      </c>
      <c r="B25" s="4" t="n">
        <v>45898</v>
      </c>
      <c r="C25" s="4" t="n">
        <v>45900</v>
      </c>
      <c r="D25" s="3" t="s">
        <v>187</v>
      </c>
      <c r="E25" s="3" t="s">
        <v>145</v>
      </c>
      <c r="F25" s="3" t="s">
        <v>121</v>
      </c>
      <c r="G25" s="3" t="s">
        <v>59</v>
      </c>
      <c r="H25" s="3" t="s">
        <v>43</v>
      </c>
      <c r="I25" s="3" t="s">
        <v>174</v>
      </c>
      <c r="J25" s="3" t="s">
        <v>175</v>
      </c>
      <c r="K25" s="3" t="s">
        <v>62</v>
      </c>
      <c r="L25" s="3" t="s">
        <v>188</v>
      </c>
      <c r="M25" s="3" t="s">
        <v>189</v>
      </c>
      <c r="N25" s="3" t="s">
        <v>72</v>
      </c>
      <c r="O25" s="3" t="s">
        <v>43</v>
      </c>
      <c r="P25" s="5" t="n">
        <v>4</v>
      </c>
      <c r="Q25" s="6" t="n">
        <v>1958.01</v>
      </c>
      <c r="R25" s="3" t="s">
        <v>50</v>
      </c>
      <c r="S25" s="7" t="n">
        <v>0.2</v>
      </c>
      <c r="T25" s="3" t="s">
        <v>51</v>
      </c>
      <c r="U25" s="7" t="n">
        <f aca="false">IF(T25="Valid",S25,0)</f>
        <v>0.2</v>
      </c>
      <c r="V25" s="6" t="n">
        <v>6265.63</v>
      </c>
      <c r="W25" s="6" t="n">
        <v>4321.86</v>
      </c>
      <c r="X25" s="6" t="n">
        <v>1943.77</v>
      </c>
      <c r="Y25" s="6" t="n">
        <f aca="false">P25*Q25*(1-U25)</f>
        <v>6265.632</v>
      </c>
      <c r="Z25" s="6" t="n">
        <f aca="false">Y25-W25</f>
        <v>1943.772</v>
      </c>
      <c r="AA25" s="8" t="n">
        <f aca="false">IF(Y25=0,0,Z25/Y25)</f>
        <v>0.310227603536244</v>
      </c>
      <c r="AB25" s="3" t="str">
        <f aca="false">IF(ABS(V25-Y25)&gt;1,"Mismatch","OK")</f>
        <v>OK</v>
      </c>
      <c r="AC25" s="3" t="str">
        <f aca="false">IF(ABS(X25-Z25)&gt;1,"Mismatch","OK")</f>
        <v>OK</v>
      </c>
      <c r="AD25" s="5" t="n">
        <f aca="false">IF(OR(B25="",C25=""),"",C25-B25)</f>
        <v>2</v>
      </c>
      <c r="AE25" s="3" t="str">
        <f aca="false">IF(AD25="","Unknown",IF(AD25&lt;0,"Invalid - Ship Before Order","OK"))</f>
        <v>OK</v>
      </c>
      <c r="AF25" s="5" t="n">
        <f aca="false">IF(B25="","",MONTH(B25))</f>
        <v>8</v>
      </c>
      <c r="AG25" s="5" t="n">
        <f aca="false">IF(B25="","",YEAR(B25))</f>
        <v>2025</v>
      </c>
      <c r="AH25" s="3" t="s">
        <v>52</v>
      </c>
      <c r="AI25" s="3" t="s">
        <v>53</v>
      </c>
      <c r="AJ25" s="3" t="str">
        <f aca="false">IF(AND(AI25="Completed",AH25="Failed"),"Inconsistent - Completed Order with Failed Payment","OK")</f>
        <v>OK</v>
      </c>
      <c r="AK25" s="3" t="s">
        <v>54</v>
      </c>
      <c r="AL25" s="3" t="str">
        <f aca="false">IF(OR(T25="Negative - Invalid",T25="Above Allowed Range - Invalid",AE25="Invalid - Ship Before Order",AK25&lt;&gt;"Unique",AB25="Mismatch",AC25="Mismatch",AJ25&lt;&gt;"OK"),"Invalid",IF(OR(H25="Yes",O25="Yes",T25="Missing"),"Warning","Clean"))</f>
        <v>Clean</v>
      </c>
    </row>
    <row r="26" customFormat="false" ht="15" hidden="false" customHeight="true" outlineLevel="0" collapsed="false">
      <c r="A26" s="3" t="s">
        <v>190</v>
      </c>
      <c r="B26" s="4" t="n">
        <v>45355</v>
      </c>
      <c r="C26" s="4" t="n">
        <v>45352</v>
      </c>
      <c r="D26" s="3" t="s">
        <v>191</v>
      </c>
      <c r="E26" s="3" t="s">
        <v>192</v>
      </c>
      <c r="F26" s="3" t="s">
        <v>41</v>
      </c>
      <c r="G26" s="3" t="s">
        <v>42</v>
      </c>
      <c r="H26" s="3" t="s">
        <v>43</v>
      </c>
      <c r="I26" s="3" t="s">
        <v>149</v>
      </c>
      <c r="J26" s="3" t="s">
        <v>150</v>
      </c>
      <c r="K26" s="3" t="s">
        <v>46</v>
      </c>
      <c r="L26" s="3" t="s">
        <v>70</v>
      </c>
      <c r="M26" s="3" t="s">
        <v>193</v>
      </c>
      <c r="N26" s="3" t="s">
        <v>83</v>
      </c>
      <c r="O26" s="3" t="s">
        <v>43</v>
      </c>
      <c r="P26" s="5" t="n">
        <v>4</v>
      </c>
      <c r="Q26" s="6" t="n">
        <v>4492.94</v>
      </c>
      <c r="R26" s="3" t="s">
        <v>84</v>
      </c>
      <c r="S26" s="7" t="n">
        <v>0.25</v>
      </c>
      <c r="T26" s="3" t="s">
        <v>51</v>
      </c>
      <c r="U26" s="7" t="n">
        <f aca="false">IF(T26="Valid",S26,0)</f>
        <v>0.25</v>
      </c>
      <c r="V26" s="6" t="n">
        <v>13478.82</v>
      </c>
      <c r="W26" s="6" t="n">
        <v>10937.35</v>
      </c>
      <c r="X26" s="6" t="n">
        <v>2541.47</v>
      </c>
      <c r="Y26" s="6" t="n">
        <f aca="false">P26*Q26*(1-U26)</f>
        <v>13478.82</v>
      </c>
      <c r="Z26" s="6" t="n">
        <f aca="false">Y26-W26</f>
        <v>2541.47</v>
      </c>
      <c r="AA26" s="8" t="n">
        <f aca="false">IF(Y26=0,0,Z26/Y26)</f>
        <v>0.188552855517026</v>
      </c>
      <c r="AB26" s="3" t="str">
        <f aca="false">IF(ABS(V26-Y26)&gt;1,"Mismatch","OK")</f>
        <v>OK</v>
      </c>
      <c r="AC26" s="3" t="str">
        <f aca="false">IF(ABS(X26-Z26)&gt;1,"Mismatch","OK")</f>
        <v>OK</v>
      </c>
      <c r="AD26" s="5" t="n">
        <f aca="false">IF(OR(B26="",C26=""),"",C26-B26)</f>
        <v>-3</v>
      </c>
      <c r="AE26" s="3" t="str">
        <f aca="false">IF(AD26="","Unknown",IF(AD26&lt;0,"Invalid - Ship Before Order","OK"))</f>
        <v>Invalid - Ship Before Order</v>
      </c>
      <c r="AF26" s="5" t="n">
        <f aca="false">IF(B26="","",MONTH(B26))</f>
        <v>3</v>
      </c>
      <c r="AG26" s="5" t="n">
        <f aca="false">IF(B26="","",YEAR(B26))</f>
        <v>2024</v>
      </c>
      <c r="AH26" s="3" t="s">
        <v>138</v>
      </c>
      <c r="AI26" s="3" t="s">
        <v>93</v>
      </c>
      <c r="AJ26" s="3" t="str">
        <f aca="false">IF(AND(AI26="Completed",AH26="Failed"),"Inconsistent - Completed Order with Failed Payment","OK")</f>
        <v>OK</v>
      </c>
      <c r="AK26" s="3" t="s">
        <v>54</v>
      </c>
      <c r="AL26" s="3" t="str">
        <f aca="false">IF(OR(T26="Negative - Invalid",T26="Above Allowed Range - Invalid",AE26="Invalid - Ship Before Order",AK26&lt;&gt;"Unique",AB26="Mismatch",AC26="Mismatch",AJ26&lt;&gt;"OK"),"Invalid",IF(OR(H26="Yes",O26="Yes",T26="Missing"),"Warning","Clean"))</f>
        <v>Invalid</v>
      </c>
    </row>
    <row r="27" customFormat="false" ht="15" hidden="false" customHeight="true" outlineLevel="0" collapsed="false">
      <c r="A27" s="3" t="s">
        <v>194</v>
      </c>
      <c r="B27" s="4" t="n">
        <v>45576</v>
      </c>
      <c r="C27" s="4" t="n">
        <v>45584</v>
      </c>
      <c r="D27" s="3" t="s">
        <v>195</v>
      </c>
      <c r="E27" s="3" t="s">
        <v>77</v>
      </c>
      <c r="F27" s="3" t="s">
        <v>116</v>
      </c>
      <c r="G27" s="3" t="s">
        <v>59</v>
      </c>
      <c r="H27" s="3" t="s">
        <v>43</v>
      </c>
      <c r="I27" s="3" t="s">
        <v>196</v>
      </c>
      <c r="J27" s="3" t="s">
        <v>197</v>
      </c>
      <c r="K27" s="3" t="s">
        <v>99</v>
      </c>
      <c r="L27" s="3" t="s">
        <v>100</v>
      </c>
      <c r="M27" s="3" t="s">
        <v>198</v>
      </c>
      <c r="N27" s="3" t="s">
        <v>72</v>
      </c>
      <c r="O27" s="3" t="s">
        <v>43</v>
      </c>
      <c r="P27" s="5" t="n">
        <v>2</v>
      </c>
      <c r="Q27" s="6" t="n">
        <v>4315.2</v>
      </c>
      <c r="R27" s="3" t="s">
        <v>107</v>
      </c>
      <c r="S27" s="7" t="n">
        <v>0.15</v>
      </c>
      <c r="T27" s="3" t="s">
        <v>51</v>
      </c>
      <c r="U27" s="7" t="n">
        <f aca="false">IF(T27="Valid",S27,0)</f>
        <v>0.15</v>
      </c>
      <c r="V27" s="6" t="n">
        <v>7335.84</v>
      </c>
      <c r="W27" s="6" t="n">
        <v>4968.41</v>
      </c>
      <c r="X27" s="6" t="n">
        <v>2367.43</v>
      </c>
      <c r="Y27" s="6" t="n">
        <f aca="false">P27*Q27*(1-U27)</f>
        <v>7335.84</v>
      </c>
      <c r="Z27" s="6" t="n">
        <f aca="false">Y27-W27</f>
        <v>2367.43</v>
      </c>
      <c r="AA27" s="8" t="n">
        <f aca="false">IF(Y27=0,0,Z27/Y27)</f>
        <v>0.322721051713233</v>
      </c>
      <c r="AB27" s="3" t="str">
        <f aca="false">IF(ABS(V27-Y27)&gt;1,"Mismatch","OK")</f>
        <v>OK</v>
      </c>
      <c r="AC27" s="3" t="str">
        <f aca="false">IF(ABS(X27-Z27)&gt;1,"Mismatch","OK")</f>
        <v>OK</v>
      </c>
      <c r="AD27" s="5" t="n">
        <f aca="false">IF(OR(B27="",C27=""),"",C27-B27)</f>
        <v>8</v>
      </c>
      <c r="AE27" s="3" t="str">
        <f aca="false">IF(AD27="","Unknown",IF(AD27&lt;0,"Invalid - Ship Before Order","OK"))</f>
        <v>OK</v>
      </c>
      <c r="AF27" s="5" t="n">
        <f aca="false">IF(B27="","",MONTH(B27))</f>
        <v>10</v>
      </c>
      <c r="AG27" s="5" t="n">
        <f aca="false">IF(B27="","",YEAR(B27))</f>
        <v>2024</v>
      </c>
      <c r="AH27" s="3" t="s">
        <v>52</v>
      </c>
      <c r="AI27" s="3" t="s">
        <v>53</v>
      </c>
      <c r="AJ27" s="3" t="str">
        <f aca="false">IF(AND(AI27="Completed",AH27="Failed"),"Inconsistent - Completed Order with Failed Payment","OK")</f>
        <v>OK</v>
      </c>
      <c r="AK27" s="3" t="s">
        <v>54</v>
      </c>
      <c r="AL27" s="3" t="str">
        <f aca="false">IF(OR(T27="Negative - Invalid",T27="Above Allowed Range - Invalid",AE27="Invalid - Ship Before Order",AK27&lt;&gt;"Unique",AB27="Mismatch",AC27="Mismatch",AJ27&lt;&gt;"OK"),"Invalid",IF(OR(H27="Yes",O27="Yes",T27="Missing"),"Warning","Clean"))</f>
        <v>Clean</v>
      </c>
    </row>
    <row r="28" customFormat="false" ht="15" hidden="false" customHeight="true" outlineLevel="0" collapsed="false">
      <c r="A28" s="3" t="s">
        <v>199</v>
      </c>
      <c r="B28" s="4" t="n">
        <v>45619</v>
      </c>
      <c r="C28" s="4" t="n">
        <v>45619</v>
      </c>
      <c r="D28" s="3" t="s">
        <v>200</v>
      </c>
      <c r="E28" s="3" t="s">
        <v>192</v>
      </c>
      <c r="F28" s="3" t="s">
        <v>116</v>
      </c>
      <c r="G28" s="3" t="s">
        <v>42</v>
      </c>
      <c r="H28" s="3" t="s">
        <v>43</v>
      </c>
      <c r="I28" s="3" t="s">
        <v>163</v>
      </c>
      <c r="J28" s="3" t="s">
        <v>164</v>
      </c>
      <c r="K28" s="3" t="s">
        <v>99</v>
      </c>
      <c r="L28" s="3" t="s">
        <v>201</v>
      </c>
      <c r="M28" s="3" t="s">
        <v>202</v>
      </c>
      <c r="N28" s="3" t="s">
        <v>83</v>
      </c>
      <c r="O28" s="3" t="s">
        <v>43</v>
      </c>
      <c r="P28" s="5" t="n">
        <v>4</v>
      </c>
      <c r="Q28" s="6" t="n">
        <v>716.13</v>
      </c>
      <c r="R28" s="3" t="s">
        <v>203</v>
      </c>
      <c r="S28" s="7" t="n">
        <v>0.1</v>
      </c>
      <c r="T28" s="3" t="s">
        <v>51</v>
      </c>
      <c r="U28" s="7" t="n">
        <f aca="false">IF(T28="Valid",S28,0)</f>
        <v>0.1</v>
      </c>
      <c r="V28" s="6" t="n">
        <v>2578.07</v>
      </c>
      <c r="W28" s="6" t="n">
        <v>1527.55</v>
      </c>
      <c r="X28" s="6" t="n">
        <v>1050.52</v>
      </c>
      <c r="Y28" s="6" t="n">
        <f aca="false">P28*Q28*(1-U28)</f>
        <v>2578.068</v>
      </c>
      <c r="Z28" s="6" t="n">
        <f aca="false">Y28-W28</f>
        <v>1050.518</v>
      </c>
      <c r="AA28" s="8" t="n">
        <f aca="false">IF(Y28=0,0,Z28/Y28)</f>
        <v>0.407482657555968</v>
      </c>
      <c r="AB28" s="3" t="str">
        <f aca="false">IF(ABS(V28-Y28)&gt;1,"Mismatch","OK")</f>
        <v>OK</v>
      </c>
      <c r="AC28" s="3" t="str">
        <f aca="false">IF(ABS(X28-Z28)&gt;1,"Mismatch","OK")</f>
        <v>OK</v>
      </c>
      <c r="AD28" s="5" t="n">
        <f aca="false">IF(OR(B28="",C28=""),"",C28-B28)</f>
        <v>0</v>
      </c>
      <c r="AE28" s="3" t="str">
        <f aca="false">IF(AD28="","Unknown",IF(AD28&lt;0,"Invalid - Ship Before Order","OK"))</f>
        <v>OK</v>
      </c>
      <c r="AF28" s="5" t="n">
        <f aca="false">IF(B28="","",MONTH(B28))</f>
        <v>11</v>
      </c>
      <c r="AG28" s="5" t="n">
        <f aca="false">IF(B28="","",YEAR(B28))</f>
        <v>2024</v>
      </c>
      <c r="AH28" s="3" t="s">
        <v>52</v>
      </c>
      <c r="AI28" s="3" t="s">
        <v>130</v>
      </c>
      <c r="AJ28" s="3" t="str">
        <f aca="false">IF(AND(AI28="Completed",AH28="Failed"),"Inconsistent - Completed Order with Failed Payment","OK")</f>
        <v>OK</v>
      </c>
      <c r="AK28" s="3" t="s">
        <v>54</v>
      </c>
      <c r="AL28" s="3" t="str">
        <f aca="false">IF(OR(T28="Negative - Invalid",T28="Above Allowed Range - Invalid",AE28="Invalid - Ship Before Order",AK28&lt;&gt;"Unique",AB28="Mismatch",AC28="Mismatch",AJ28&lt;&gt;"OK"),"Invalid",IF(OR(H28="Yes",O28="Yes",T28="Missing"),"Warning","Clean"))</f>
        <v>Clean</v>
      </c>
    </row>
    <row r="29" customFormat="false" ht="15" hidden="false" customHeight="true" outlineLevel="0" collapsed="false">
      <c r="A29" s="3" t="s">
        <v>204</v>
      </c>
      <c r="B29" s="4" t="n">
        <v>45929</v>
      </c>
      <c r="C29" s="4" t="n">
        <v>45935</v>
      </c>
      <c r="D29" s="3" t="s">
        <v>205</v>
      </c>
      <c r="E29" s="3" t="s">
        <v>77</v>
      </c>
      <c r="F29" s="3" t="s">
        <v>58</v>
      </c>
      <c r="G29" s="3" t="s">
        <v>78</v>
      </c>
      <c r="H29" s="3" t="s">
        <v>43</v>
      </c>
      <c r="I29" s="3" t="s">
        <v>206</v>
      </c>
      <c r="J29" s="3" t="s">
        <v>207</v>
      </c>
      <c r="K29" s="3" t="s">
        <v>46</v>
      </c>
      <c r="L29" s="3" t="s">
        <v>47</v>
      </c>
      <c r="M29" s="3" t="s">
        <v>208</v>
      </c>
      <c r="N29" s="3" t="s">
        <v>49</v>
      </c>
      <c r="O29" s="3" t="s">
        <v>43</v>
      </c>
      <c r="P29" s="5" t="n">
        <v>5</v>
      </c>
      <c r="Q29" s="6" t="n">
        <v>1806.51</v>
      </c>
      <c r="R29" s="3" t="s">
        <v>84</v>
      </c>
      <c r="S29" s="7" t="n">
        <v>0.25</v>
      </c>
      <c r="T29" s="3" t="s">
        <v>51</v>
      </c>
      <c r="U29" s="7" t="n">
        <f aca="false">IF(T29="Valid",S29,0)</f>
        <v>0.25</v>
      </c>
      <c r="V29" s="6" t="n">
        <v>6774.41</v>
      </c>
      <c r="W29" s="6" t="n">
        <v>4710.36</v>
      </c>
      <c r="X29" s="6" t="n">
        <v>2064.05</v>
      </c>
      <c r="Y29" s="6" t="n">
        <f aca="false">P29*Q29*(1-U29)</f>
        <v>6774.4125</v>
      </c>
      <c r="Z29" s="6" t="n">
        <f aca="false">Y29-W29</f>
        <v>2064.0525</v>
      </c>
      <c r="AA29" s="8" t="n">
        <f aca="false">IF(Y29=0,0,Z29/Y29)</f>
        <v>0.304683616475968</v>
      </c>
      <c r="AB29" s="3" t="str">
        <f aca="false">IF(ABS(V29-Y29)&gt;1,"Mismatch","OK")</f>
        <v>OK</v>
      </c>
      <c r="AC29" s="3" t="str">
        <f aca="false">IF(ABS(X29-Z29)&gt;1,"Mismatch","OK")</f>
        <v>OK</v>
      </c>
      <c r="AD29" s="5" t="n">
        <f aca="false">IF(OR(B29="",C29=""),"",C29-B29)</f>
        <v>6</v>
      </c>
      <c r="AE29" s="3" t="str">
        <f aca="false">IF(AD29="","Unknown",IF(AD29&lt;0,"Invalid - Ship Before Order","OK"))</f>
        <v>OK</v>
      </c>
      <c r="AF29" s="5" t="n">
        <f aca="false">IF(B29="","",MONTH(B29))</f>
        <v>9</v>
      </c>
      <c r="AG29" s="5" t="n">
        <f aca="false">IF(B29="","",YEAR(B29))</f>
        <v>2025</v>
      </c>
      <c r="AH29" s="3" t="s">
        <v>185</v>
      </c>
      <c r="AI29" s="3" t="s">
        <v>130</v>
      </c>
      <c r="AJ29" s="3" t="str">
        <f aca="false">IF(AND(AI29="Completed",AH29="Failed"),"Inconsistent - Completed Order with Failed Payment","OK")</f>
        <v>OK</v>
      </c>
      <c r="AK29" s="3" t="s">
        <v>54</v>
      </c>
      <c r="AL29" s="3" t="str">
        <f aca="false">IF(OR(T29="Negative - Invalid",T29="Above Allowed Range - Invalid",AE29="Invalid - Ship Before Order",AK29&lt;&gt;"Unique",AB29="Mismatch",AC29="Mismatch",AJ29&lt;&gt;"OK"),"Invalid",IF(OR(H29="Yes",O29="Yes",T29="Missing"),"Warning","Clean"))</f>
        <v>Clean</v>
      </c>
    </row>
    <row r="30" customFormat="false" ht="15" hidden="false" customHeight="true" outlineLevel="0" collapsed="false">
      <c r="A30" s="3" t="s">
        <v>209</v>
      </c>
      <c r="B30" s="4" t="n">
        <v>45576</v>
      </c>
      <c r="C30" s="4" t="n">
        <v>45583</v>
      </c>
      <c r="D30" s="3" t="s">
        <v>210</v>
      </c>
      <c r="E30" s="3" t="s">
        <v>87</v>
      </c>
      <c r="F30" s="3" t="s">
        <v>121</v>
      </c>
      <c r="G30" s="3" t="s">
        <v>88</v>
      </c>
      <c r="H30" s="3" t="s">
        <v>43</v>
      </c>
      <c r="I30" s="3" t="s">
        <v>211</v>
      </c>
      <c r="J30" s="3" t="s">
        <v>212</v>
      </c>
      <c r="K30" s="3" t="s">
        <v>99</v>
      </c>
      <c r="L30" s="3" t="s">
        <v>201</v>
      </c>
      <c r="M30" s="3" t="s">
        <v>213</v>
      </c>
      <c r="N30" s="3" t="s">
        <v>49</v>
      </c>
      <c r="O30" s="3" t="s">
        <v>43</v>
      </c>
      <c r="P30" s="5" t="n">
        <v>2</v>
      </c>
      <c r="Q30" s="6" t="n">
        <v>1942.22</v>
      </c>
      <c r="R30" s="3" t="s">
        <v>84</v>
      </c>
      <c r="S30" s="7" t="n">
        <v>0.25</v>
      </c>
      <c r="T30" s="3" t="s">
        <v>51</v>
      </c>
      <c r="U30" s="7" t="n">
        <f aca="false">IF(T30="Valid",S30,0)</f>
        <v>0.25</v>
      </c>
      <c r="V30" s="6" t="n">
        <v>2913.33</v>
      </c>
      <c r="W30" s="6" t="n">
        <v>2122.33</v>
      </c>
      <c r="X30" s="6" t="n">
        <v>791</v>
      </c>
      <c r="Y30" s="6" t="n">
        <f aca="false">P30*Q30*(1-U30)</f>
        <v>2913.33</v>
      </c>
      <c r="Z30" s="6" t="n">
        <f aca="false">Y30-W30</f>
        <v>791</v>
      </c>
      <c r="AA30" s="8" t="n">
        <f aca="false">IF(Y30=0,0,Z30/Y30)</f>
        <v>0.271510608135707</v>
      </c>
      <c r="AB30" s="3" t="str">
        <f aca="false">IF(ABS(V30-Y30)&gt;1,"Mismatch","OK")</f>
        <v>OK</v>
      </c>
      <c r="AC30" s="3" t="str">
        <f aca="false">IF(ABS(X30-Z30)&gt;1,"Mismatch","OK")</f>
        <v>OK</v>
      </c>
      <c r="AD30" s="5" t="n">
        <f aca="false">IF(OR(B30="",C30=""),"",C30-B30)</f>
        <v>7</v>
      </c>
      <c r="AE30" s="3" t="str">
        <f aca="false">IF(AD30="","Unknown",IF(AD30&lt;0,"Invalid - Ship Before Order","OK"))</f>
        <v>OK</v>
      </c>
      <c r="AF30" s="5" t="n">
        <f aca="false">IF(B30="","",MONTH(B30))</f>
        <v>10</v>
      </c>
      <c r="AG30" s="5" t="n">
        <f aca="false">IF(B30="","",YEAR(B30))</f>
        <v>2024</v>
      </c>
      <c r="AH30" s="3" t="s">
        <v>129</v>
      </c>
      <c r="AI30" s="3" t="s">
        <v>93</v>
      </c>
      <c r="AJ30" s="3" t="str">
        <f aca="false">IF(AND(AI30="Completed",AH30="Failed"),"Inconsistent - Completed Order with Failed Payment","OK")</f>
        <v>OK</v>
      </c>
      <c r="AK30" s="3" t="s">
        <v>54</v>
      </c>
      <c r="AL30" s="3" t="str">
        <f aca="false">IF(OR(T30="Negative - Invalid",T30="Above Allowed Range - Invalid",AE30="Invalid - Ship Before Order",AK30&lt;&gt;"Unique",AB30="Mismatch",AC30="Mismatch",AJ30&lt;&gt;"OK"),"Invalid",IF(OR(H30="Yes",O30="Yes",T30="Missing"),"Warning","Clean"))</f>
        <v>Clean</v>
      </c>
    </row>
    <row r="31" customFormat="false" ht="15" hidden="false" customHeight="true" outlineLevel="0" collapsed="false">
      <c r="A31" s="3" t="s">
        <v>214</v>
      </c>
      <c r="B31" s="4" t="n">
        <v>45882</v>
      </c>
      <c r="C31" s="4" t="n">
        <v>45882</v>
      </c>
      <c r="D31" s="3" t="s">
        <v>215</v>
      </c>
      <c r="E31" s="3" t="s">
        <v>168</v>
      </c>
      <c r="F31" s="3" t="s">
        <v>121</v>
      </c>
      <c r="G31" s="3" t="s">
        <v>78</v>
      </c>
      <c r="H31" s="3" t="s">
        <v>43</v>
      </c>
      <c r="I31" s="3" t="s">
        <v>216</v>
      </c>
      <c r="J31" s="3" t="s">
        <v>217</v>
      </c>
      <c r="K31" s="3" t="s">
        <v>99</v>
      </c>
      <c r="L31" s="3" t="s">
        <v>201</v>
      </c>
      <c r="M31" s="3" t="s">
        <v>218</v>
      </c>
      <c r="N31" s="3" t="s">
        <v>83</v>
      </c>
      <c r="O31" s="3" t="s">
        <v>43</v>
      </c>
      <c r="P31" s="5" t="n">
        <v>1</v>
      </c>
      <c r="Q31" s="6" t="n">
        <v>256.01</v>
      </c>
      <c r="R31" s="3" t="s">
        <v>107</v>
      </c>
      <c r="S31" s="7" t="n">
        <v>0.15</v>
      </c>
      <c r="T31" s="3" t="s">
        <v>51</v>
      </c>
      <c r="U31" s="7" t="n">
        <f aca="false">IF(T31="Valid",S31,0)</f>
        <v>0.15</v>
      </c>
      <c r="V31" s="6" t="n">
        <v>217.61</v>
      </c>
      <c r="W31" s="6" t="n">
        <v>119.77</v>
      </c>
      <c r="X31" s="6" t="n">
        <v>97.84</v>
      </c>
      <c r="Y31" s="6" t="n">
        <f aca="false">P31*Q31*(1-U31)</f>
        <v>217.6085</v>
      </c>
      <c r="Z31" s="6" t="n">
        <f aca="false">Y31-W31</f>
        <v>97.8385</v>
      </c>
      <c r="AA31" s="8" t="n">
        <f aca="false">IF(Y31=0,0,Z31/Y31)</f>
        <v>0.449607896750357</v>
      </c>
      <c r="AB31" s="3" t="str">
        <f aca="false">IF(ABS(V31-Y31)&gt;1,"Mismatch","OK")</f>
        <v>OK</v>
      </c>
      <c r="AC31" s="3" t="str">
        <f aca="false">IF(ABS(X31-Z31)&gt;1,"Mismatch","OK")</f>
        <v>OK</v>
      </c>
      <c r="AD31" s="5" t="n">
        <f aca="false">IF(OR(B31="",C31=""),"",C31-B31)</f>
        <v>0</v>
      </c>
      <c r="AE31" s="3" t="str">
        <f aca="false">IF(AD31="","Unknown",IF(AD31&lt;0,"Invalid - Ship Before Order","OK"))</f>
        <v>OK</v>
      </c>
      <c r="AF31" s="5" t="n">
        <f aca="false">IF(B31="","",MONTH(B31))</f>
        <v>8</v>
      </c>
      <c r="AG31" s="5" t="n">
        <f aca="false">IF(B31="","",YEAR(B31))</f>
        <v>2025</v>
      </c>
      <c r="AH31" s="3" t="s">
        <v>52</v>
      </c>
      <c r="AI31" s="3" t="s">
        <v>53</v>
      </c>
      <c r="AJ31" s="3" t="str">
        <f aca="false">IF(AND(AI31="Completed",AH31="Failed"),"Inconsistent - Completed Order with Failed Payment","OK")</f>
        <v>OK</v>
      </c>
      <c r="AK31" s="3" t="s">
        <v>54</v>
      </c>
      <c r="AL31" s="3" t="str">
        <f aca="false">IF(OR(T31="Negative - Invalid",T31="Above Allowed Range - Invalid",AE31="Invalid - Ship Before Order",AK31&lt;&gt;"Unique",AB31="Mismatch",AC31="Mismatch",AJ31&lt;&gt;"OK"),"Invalid",IF(OR(H31="Yes",O31="Yes",T31="Missing"),"Warning","Clean"))</f>
        <v>Clean</v>
      </c>
    </row>
    <row r="32" customFormat="false" ht="15" hidden="false" customHeight="true" outlineLevel="0" collapsed="false">
      <c r="A32" s="3" t="s">
        <v>219</v>
      </c>
      <c r="B32" s="4" t="n">
        <v>45331</v>
      </c>
      <c r="C32" s="4" t="n">
        <v>45334</v>
      </c>
      <c r="D32" s="3" t="s">
        <v>220</v>
      </c>
      <c r="E32" s="3" t="s">
        <v>87</v>
      </c>
      <c r="F32" s="3" t="s">
        <v>116</v>
      </c>
      <c r="G32" s="3" t="s">
        <v>88</v>
      </c>
      <c r="H32" s="3" t="s">
        <v>43</v>
      </c>
      <c r="I32" s="3" t="s">
        <v>221</v>
      </c>
      <c r="J32" s="3" t="s">
        <v>222</v>
      </c>
      <c r="K32" s="3" t="s">
        <v>46</v>
      </c>
      <c r="L32" s="3" t="s">
        <v>117</v>
      </c>
      <c r="M32" s="3" t="s">
        <v>223</v>
      </c>
      <c r="N32" s="3" t="s">
        <v>72</v>
      </c>
      <c r="O32" s="3" t="s">
        <v>43</v>
      </c>
      <c r="P32" s="5" t="n">
        <v>1</v>
      </c>
      <c r="Q32" s="6" t="n">
        <v>3421.77</v>
      </c>
      <c r="R32" s="3" t="s">
        <v>203</v>
      </c>
      <c r="S32" s="7" t="n">
        <v>0.1</v>
      </c>
      <c r="T32" s="3" t="s">
        <v>51</v>
      </c>
      <c r="U32" s="7" t="n">
        <f aca="false">IF(T32="Valid",S32,0)</f>
        <v>0.1</v>
      </c>
      <c r="V32" s="6" t="n">
        <v>3079.59</v>
      </c>
      <c r="W32" s="6" t="n">
        <v>2001.89</v>
      </c>
      <c r="X32" s="6" t="n">
        <v>1077.7</v>
      </c>
      <c r="Y32" s="6" t="n">
        <f aca="false">P32*Q32*(1-U32)</f>
        <v>3079.593</v>
      </c>
      <c r="Z32" s="6" t="n">
        <f aca="false">Y32-W32</f>
        <v>1077.703</v>
      </c>
      <c r="AA32" s="8" t="n">
        <f aca="false">IF(Y32=0,0,Z32/Y32)</f>
        <v>0.349949814796955</v>
      </c>
      <c r="AB32" s="3" t="str">
        <f aca="false">IF(ABS(V32-Y32)&gt;1,"Mismatch","OK")</f>
        <v>OK</v>
      </c>
      <c r="AC32" s="3" t="str">
        <f aca="false">IF(ABS(X32-Z32)&gt;1,"Mismatch","OK")</f>
        <v>OK</v>
      </c>
      <c r="AD32" s="5" t="n">
        <f aca="false">IF(OR(B32="",C32=""),"",C32-B32)</f>
        <v>3</v>
      </c>
      <c r="AE32" s="3" t="str">
        <f aca="false">IF(AD32="","Unknown",IF(AD32&lt;0,"Invalid - Ship Before Order","OK"))</f>
        <v>OK</v>
      </c>
      <c r="AF32" s="5" t="n">
        <f aca="false">IF(B32="","",MONTH(B32))</f>
        <v>2</v>
      </c>
      <c r="AG32" s="5" t="n">
        <f aca="false">IF(B32="","",YEAR(B32))</f>
        <v>2024</v>
      </c>
      <c r="AH32" s="3" t="s">
        <v>52</v>
      </c>
      <c r="AI32" s="3" t="s">
        <v>53</v>
      </c>
      <c r="AJ32" s="3" t="str">
        <f aca="false">IF(AND(AI32="Completed",AH32="Failed"),"Inconsistent - Completed Order with Failed Payment","OK")</f>
        <v>OK</v>
      </c>
      <c r="AK32" s="3" t="s">
        <v>54</v>
      </c>
      <c r="AL32" s="3" t="str">
        <f aca="false">IF(OR(T32="Negative - Invalid",T32="Above Allowed Range - Invalid",AE32="Invalid - Ship Before Order",AK32&lt;&gt;"Unique",AB32="Mismatch",AC32="Mismatch",AJ32&lt;&gt;"OK"),"Invalid",IF(OR(H32="Yes",O32="Yes",T32="Missing"),"Warning","Clean"))</f>
        <v>Clean</v>
      </c>
    </row>
    <row r="33" customFormat="false" ht="15" hidden="false" customHeight="true" outlineLevel="0" collapsed="false">
      <c r="A33" s="3" t="s">
        <v>224</v>
      </c>
      <c r="B33" s="4" t="n">
        <v>45823</v>
      </c>
      <c r="C33" s="4" t="n">
        <v>45827</v>
      </c>
      <c r="D33" s="3" t="s">
        <v>225</v>
      </c>
      <c r="E33" s="3" t="s">
        <v>40</v>
      </c>
      <c r="F33" s="3" t="s">
        <v>58</v>
      </c>
      <c r="G33" s="3" t="s">
        <v>88</v>
      </c>
      <c r="H33" s="3" t="s">
        <v>43</v>
      </c>
      <c r="I33" s="3" t="s">
        <v>97</v>
      </c>
      <c r="J33" s="3" t="s">
        <v>98</v>
      </c>
      <c r="K33" s="3" t="s">
        <v>46</v>
      </c>
      <c r="L33" s="3" t="s">
        <v>47</v>
      </c>
      <c r="M33" s="3" t="s">
        <v>226</v>
      </c>
      <c r="N33" s="3" t="s">
        <v>49</v>
      </c>
      <c r="O33" s="3" t="s">
        <v>43</v>
      </c>
      <c r="P33" s="5" t="n">
        <v>9</v>
      </c>
      <c r="Q33" s="6" t="n">
        <v>3092.55</v>
      </c>
      <c r="R33" s="3" t="s">
        <v>66</v>
      </c>
      <c r="S33" s="7" t="n">
        <v>0</v>
      </c>
      <c r="T33" s="3" t="s">
        <v>51</v>
      </c>
      <c r="U33" s="7" t="n">
        <f aca="false">IF(T33="Valid",S33,0)</f>
        <v>0</v>
      </c>
      <c r="V33" s="6" t="n">
        <v>27832.95</v>
      </c>
      <c r="W33" s="6" t="n">
        <v>17769.75</v>
      </c>
      <c r="X33" s="6" t="n">
        <v>10063.2</v>
      </c>
      <c r="Y33" s="6" t="n">
        <f aca="false">P33*Q33*(1-U33)</f>
        <v>27832.95</v>
      </c>
      <c r="Z33" s="6" t="n">
        <f aca="false">Y33-W33</f>
        <v>10063.2</v>
      </c>
      <c r="AA33" s="8" t="n">
        <f aca="false">IF(Y33=0,0,Z33/Y33)</f>
        <v>0.361557075336966</v>
      </c>
      <c r="AB33" s="3" t="str">
        <f aca="false">IF(ABS(V33-Y33)&gt;1,"Mismatch","OK")</f>
        <v>OK</v>
      </c>
      <c r="AC33" s="3" t="str">
        <f aca="false">IF(ABS(X33-Z33)&gt;1,"Mismatch","OK")</f>
        <v>OK</v>
      </c>
      <c r="AD33" s="5" t="n">
        <f aca="false">IF(OR(B33="",C33=""),"",C33-B33)</f>
        <v>4</v>
      </c>
      <c r="AE33" s="3" t="str">
        <f aca="false">IF(AD33="","Unknown",IF(AD33&lt;0,"Invalid - Ship Before Order","OK"))</f>
        <v>OK</v>
      </c>
      <c r="AF33" s="5" t="n">
        <f aca="false">IF(B33="","",MONTH(B33))</f>
        <v>6</v>
      </c>
      <c r="AG33" s="5" t="n">
        <f aca="false">IF(B33="","",YEAR(B33))</f>
        <v>2025</v>
      </c>
      <c r="AH33" s="3" t="s">
        <v>185</v>
      </c>
      <c r="AI33" s="3" t="s">
        <v>130</v>
      </c>
      <c r="AJ33" s="3" t="str">
        <f aca="false">IF(AND(AI33="Completed",AH33="Failed"),"Inconsistent - Completed Order with Failed Payment","OK")</f>
        <v>OK</v>
      </c>
      <c r="AK33" s="3" t="s">
        <v>54</v>
      </c>
      <c r="AL33" s="3" t="str">
        <f aca="false">IF(OR(T33="Negative - Invalid",T33="Above Allowed Range - Invalid",AE33="Invalid - Ship Before Order",AK33&lt;&gt;"Unique",AB33="Mismatch",AC33="Mismatch",AJ33&lt;&gt;"OK"),"Invalid",IF(OR(H33="Yes",O33="Yes",T33="Missing"),"Warning","Clean"))</f>
        <v>Clean</v>
      </c>
    </row>
    <row r="34" customFormat="false" ht="15" hidden="false" customHeight="true" outlineLevel="0" collapsed="false">
      <c r="A34" s="3" t="s">
        <v>227</v>
      </c>
      <c r="B34" s="4" t="n">
        <v>45618</v>
      </c>
      <c r="C34" s="4" t="n">
        <v>45622</v>
      </c>
      <c r="D34" s="3" t="s">
        <v>228</v>
      </c>
      <c r="E34" s="3" t="s">
        <v>155</v>
      </c>
      <c r="F34" s="3" t="s">
        <v>116</v>
      </c>
      <c r="G34" s="3" t="s">
        <v>78</v>
      </c>
      <c r="H34" s="3" t="s">
        <v>43</v>
      </c>
      <c r="I34" s="3" t="s">
        <v>110</v>
      </c>
      <c r="J34" s="3" t="s">
        <v>111</v>
      </c>
      <c r="K34" s="3" t="s">
        <v>99</v>
      </c>
      <c r="L34" s="3" t="s">
        <v>201</v>
      </c>
      <c r="M34" s="3" t="s">
        <v>229</v>
      </c>
      <c r="N34" s="3" t="s">
        <v>49</v>
      </c>
      <c r="O34" s="3" t="s">
        <v>43</v>
      </c>
      <c r="P34" s="5" t="n">
        <v>3</v>
      </c>
      <c r="Q34" s="6" t="n">
        <v>4001.25</v>
      </c>
      <c r="R34" s="3"/>
      <c r="S34" s="7"/>
      <c r="T34" s="3" t="s">
        <v>230</v>
      </c>
      <c r="U34" s="7" t="n">
        <f aca="false">IF(T34="Valid",S34,0)</f>
        <v>0</v>
      </c>
      <c r="V34" s="6" t="n">
        <v>9002.81</v>
      </c>
      <c r="W34" s="6" t="n">
        <v>7529.92</v>
      </c>
      <c r="X34" s="6" t="n">
        <v>1472.89</v>
      </c>
      <c r="Y34" s="6" t="n">
        <f aca="false">P34*Q34*(1-U34)</f>
        <v>12003.75</v>
      </c>
      <c r="Z34" s="6" t="n">
        <f aca="false">Y34-W34</f>
        <v>4473.83</v>
      </c>
      <c r="AA34" s="8" t="n">
        <f aca="false">IF(Y34=0,0,Z34/Y34)</f>
        <v>0.372702697073831</v>
      </c>
      <c r="AB34" s="3" t="str">
        <f aca="false">IF(ABS(V34-Y34)&gt;1,"Mismatch","OK")</f>
        <v>Mismatch</v>
      </c>
      <c r="AC34" s="3" t="str">
        <f aca="false">IF(ABS(X34-Z34)&gt;1,"Mismatch","OK")</f>
        <v>Mismatch</v>
      </c>
      <c r="AD34" s="5" t="n">
        <f aca="false">IF(OR(B34="",C34=""),"",C34-B34)</f>
        <v>4</v>
      </c>
      <c r="AE34" s="3" t="str">
        <f aca="false">IF(AD34="","Unknown",IF(AD34&lt;0,"Invalid - Ship Before Order","OK"))</f>
        <v>OK</v>
      </c>
      <c r="AF34" s="5" t="n">
        <f aca="false">IF(B34="","",MONTH(B34))</f>
        <v>11</v>
      </c>
      <c r="AG34" s="5" t="n">
        <f aca="false">IF(B34="","",YEAR(B34))</f>
        <v>2024</v>
      </c>
      <c r="AH34" s="3" t="s">
        <v>52</v>
      </c>
      <c r="AI34" s="3" t="s">
        <v>53</v>
      </c>
      <c r="AJ34" s="3" t="str">
        <f aca="false">IF(AND(AI34="Completed",AH34="Failed"),"Inconsistent - Completed Order with Failed Payment","OK")</f>
        <v>OK</v>
      </c>
      <c r="AK34" s="3" t="s">
        <v>54</v>
      </c>
      <c r="AL34" s="3" t="str">
        <f aca="false">IF(OR(T34="Negative - Invalid",T34="Above Allowed Range - Invalid",AE34="Invalid - Ship Before Order",AK34&lt;&gt;"Unique",AB34="Mismatch",AC34="Mismatch",AJ34&lt;&gt;"OK"),"Invalid",IF(OR(H34="Yes",O34="Yes",T34="Missing"),"Warning","Clean"))</f>
        <v>Invalid</v>
      </c>
    </row>
    <row r="35" customFormat="false" ht="15" hidden="false" customHeight="true" outlineLevel="0" collapsed="false">
      <c r="A35" s="3" t="s">
        <v>231</v>
      </c>
      <c r="B35" s="4" t="n">
        <v>45495</v>
      </c>
      <c r="C35" s="4" t="n">
        <v>45500</v>
      </c>
      <c r="D35" s="3" t="s">
        <v>232</v>
      </c>
      <c r="E35" s="3" t="s">
        <v>141</v>
      </c>
      <c r="F35" s="3" t="s">
        <v>121</v>
      </c>
      <c r="G35" s="3" t="s">
        <v>88</v>
      </c>
      <c r="H35" s="3" t="s">
        <v>43</v>
      </c>
      <c r="I35" s="3" t="s">
        <v>221</v>
      </c>
      <c r="J35" s="3" t="s">
        <v>222</v>
      </c>
      <c r="K35" s="3" t="s">
        <v>62</v>
      </c>
      <c r="L35" s="3" t="s">
        <v>63</v>
      </c>
      <c r="M35" s="3" t="s">
        <v>233</v>
      </c>
      <c r="N35" s="3" t="s">
        <v>65</v>
      </c>
      <c r="O35" s="3" t="s">
        <v>43</v>
      </c>
      <c r="P35" s="5" t="n">
        <v>7</v>
      </c>
      <c r="Q35" s="6" t="n">
        <v>492.41</v>
      </c>
      <c r="R35" s="3" t="s">
        <v>84</v>
      </c>
      <c r="S35" s="7" t="n">
        <v>0.25</v>
      </c>
      <c r="T35" s="3" t="s">
        <v>51</v>
      </c>
      <c r="U35" s="7" t="n">
        <f aca="false">IF(T35="Valid",S35,0)</f>
        <v>0.25</v>
      </c>
      <c r="V35" s="6" t="n">
        <v>2585.15</v>
      </c>
      <c r="W35" s="6" t="n">
        <v>2070.73</v>
      </c>
      <c r="X35" s="6" t="n">
        <v>514.42</v>
      </c>
      <c r="Y35" s="6" t="n">
        <f aca="false">P35*Q35*(1-U35)</f>
        <v>2585.1525</v>
      </c>
      <c r="Z35" s="6" t="n">
        <f aca="false">Y35-W35</f>
        <v>514.4225</v>
      </c>
      <c r="AA35" s="8" t="n">
        <f aca="false">IF(Y35=0,0,Z35/Y35)</f>
        <v>0.198991162030093</v>
      </c>
      <c r="AB35" s="3" t="str">
        <f aca="false">IF(ABS(V35-Y35)&gt;1,"Mismatch","OK")</f>
        <v>OK</v>
      </c>
      <c r="AC35" s="3" t="str">
        <f aca="false">IF(ABS(X35-Z35)&gt;1,"Mismatch","OK")</f>
        <v>OK</v>
      </c>
      <c r="AD35" s="5" t="n">
        <f aca="false">IF(OR(B35="",C35=""),"",C35-B35)</f>
        <v>5</v>
      </c>
      <c r="AE35" s="3" t="str">
        <f aca="false">IF(AD35="","Unknown",IF(AD35&lt;0,"Invalid - Ship Before Order","OK"))</f>
        <v>OK</v>
      </c>
      <c r="AF35" s="5" t="n">
        <f aca="false">IF(B35="","",MONTH(B35))</f>
        <v>7</v>
      </c>
      <c r="AG35" s="5" t="n">
        <f aca="false">IF(B35="","",YEAR(B35))</f>
        <v>2024</v>
      </c>
      <c r="AH35" s="3" t="s">
        <v>52</v>
      </c>
      <c r="AI35" s="3" t="s">
        <v>53</v>
      </c>
      <c r="AJ35" s="3" t="str">
        <f aca="false">IF(AND(AI35="Completed",AH35="Failed"),"Inconsistent - Completed Order with Failed Payment","OK")</f>
        <v>OK</v>
      </c>
      <c r="AK35" s="3" t="s">
        <v>54</v>
      </c>
      <c r="AL35" s="3" t="str">
        <f aca="false">IF(OR(T35="Negative - Invalid",T35="Above Allowed Range - Invalid",AE35="Invalid - Ship Before Order",AK35&lt;&gt;"Unique",AB35="Mismatch",AC35="Mismatch",AJ35&lt;&gt;"OK"),"Invalid",IF(OR(H35="Yes",O35="Yes",T35="Missing"),"Warning","Clean"))</f>
        <v>Clean</v>
      </c>
    </row>
    <row r="36" customFormat="false" ht="15" hidden="false" customHeight="true" outlineLevel="0" collapsed="false">
      <c r="A36" s="3" t="s">
        <v>234</v>
      </c>
      <c r="B36" s="4" t="n">
        <v>45688</v>
      </c>
      <c r="C36" s="4" t="n">
        <v>45693</v>
      </c>
      <c r="D36" s="3" t="s">
        <v>235</v>
      </c>
      <c r="E36" s="3" t="s">
        <v>141</v>
      </c>
      <c r="F36" s="3" t="s">
        <v>121</v>
      </c>
      <c r="G36" s="3" t="s">
        <v>59</v>
      </c>
      <c r="H36" s="3" t="s">
        <v>43</v>
      </c>
      <c r="I36" s="3" t="s">
        <v>125</v>
      </c>
      <c r="J36" s="3" t="s">
        <v>126</v>
      </c>
      <c r="K36" s="3" t="s">
        <v>62</v>
      </c>
      <c r="L36" s="3" t="s">
        <v>91</v>
      </c>
      <c r="M36" s="3" t="s">
        <v>236</v>
      </c>
      <c r="N36" s="3" t="s">
        <v>237</v>
      </c>
      <c r="O36" s="3" t="s">
        <v>238</v>
      </c>
      <c r="P36" s="5" t="n">
        <v>2</v>
      </c>
      <c r="Q36" s="6" t="n">
        <v>4159.69</v>
      </c>
      <c r="R36" s="3" t="s">
        <v>50</v>
      </c>
      <c r="S36" s="7" t="n">
        <v>0.2</v>
      </c>
      <c r="T36" s="3" t="s">
        <v>51</v>
      </c>
      <c r="U36" s="7" t="n">
        <f aca="false">IF(T36="Valid",S36,0)</f>
        <v>0.2</v>
      </c>
      <c r="V36" s="6" t="n">
        <v>6655.5</v>
      </c>
      <c r="W36" s="6" t="n">
        <v>4340.21</v>
      </c>
      <c r="X36" s="6" t="n">
        <v>2607.32</v>
      </c>
      <c r="Y36" s="6" t="n">
        <f aca="false">P36*Q36*(1-U36)</f>
        <v>6655.504</v>
      </c>
      <c r="Z36" s="6" t="n">
        <f aca="false">Y36-W36</f>
        <v>2315.294</v>
      </c>
      <c r="AA36" s="8" t="n">
        <f aca="false">IF(Y36=0,0,Z36/Y36)</f>
        <v>0.347876584553176</v>
      </c>
      <c r="AB36" s="3" t="str">
        <f aca="false">IF(ABS(V36-Y36)&gt;1,"Mismatch","OK")</f>
        <v>OK</v>
      </c>
      <c r="AC36" s="3" t="str">
        <f aca="false">IF(ABS(X36-Z36)&gt;1,"Mismatch","OK")</f>
        <v>Mismatch</v>
      </c>
      <c r="AD36" s="5" t="n">
        <f aca="false">IF(OR(B36="",C36=""),"",C36-B36)</f>
        <v>5</v>
      </c>
      <c r="AE36" s="3" t="str">
        <f aca="false">IF(AD36="","Unknown",IF(AD36&lt;0,"Invalid - Ship Before Order","OK"))</f>
        <v>OK</v>
      </c>
      <c r="AF36" s="5" t="n">
        <f aca="false">IF(B36="","",MONTH(B36))</f>
        <v>1</v>
      </c>
      <c r="AG36" s="5" t="n">
        <f aca="false">IF(B36="","",YEAR(B36))</f>
        <v>2025</v>
      </c>
      <c r="AH36" s="3" t="s">
        <v>52</v>
      </c>
      <c r="AI36" s="3" t="s">
        <v>53</v>
      </c>
      <c r="AJ36" s="3" t="str">
        <f aca="false">IF(AND(AI36="Completed",AH36="Failed"),"Inconsistent - Completed Order with Failed Payment","OK")</f>
        <v>OK</v>
      </c>
      <c r="AK36" s="3" t="s">
        <v>54</v>
      </c>
      <c r="AL36" s="3" t="str">
        <f aca="false">IF(OR(T36="Negative - Invalid",T36="Above Allowed Range - Invalid",AE36="Invalid - Ship Before Order",AK36&lt;&gt;"Unique",AB36="Mismatch",AC36="Mismatch",AJ36&lt;&gt;"OK"),"Invalid",IF(OR(H36="Yes",O36="Yes",T36="Missing"),"Warning","Clean"))</f>
        <v>Invalid</v>
      </c>
    </row>
    <row r="37" customFormat="false" ht="15" hidden="false" customHeight="true" outlineLevel="0" collapsed="false">
      <c r="A37" s="3" t="s">
        <v>239</v>
      </c>
      <c r="B37" s="4" t="n">
        <v>45441</v>
      </c>
      <c r="C37" s="4" t="n">
        <v>45441</v>
      </c>
      <c r="D37" s="3" t="s">
        <v>240</v>
      </c>
      <c r="E37" s="3" t="s">
        <v>159</v>
      </c>
      <c r="F37" s="3" t="s">
        <v>58</v>
      </c>
      <c r="G37" s="3" t="s">
        <v>88</v>
      </c>
      <c r="H37" s="3" t="s">
        <v>43</v>
      </c>
      <c r="I37" s="3" t="s">
        <v>211</v>
      </c>
      <c r="J37" s="3" t="s">
        <v>212</v>
      </c>
      <c r="K37" s="3" t="s">
        <v>62</v>
      </c>
      <c r="L37" s="3" t="s">
        <v>188</v>
      </c>
      <c r="M37" s="3" t="s">
        <v>241</v>
      </c>
      <c r="N37" s="3" t="s">
        <v>49</v>
      </c>
      <c r="O37" s="3" t="s">
        <v>43</v>
      </c>
      <c r="P37" s="5" t="n">
        <v>8</v>
      </c>
      <c r="Q37" s="6" t="n">
        <v>2507.12</v>
      </c>
      <c r="R37" s="3" t="s">
        <v>128</v>
      </c>
      <c r="S37" s="7" t="n">
        <v>0.05</v>
      </c>
      <c r="T37" s="3" t="s">
        <v>51</v>
      </c>
      <c r="U37" s="7" t="n">
        <f aca="false">IF(T37="Valid",S37,0)</f>
        <v>0.05</v>
      </c>
      <c r="V37" s="6" t="n">
        <v>19054.11</v>
      </c>
      <c r="W37" s="6" t="n">
        <v>15313.83</v>
      </c>
      <c r="X37" s="6" t="n">
        <v>3740.28</v>
      </c>
      <c r="Y37" s="6" t="n">
        <f aca="false">P37*Q37*(1-U37)</f>
        <v>19054.112</v>
      </c>
      <c r="Z37" s="6" t="n">
        <f aca="false">Y37-W37</f>
        <v>3740.282</v>
      </c>
      <c r="AA37" s="8" t="n">
        <f aca="false">IF(Y37=0,0,Z37/Y37)</f>
        <v>0.196297890974924</v>
      </c>
      <c r="AB37" s="3" t="str">
        <f aca="false">IF(ABS(V37-Y37)&gt;1,"Mismatch","OK")</f>
        <v>OK</v>
      </c>
      <c r="AC37" s="3" t="str">
        <f aca="false">IF(ABS(X37-Z37)&gt;1,"Mismatch","OK")</f>
        <v>OK</v>
      </c>
      <c r="AD37" s="5" t="n">
        <f aca="false">IF(OR(B37="",C37=""),"",C37-B37)</f>
        <v>0</v>
      </c>
      <c r="AE37" s="3" t="str">
        <f aca="false">IF(AD37="","Unknown",IF(AD37&lt;0,"Invalid - Ship Before Order","OK"))</f>
        <v>OK</v>
      </c>
      <c r="AF37" s="5" t="n">
        <f aca="false">IF(B37="","",MONTH(B37))</f>
        <v>5</v>
      </c>
      <c r="AG37" s="5" t="n">
        <f aca="false">IF(B37="","",YEAR(B37))</f>
        <v>2024</v>
      </c>
      <c r="AH37" s="3" t="s">
        <v>138</v>
      </c>
      <c r="AI37" s="3" t="s">
        <v>130</v>
      </c>
      <c r="AJ37" s="3" t="str">
        <f aca="false">IF(AND(AI37="Completed",AH37="Failed"),"Inconsistent - Completed Order with Failed Payment","OK")</f>
        <v>OK</v>
      </c>
      <c r="AK37" s="3" t="s">
        <v>54</v>
      </c>
      <c r="AL37" s="3" t="str">
        <f aca="false">IF(OR(T37="Negative - Invalid",T37="Above Allowed Range - Invalid",AE37="Invalid - Ship Before Order",AK37&lt;&gt;"Unique",AB37="Mismatch",AC37="Mismatch",AJ37&lt;&gt;"OK"),"Invalid",IF(OR(H37="Yes",O37="Yes",T37="Missing"),"Warning","Clean"))</f>
        <v>Clean</v>
      </c>
    </row>
    <row r="38" customFormat="false" ht="15" hidden="false" customHeight="true" outlineLevel="0" collapsed="false">
      <c r="A38" s="3" t="s">
        <v>242</v>
      </c>
      <c r="B38" s="4" t="n">
        <v>45590</v>
      </c>
      <c r="C38" s="4" t="n">
        <v>45593</v>
      </c>
      <c r="D38" s="3" t="s">
        <v>243</v>
      </c>
      <c r="E38" s="3" t="s">
        <v>168</v>
      </c>
      <c r="F38" s="3" t="s">
        <v>116</v>
      </c>
      <c r="G38" s="3" t="s">
        <v>88</v>
      </c>
      <c r="H38" s="3" t="s">
        <v>43</v>
      </c>
      <c r="I38" s="3" t="s">
        <v>89</v>
      </c>
      <c r="J38" s="3" t="s">
        <v>90</v>
      </c>
      <c r="K38" s="3" t="s">
        <v>62</v>
      </c>
      <c r="L38" s="3" t="s">
        <v>188</v>
      </c>
      <c r="M38" s="3" t="s">
        <v>244</v>
      </c>
      <c r="N38" s="3" t="s">
        <v>49</v>
      </c>
      <c r="O38" s="3" t="s">
        <v>43</v>
      </c>
      <c r="P38" s="5" t="n">
        <v>3</v>
      </c>
      <c r="Q38" s="6" t="n">
        <v>3126.47</v>
      </c>
      <c r="R38" s="3" t="s">
        <v>66</v>
      </c>
      <c r="S38" s="7" t="n">
        <v>0</v>
      </c>
      <c r="T38" s="3" t="s">
        <v>51</v>
      </c>
      <c r="U38" s="7" t="n">
        <f aca="false">IF(T38="Valid",S38,0)</f>
        <v>0</v>
      </c>
      <c r="V38" s="6" t="n">
        <v>9379.41</v>
      </c>
      <c r="W38" s="6" t="n">
        <v>6670.85</v>
      </c>
      <c r="X38" s="6" t="n">
        <v>2708.56</v>
      </c>
      <c r="Y38" s="6" t="n">
        <f aca="false">P38*Q38*(1-U38)</f>
        <v>9379.41</v>
      </c>
      <c r="Z38" s="6" t="n">
        <f aca="false">Y38-W38</f>
        <v>2708.56</v>
      </c>
      <c r="AA38" s="8" t="n">
        <f aca="false">IF(Y38=0,0,Z38/Y38)</f>
        <v>0.288777225859622</v>
      </c>
      <c r="AB38" s="3" t="str">
        <f aca="false">IF(ABS(V38-Y38)&gt;1,"Mismatch","OK")</f>
        <v>OK</v>
      </c>
      <c r="AC38" s="3" t="str">
        <f aca="false">IF(ABS(X38-Z38)&gt;1,"Mismatch","OK")</f>
        <v>OK</v>
      </c>
      <c r="AD38" s="5" t="n">
        <f aca="false">IF(OR(B38="",C38=""),"",C38-B38)</f>
        <v>3</v>
      </c>
      <c r="AE38" s="3" t="str">
        <f aca="false">IF(AD38="","Unknown",IF(AD38&lt;0,"Invalid - Ship Before Order","OK"))</f>
        <v>OK</v>
      </c>
      <c r="AF38" s="5" t="n">
        <f aca="false">IF(B38="","",MONTH(B38))</f>
        <v>10</v>
      </c>
      <c r="AG38" s="5" t="n">
        <f aca="false">IF(B38="","",YEAR(B38))</f>
        <v>2024</v>
      </c>
      <c r="AH38" s="3" t="s">
        <v>52</v>
      </c>
      <c r="AI38" s="3" t="s">
        <v>130</v>
      </c>
      <c r="AJ38" s="3" t="str">
        <f aca="false">IF(AND(AI38="Completed",AH38="Failed"),"Inconsistent - Completed Order with Failed Payment","OK")</f>
        <v>OK</v>
      </c>
      <c r="AK38" s="3" t="s">
        <v>54</v>
      </c>
      <c r="AL38" s="3" t="str">
        <f aca="false">IF(OR(T38="Negative - Invalid",T38="Above Allowed Range - Invalid",AE38="Invalid - Ship Before Order",AK38&lt;&gt;"Unique",AB38="Mismatch",AC38="Mismatch",AJ38&lt;&gt;"OK"),"Invalid",IF(OR(H38="Yes",O38="Yes",T38="Missing"),"Warning","Clean"))</f>
        <v>Clean</v>
      </c>
    </row>
    <row r="39" customFormat="false" ht="15" hidden="false" customHeight="true" outlineLevel="0" collapsed="false">
      <c r="A39" s="3" t="s">
        <v>245</v>
      </c>
      <c r="B39" s="4" t="n">
        <v>45867</v>
      </c>
      <c r="C39" s="4" t="n">
        <v>45867</v>
      </c>
      <c r="D39" s="3" t="s">
        <v>246</v>
      </c>
      <c r="E39" s="3" t="s">
        <v>192</v>
      </c>
      <c r="F39" s="3" t="s">
        <v>41</v>
      </c>
      <c r="G39" s="3" t="s">
        <v>88</v>
      </c>
      <c r="H39" s="3" t="s">
        <v>43</v>
      </c>
      <c r="I39" s="3" t="s">
        <v>89</v>
      </c>
      <c r="J39" s="3" t="s">
        <v>90</v>
      </c>
      <c r="K39" s="3" t="s">
        <v>99</v>
      </c>
      <c r="L39" s="3" t="s">
        <v>105</v>
      </c>
      <c r="M39" s="3" t="s">
        <v>247</v>
      </c>
      <c r="N39" s="3" t="s">
        <v>83</v>
      </c>
      <c r="O39" s="3" t="s">
        <v>43</v>
      </c>
      <c r="P39" s="5" t="n">
        <v>4</v>
      </c>
      <c r="Q39" s="6" t="n">
        <v>1327.54</v>
      </c>
      <c r="R39" s="3" t="s">
        <v>50</v>
      </c>
      <c r="S39" s="7" t="n">
        <v>0.2</v>
      </c>
      <c r="T39" s="3" t="s">
        <v>51</v>
      </c>
      <c r="U39" s="7" t="n">
        <f aca="false">IF(T39="Valid",S39,0)</f>
        <v>0.2</v>
      </c>
      <c r="V39" s="6" t="n">
        <v>4248.13</v>
      </c>
      <c r="W39" s="6" t="n">
        <v>3321.09</v>
      </c>
      <c r="X39" s="6" t="n">
        <v>927.04</v>
      </c>
      <c r="Y39" s="6" t="n">
        <f aca="false">P39*Q39*(1-U39)</f>
        <v>4248.128</v>
      </c>
      <c r="Z39" s="6" t="n">
        <f aca="false">Y39-W39</f>
        <v>927.038</v>
      </c>
      <c r="AA39" s="8" t="n">
        <f aca="false">IF(Y39=0,0,Z39/Y39)</f>
        <v>0.218222708920258</v>
      </c>
      <c r="AB39" s="3" t="str">
        <f aca="false">IF(ABS(V39-Y39)&gt;1,"Mismatch","OK")</f>
        <v>OK</v>
      </c>
      <c r="AC39" s="3" t="str">
        <f aca="false">IF(ABS(X39-Z39)&gt;1,"Mismatch","OK")</f>
        <v>OK</v>
      </c>
      <c r="AD39" s="5" t="n">
        <f aca="false">IF(OR(B39="",C39=""),"",C39-B39)</f>
        <v>0</v>
      </c>
      <c r="AE39" s="3" t="str">
        <f aca="false">IF(AD39="","Unknown",IF(AD39&lt;0,"Invalid - Ship Before Order","OK"))</f>
        <v>OK</v>
      </c>
      <c r="AF39" s="5" t="n">
        <f aca="false">IF(B39="","",MONTH(B39))</f>
        <v>7</v>
      </c>
      <c r="AG39" s="5" t="n">
        <f aca="false">IF(B39="","",YEAR(B39))</f>
        <v>2025</v>
      </c>
      <c r="AH39" s="3" t="s">
        <v>52</v>
      </c>
      <c r="AI39" s="3" t="s">
        <v>53</v>
      </c>
      <c r="AJ39" s="3" t="str">
        <f aca="false">IF(AND(AI39="Completed",AH39="Failed"),"Inconsistent - Completed Order with Failed Payment","OK")</f>
        <v>OK</v>
      </c>
      <c r="AK39" s="3" t="s">
        <v>54</v>
      </c>
      <c r="AL39" s="3" t="str">
        <f aca="false">IF(OR(T39="Negative - Invalid",T39="Above Allowed Range - Invalid",AE39="Invalid - Ship Before Order",AK39&lt;&gt;"Unique",AB39="Mismatch",AC39="Mismatch",AJ39&lt;&gt;"OK"),"Invalid",IF(OR(H39="Yes",O39="Yes",T39="Missing"),"Warning","Clean"))</f>
        <v>Clean</v>
      </c>
    </row>
    <row r="40" customFormat="false" ht="15" hidden="false" customHeight="true" outlineLevel="0" collapsed="false">
      <c r="A40" s="3" t="s">
        <v>248</v>
      </c>
      <c r="B40" s="4" t="n">
        <v>45460</v>
      </c>
      <c r="C40" s="4" t="n">
        <v>45465</v>
      </c>
      <c r="D40" s="3" t="s">
        <v>249</v>
      </c>
      <c r="E40" s="3" t="s">
        <v>155</v>
      </c>
      <c r="F40" s="3" t="s">
        <v>116</v>
      </c>
      <c r="G40" s="3" t="s">
        <v>88</v>
      </c>
      <c r="H40" s="3" t="s">
        <v>43</v>
      </c>
      <c r="I40" s="3" t="s">
        <v>211</v>
      </c>
      <c r="J40" s="3" t="s">
        <v>212</v>
      </c>
      <c r="K40" s="3" t="s">
        <v>99</v>
      </c>
      <c r="L40" s="3" t="s">
        <v>201</v>
      </c>
      <c r="M40" s="3" t="s">
        <v>250</v>
      </c>
      <c r="N40" s="3" t="s">
        <v>72</v>
      </c>
      <c r="O40" s="3" t="s">
        <v>43</v>
      </c>
      <c r="P40" s="5" t="n">
        <v>7</v>
      </c>
      <c r="Q40" s="6" t="n">
        <v>2210.68</v>
      </c>
      <c r="R40" s="3" t="s">
        <v>203</v>
      </c>
      <c r="S40" s="7" t="n">
        <v>0.1</v>
      </c>
      <c r="T40" s="3" t="s">
        <v>51</v>
      </c>
      <c r="U40" s="7" t="n">
        <f aca="false">IF(T40="Valid",S40,0)</f>
        <v>0.1</v>
      </c>
      <c r="V40" s="6" t="n">
        <v>13927.28</v>
      </c>
      <c r="W40" s="6" t="n">
        <v>10504.87</v>
      </c>
      <c r="X40" s="6" t="n">
        <v>3422.41</v>
      </c>
      <c r="Y40" s="6" t="n">
        <f aca="false">P40*Q40*(1-U40)</f>
        <v>13927.284</v>
      </c>
      <c r="Z40" s="6" t="n">
        <f aca="false">Y40-W40</f>
        <v>3422.414</v>
      </c>
      <c r="AA40" s="8" t="n">
        <f aca="false">IF(Y40=0,0,Z40/Y40)</f>
        <v>0.245734487786707</v>
      </c>
      <c r="AB40" s="3" t="str">
        <f aca="false">IF(ABS(V40-Y40)&gt;1,"Mismatch","OK")</f>
        <v>OK</v>
      </c>
      <c r="AC40" s="3" t="str">
        <f aca="false">IF(ABS(X40-Z40)&gt;1,"Mismatch","OK")</f>
        <v>OK</v>
      </c>
      <c r="AD40" s="5" t="n">
        <f aca="false">IF(OR(B40="",C40=""),"",C40-B40)</f>
        <v>5</v>
      </c>
      <c r="AE40" s="3" t="str">
        <f aca="false">IF(AD40="","Unknown",IF(AD40&lt;0,"Invalid - Ship Before Order","OK"))</f>
        <v>OK</v>
      </c>
      <c r="AF40" s="5" t="n">
        <f aca="false">IF(B40="","",MONTH(B40))</f>
        <v>6</v>
      </c>
      <c r="AG40" s="5" t="n">
        <f aca="false">IF(B40="","",YEAR(B40))</f>
        <v>2024</v>
      </c>
      <c r="AH40" s="3" t="s">
        <v>52</v>
      </c>
      <c r="AI40" s="3" t="s">
        <v>53</v>
      </c>
      <c r="AJ40" s="3" t="str">
        <f aca="false">IF(AND(AI40="Completed",AH40="Failed"),"Inconsistent - Completed Order with Failed Payment","OK")</f>
        <v>OK</v>
      </c>
      <c r="AK40" s="3" t="s">
        <v>54</v>
      </c>
      <c r="AL40" s="3" t="str">
        <f aca="false">IF(OR(T40="Negative - Invalid",T40="Above Allowed Range - Invalid",AE40="Invalid - Ship Before Order",AK40&lt;&gt;"Unique",AB40="Mismatch",AC40="Mismatch",AJ40&lt;&gt;"OK"),"Invalid",IF(OR(H40="Yes",O40="Yes",T40="Missing"),"Warning","Clean"))</f>
        <v>Clean</v>
      </c>
    </row>
    <row r="41" customFormat="false" ht="15" hidden="false" customHeight="true" outlineLevel="0" collapsed="false">
      <c r="A41" s="3" t="s">
        <v>251</v>
      </c>
      <c r="B41" s="4" t="n">
        <v>45637</v>
      </c>
      <c r="C41" s="4" t="n">
        <v>45637</v>
      </c>
      <c r="D41" s="3" t="s">
        <v>252</v>
      </c>
      <c r="E41" s="3" t="s">
        <v>57</v>
      </c>
      <c r="F41" s="3" t="s">
        <v>58</v>
      </c>
      <c r="G41" s="3" t="s">
        <v>88</v>
      </c>
      <c r="H41" s="3" t="s">
        <v>43</v>
      </c>
      <c r="I41" s="3" t="s">
        <v>97</v>
      </c>
      <c r="J41" s="3" t="s">
        <v>98</v>
      </c>
      <c r="K41" s="3" t="s">
        <v>99</v>
      </c>
      <c r="L41" s="3" t="s">
        <v>105</v>
      </c>
      <c r="M41" s="3" t="s">
        <v>253</v>
      </c>
      <c r="N41" s="3" t="s">
        <v>72</v>
      </c>
      <c r="O41" s="3" t="s">
        <v>43</v>
      </c>
      <c r="P41" s="5" t="n">
        <v>4</v>
      </c>
      <c r="Q41" s="6" t="n">
        <v>1370.92</v>
      </c>
      <c r="R41" s="3" t="s">
        <v>203</v>
      </c>
      <c r="S41" s="7" t="n">
        <v>0.1</v>
      </c>
      <c r="T41" s="3" t="s">
        <v>51</v>
      </c>
      <c r="U41" s="7" t="n">
        <f aca="false">IF(T41="Valid",S41,0)</f>
        <v>0.1</v>
      </c>
      <c r="V41" s="6" t="n">
        <v>4935.31</v>
      </c>
      <c r="W41" s="6" t="n">
        <v>3374.77</v>
      </c>
      <c r="X41" s="6" t="n">
        <v>1560.54</v>
      </c>
      <c r="Y41" s="6" t="n">
        <f aca="false">P41*Q41*(1-U41)</f>
        <v>4935.312</v>
      </c>
      <c r="Z41" s="6" t="n">
        <f aca="false">Y41-W41</f>
        <v>1560.542</v>
      </c>
      <c r="AA41" s="8" t="n">
        <f aca="false">IF(Y41=0,0,Z41/Y41)</f>
        <v>0.316199259540228</v>
      </c>
      <c r="AB41" s="3" t="str">
        <f aca="false">IF(ABS(V41-Y41)&gt;1,"Mismatch","OK")</f>
        <v>OK</v>
      </c>
      <c r="AC41" s="3" t="str">
        <f aca="false">IF(ABS(X41-Z41)&gt;1,"Mismatch","OK")</f>
        <v>OK</v>
      </c>
      <c r="AD41" s="5" t="n">
        <f aca="false">IF(OR(B41="",C41=""),"",C41-B41)</f>
        <v>0</v>
      </c>
      <c r="AE41" s="3" t="str">
        <f aca="false">IF(AD41="","Unknown",IF(AD41&lt;0,"Invalid - Ship Before Order","OK"))</f>
        <v>OK</v>
      </c>
      <c r="AF41" s="5" t="n">
        <f aca="false">IF(B41="","",MONTH(B41))</f>
        <v>12</v>
      </c>
      <c r="AG41" s="5" t="n">
        <f aca="false">IF(B41="","",YEAR(B41))</f>
        <v>2024</v>
      </c>
      <c r="AH41" s="3" t="s">
        <v>138</v>
      </c>
      <c r="AI41" s="3" t="s">
        <v>130</v>
      </c>
      <c r="AJ41" s="3" t="str">
        <f aca="false">IF(AND(AI41="Completed",AH41="Failed"),"Inconsistent - Completed Order with Failed Payment","OK")</f>
        <v>OK</v>
      </c>
      <c r="AK41" s="3" t="s">
        <v>54</v>
      </c>
      <c r="AL41" s="3" t="str">
        <f aca="false">IF(OR(T41="Negative - Invalid",T41="Above Allowed Range - Invalid",AE41="Invalid - Ship Before Order",AK41&lt;&gt;"Unique",AB41="Mismatch",AC41="Mismatch",AJ41&lt;&gt;"OK"),"Invalid",IF(OR(H41="Yes",O41="Yes",T41="Missing"),"Warning","Clean"))</f>
        <v>Clean</v>
      </c>
    </row>
    <row r="42" customFormat="false" ht="15" hidden="false" customHeight="true" outlineLevel="0" collapsed="false">
      <c r="A42" s="3" t="s">
        <v>254</v>
      </c>
      <c r="B42" s="4" t="n">
        <v>45575</v>
      </c>
      <c r="C42" s="4" t="n">
        <v>45581</v>
      </c>
      <c r="D42" s="3" t="s">
        <v>255</v>
      </c>
      <c r="E42" s="3" t="s">
        <v>69</v>
      </c>
      <c r="F42" s="3" t="s">
        <v>121</v>
      </c>
      <c r="G42" s="3" t="s">
        <v>88</v>
      </c>
      <c r="H42" s="3" t="s">
        <v>43</v>
      </c>
      <c r="I42" s="3" t="s">
        <v>44</v>
      </c>
      <c r="J42" s="3" t="s">
        <v>136</v>
      </c>
      <c r="K42" s="3" t="s">
        <v>99</v>
      </c>
      <c r="L42" s="3" t="s">
        <v>105</v>
      </c>
      <c r="M42" s="3" t="s">
        <v>256</v>
      </c>
      <c r="N42" s="3" t="s">
        <v>83</v>
      </c>
      <c r="O42" s="3" t="s">
        <v>43</v>
      </c>
      <c r="P42" s="5" t="n">
        <v>7</v>
      </c>
      <c r="Q42" s="6" t="n">
        <v>2509.27</v>
      </c>
      <c r="R42" s="3" t="s">
        <v>50</v>
      </c>
      <c r="S42" s="7" t="n">
        <v>0.2</v>
      </c>
      <c r="T42" s="3" t="s">
        <v>51</v>
      </c>
      <c r="U42" s="7" t="n">
        <f aca="false">IF(T42="Valid",S42,0)</f>
        <v>0.2</v>
      </c>
      <c r="V42" s="6" t="n">
        <v>14051.91</v>
      </c>
      <c r="W42" s="6" t="n">
        <v>11990.37</v>
      </c>
      <c r="X42" s="6" t="n">
        <v>2061.54</v>
      </c>
      <c r="Y42" s="6" t="n">
        <f aca="false">P42*Q42*(1-U42)</f>
        <v>14051.912</v>
      </c>
      <c r="Z42" s="6" t="n">
        <f aca="false">Y42-W42</f>
        <v>2061.542</v>
      </c>
      <c r="AA42" s="8" t="n">
        <f aca="false">IF(Y42=0,0,Z42/Y42)</f>
        <v>0.146709003016814</v>
      </c>
      <c r="AB42" s="3" t="str">
        <f aca="false">IF(ABS(V42-Y42)&gt;1,"Mismatch","OK")</f>
        <v>OK</v>
      </c>
      <c r="AC42" s="3" t="str">
        <f aca="false">IF(ABS(X42-Z42)&gt;1,"Mismatch","OK")</f>
        <v>OK</v>
      </c>
      <c r="AD42" s="5" t="n">
        <f aca="false">IF(OR(B42="",C42=""),"",C42-B42)</f>
        <v>6</v>
      </c>
      <c r="AE42" s="3" t="str">
        <f aca="false">IF(AD42="","Unknown",IF(AD42&lt;0,"Invalid - Ship Before Order","OK"))</f>
        <v>OK</v>
      </c>
      <c r="AF42" s="5" t="n">
        <f aca="false">IF(B42="","",MONTH(B42))</f>
        <v>10</v>
      </c>
      <c r="AG42" s="5" t="n">
        <f aca="false">IF(B42="","",YEAR(B42))</f>
        <v>2024</v>
      </c>
      <c r="AH42" s="3" t="s">
        <v>52</v>
      </c>
      <c r="AI42" s="3" t="s">
        <v>53</v>
      </c>
      <c r="AJ42" s="3" t="str">
        <f aca="false">IF(AND(AI42="Completed",AH42="Failed"),"Inconsistent - Completed Order with Failed Payment","OK")</f>
        <v>OK</v>
      </c>
      <c r="AK42" s="3" t="s">
        <v>54</v>
      </c>
      <c r="AL42" s="3" t="str">
        <f aca="false">IF(OR(T42="Negative - Invalid",T42="Above Allowed Range - Invalid",AE42="Invalid - Ship Before Order",AK42&lt;&gt;"Unique",AB42="Mismatch",AC42="Mismatch",AJ42&lt;&gt;"OK"),"Invalid",IF(OR(H42="Yes",O42="Yes",T42="Missing"),"Warning","Clean"))</f>
        <v>Clean</v>
      </c>
    </row>
    <row r="43" customFormat="false" ht="15" hidden="false" customHeight="true" outlineLevel="0" collapsed="false">
      <c r="A43" s="3" t="s">
        <v>257</v>
      </c>
      <c r="B43" s="4" t="n">
        <v>45363</v>
      </c>
      <c r="C43" s="4" t="n">
        <v>45368</v>
      </c>
      <c r="D43" s="3" t="s">
        <v>258</v>
      </c>
      <c r="E43" s="3" t="s">
        <v>155</v>
      </c>
      <c r="F43" s="3" t="s">
        <v>58</v>
      </c>
      <c r="G43" s="3" t="s">
        <v>59</v>
      </c>
      <c r="H43" s="3" t="s">
        <v>43</v>
      </c>
      <c r="I43" s="3" t="s">
        <v>60</v>
      </c>
      <c r="J43" s="3" t="s">
        <v>61</v>
      </c>
      <c r="K43" s="3" t="s">
        <v>62</v>
      </c>
      <c r="L43" s="3" t="s">
        <v>188</v>
      </c>
      <c r="M43" s="3" t="s">
        <v>259</v>
      </c>
      <c r="N43" s="3" t="s">
        <v>65</v>
      </c>
      <c r="O43" s="3" t="s">
        <v>43</v>
      </c>
      <c r="P43" s="5" t="n">
        <v>8</v>
      </c>
      <c r="Q43" s="6" t="n">
        <v>855.81</v>
      </c>
      <c r="R43" s="3" t="s">
        <v>66</v>
      </c>
      <c r="S43" s="7" t="n">
        <v>0</v>
      </c>
      <c r="T43" s="3" t="s">
        <v>51</v>
      </c>
      <c r="U43" s="7" t="n">
        <f aca="false">IF(T43="Valid",S43,0)</f>
        <v>0</v>
      </c>
      <c r="V43" s="6" t="n">
        <v>6846.48</v>
      </c>
      <c r="W43" s="6" t="n">
        <v>4239.89</v>
      </c>
      <c r="X43" s="6" t="n">
        <v>2606.59</v>
      </c>
      <c r="Y43" s="6" t="n">
        <f aca="false">P43*Q43*(1-U43)</f>
        <v>6846.48</v>
      </c>
      <c r="Z43" s="6" t="n">
        <f aca="false">Y43-W43</f>
        <v>2606.59</v>
      </c>
      <c r="AA43" s="8" t="n">
        <f aca="false">IF(Y43=0,0,Z43/Y43)</f>
        <v>0.380719727509611</v>
      </c>
      <c r="AB43" s="3" t="str">
        <f aca="false">IF(ABS(V43-Y43)&gt;1,"Mismatch","OK")</f>
        <v>OK</v>
      </c>
      <c r="AC43" s="3" t="str">
        <f aca="false">IF(ABS(X43-Z43)&gt;1,"Mismatch","OK")</f>
        <v>OK</v>
      </c>
      <c r="AD43" s="5" t="n">
        <f aca="false">IF(OR(B43="",C43=""),"",C43-B43)</f>
        <v>5</v>
      </c>
      <c r="AE43" s="3" t="str">
        <f aca="false">IF(AD43="","Unknown",IF(AD43&lt;0,"Invalid - Ship Before Order","OK"))</f>
        <v>OK</v>
      </c>
      <c r="AF43" s="5" t="n">
        <f aca="false">IF(B43="","",MONTH(B43))</f>
        <v>3</v>
      </c>
      <c r="AG43" s="5" t="n">
        <f aca="false">IF(B43="","",YEAR(B43))</f>
        <v>2024</v>
      </c>
      <c r="AH43" s="3" t="s">
        <v>138</v>
      </c>
      <c r="AI43" s="3" t="s">
        <v>93</v>
      </c>
      <c r="AJ43" s="3" t="str">
        <f aca="false">IF(AND(AI43="Completed",AH43="Failed"),"Inconsistent - Completed Order with Failed Payment","OK")</f>
        <v>OK</v>
      </c>
      <c r="AK43" s="3" t="s">
        <v>54</v>
      </c>
      <c r="AL43" s="3" t="str">
        <f aca="false">IF(OR(T43="Negative - Invalid",T43="Above Allowed Range - Invalid",AE43="Invalid - Ship Before Order",AK43&lt;&gt;"Unique",AB43="Mismatch",AC43="Mismatch",AJ43&lt;&gt;"OK"),"Invalid",IF(OR(H43="Yes",O43="Yes",T43="Missing"),"Warning","Clean"))</f>
        <v>Clean</v>
      </c>
    </row>
    <row r="44" customFormat="false" ht="15" hidden="false" customHeight="true" outlineLevel="0" collapsed="false">
      <c r="A44" s="3" t="s">
        <v>260</v>
      </c>
      <c r="B44" s="4" t="n">
        <v>45940</v>
      </c>
      <c r="C44" s="4" t="n">
        <v>45945</v>
      </c>
      <c r="D44" s="3" t="s">
        <v>261</v>
      </c>
      <c r="E44" s="3" t="s">
        <v>77</v>
      </c>
      <c r="F44" s="3" t="s">
        <v>116</v>
      </c>
      <c r="G44" s="3" t="s">
        <v>59</v>
      </c>
      <c r="H44" s="3" t="s">
        <v>43</v>
      </c>
      <c r="I44" s="3" t="s">
        <v>262</v>
      </c>
      <c r="J44" s="3" t="s">
        <v>263</v>
      </c>
      <c r="K44" s="3" t="s">
        <v>99</v>
      </c>
      <c r="L44" s="3" t="s">
        <v>201</v>
      </c>
      <c r="M44" s="3" t="s">
        <v>264</v>
      </c>
      <c r="N44" s="3" t="s">
        <v>83</v>
      </c>
      <c r="O44" s="3" t="s">
        <v>43</v>
      </c>
      <c r="P44" s="5" t="n">
        <v>8</v>
      </c>
      <c r="Q44" s="6" t="n">
        <v>979.87</v>
      </c>
      <c r="R44" s="3" t="s">
        <v>128</v>
      </c>
      <c r="S44" s="7" t="n">
        <v>0.05</v>
      </c>
      <c r="T44" s="3" t="s">
        <v>51</v>
      </c>
      <c r="U44" s="7" t="n">
        <f aca="false">IF(T44="Valid",S44,0)</f>
        <v>0.05</v>
      </c>
      <c r="V44" s="6" t="n">
        <v>7447.01</v>
      </c>
      <c r="W44" s="6" t="n">
        <v>4496.22</v>
      </c>
      <c r="X44" s="6" t="n">
        <v>2950.79</v>
      </c>
      <c r="Y44" s="6" t="n">
        <f aca="false">P44*Q44*(1-U44)</f>
        <v>7447.012</v>
      </c>
      <c r="Z44" s="6" t="n">
        <f aca="false">Y44-W44</f>
        <v>2950.792</v>
      </c>
      <c r="AA44" s="8" t="n">
        <f aca="false">IF(Y44=0,0,Z44/Y44)</f>
        <v>0.396238383931703</v>
      </c>
      <c r="AB44" s="3" t="str">
        <f aca="false">IF(ABS(V44-Y44)&gt;1,"Mismatch","OK")</f>
        <v>OK</v>
      </c>
      <c r="AC44" s="3" t="str">
        <f aca="false">IF(ABS(X44-Z44)&gt;1,"Mismatch","OK")</f>
        <v>OK</v>
      </c>
      <c r="AD44" s="5" t="n">
        <f aca="false">IF(OR(B44="",C44=""),"",C44-B44)</f>
        <v>5</v>
      </c>
      <c r="AE44" s="3" t="str">
        <f aca="false">IF(AD44="","Unknown",IF(AD44&lt;0,"Invalid - Ship Before Order","OK"))</f>
        <v>OK</v>
      </c>
      <c r="AF44" s="5" t="n">
        <f aca="false">IF(B44="","",MONTH(B44))</f>
        <v>10</v>
      </c>
      <c r="AG44" s="5" t="n">
        <f aca="false">IF(B44="","",YEAR(B44))</f>
        <v>2025</v>
      </c>
      <c r="AH44" s="3" t="s">
        <v>52</v>
      </c>
      <c r="AI44" s="3" t="s">
        <v>53</v>
      </c>
      <c r="AJ44" s="3" t="str">
        <f aca="false">IF(AND(AI44="Completed",AH44="Failed"),"Inconsistent - Completed Order with Failed Payment","OK")</f>
        <v>OK</v>
      </c>
      <c r="AK44" s="3" t="s">
        <v>54</v>
      </c>
      <c r="AL44" s="3" t="str">
        <f aca="false">IF(OR(T44="Negative - Invalid",T44="Above Allowed Range - Invalid",AE44="Invalid - Ship Before Order",AK44&lt;&gt;"Unique",AB44="Mismatch",AC44="Mismatch",AJ44&lt;&gt;"OK"),"Invalid",IF(OR(H44="Yes",O44="Yes",T44="Missing"),"Warning","Clean"))</f>
        <v>Clean</v>
      </c>
    </row>
    <row r="45" customFormat="false" ht="15" hidden="false" customHeight="true" outlineLevel="0" collapsed="false">
      <c r="A45" s="3" t="s">
        <v>265</v>
      </c>
      <c r="B45" s="4" t="n">
        <v>45481</v>
      </c>
      <c r="C45" s="4" t="n">
        <v>45487</v>
      </c>
      <c r="D45" s="3" t="s">
        <v>266</v>
      </c>
      <c r="E45" s="3" t="s">
        <v>141</v>
      </c>
      <c r="F45" s="3" t="s">
        <v>58</v>
      </c>
      <c r="G45" s="3" t="s">
        <v>59</v>
      </c>
      <c r="H45" s="3" t="s">
        <v>43</v>
      </c>
      <c r="I45" s="3" t="s">
        <v>60</v>
      </c>
      <c r="J45" s="3" t="s">
        <v>61</v>
      </c>
      <c r="K45" s="3" t="s">
        <v>62</v>
      </c>
      <c r="L45" s="3" t="s">
        <v>81</v>
      </c>
      <c r="M45" s="3" t="s">
        <v>267</v>
      </c>
      <c r="N45" s="3" t="s">
        <v>65</v>
      </c>
      <c r="O45" s="3" t="s">
        <v>43</v>
      </c>
      <c r="P45" s="5" t="n">
        <v>3</v>
      </c>
      <c r="Q45" s="6" t="n">
        <v>1010.23</v>
      </c>
      <c r="R45" s="3" t="s">
        <v>66</v>
      </c>
      <c r="S45" s="7" t="n">
        <v>0</v>
      </c>
      <c r="T45" s="3" t="s">
        <v>51</v>
      </c>
      <c r="U45" s="7" t="n">
        <f aca="false">IF(T45="Valid",S45,0)</f>
        <v>0</v>
      </c>
      <c r="V45" s="6" t="n">
        <v>3030.69</v>
      </c>
      <c r="W45" s="6" t="n">
        <v>1721.08</v>
      </c>
      <c r="X45" s="6" t="n">
        <v>1309.61</v>
      </c>
      <c r="Y45" s="6" t="n">
        <f aca="false">P45*Q45*(1-U45)</f>
        <v>3030.69</v>
      </c>
      <c r="Z45" s="6" t="n">
        <f aca="false">Y45-W45</f>
        <v>1309.61</v>
      </c>
      <c r="AA45" s="8" t="n">
        <f aca="false">IF(Y45=0,0,Z45/Y45)</f>
        <v>0.432116118771633</v>
      </c>
      <c r="AB45" s="3" t="str">
        <f aca="false">IF(ABS(V45-Y45)&gt;1,"Mismatch","OK")</f>
        <v>OK</v>
      </c>
      <c r="AC45" s="3" t="str">
        <f aca="false">IF(ABS(X45-Z45)&gt;1,"Mismatch","OK")</f>
        <v>OK</v>
      </c>
      <c r="AD45" s="5" t="n">
        <f aca="false">IF(OR(B45="",C45=""),"",C45-B45)</f>
        <v>6</v>
      </c>
      <c r="AE45" s="3" t="str">
        <f aca="false">IF(AD45="","Unknown",IF(AD45&lt;0,"Invalid - Ship Before Order","OK"))</f>
        <v>OK</v>
      </c>
      <c r="AF45" s="5" t="n">
        <f aca="false">IF(B45="","",MONTH(B45))</f>
        <v>7</v>
      </c>
      <c r="AG45" s="5" t="n">
        <f aca="false">IF(B45="","",YEAR(B45))</f>
        <v>2024</v>
      </c>
      <c r="AH45" s="3" t="s">
        <v>52</v>
      </c>
      <c r="AI45" s="3" t="s">
        <v>53</v>
      </c>
      <c r="AJ45" s="3" t="str">
        <f aca="false">IF(AND(AI45="Completed",AH45="Failed"),"Inconsistent - Completed Order with Failed Payment","OK")</f>
        <v>OK</v>
      </c>
      <c r="AK45" s="3" t="s">
        <v>54</v>
      </c>
      <c r="AL45" s="3" t="str">
        <f aca="false">IF(OR(T45="Negative - Invalid",T45="Above Allowed Range - Invalid",AE45="Invalid - Ship Before Order",AK45&lt;&gt;"Unique",AB45="Mismatch",AC45="Mismatch",AJ45&lt;&gt;"OK"),"Invalid",IF(OR(H45="Yes",O45="Yes",T45="Missing"),"Warning","Clean"))</f>
        <v>Clean</v>
      </c>
    </row>
    <row r="46" customFormat="false" ht="15" hidden="false" customHeight="true" outlineLevel="0" collapsed="false">
      <c r="A46" s="3" t="s">
        <v>268</v>
      </c>
      <c r="B46" s="4" t="n">
        <v>45465</v>
      </c>
      <c r="C46" s="4" t="n">
        <v>45468</v>
      </c>
      <c r="D46" s="3" t="s">
        <v>269</v>
      </c>
      <c r="E46" s="3" t="s">
        <v>168</v>
      </c>
      <c r="F46" s="3" t="s">
        <v>58</v>
      </c>
      <c r="G46" s="3" t="s">
        <v>42</v>
      </c>
      <c r="H46" s="3" t="s">
        <v>43</v>
      </c>
      <c r="I46" s="3" t="s">
        <v>270</v>
      </c>
      <c r="J46" s="3" t="s">
        <v>271</v>
      </c>
      <c r="K46" s="3" t="s">
        <v>62</v>
      </c>
      <c r="L46" s="3" t="s">
        <v>91</v>
      </c>
      <c r="M46" s="3" t="s">
        <v>272</v>
      </c>
      <c r="N46" s="3" t="s">
        <v>83</v>
      </c>
      <c r="O46" s="3" t="s">
        <v>43</v>
      </c>
      <c r="P46" s="5" t="n">
        <v>9</v>
      </c>
      <c r="Q46" s="6" t="n">
        <v>3329.77</v>
      </c>
      <c r="R46" s="3" t="s">
        <v>203</v>
      </c>
      <c r="S46" s="7" t="n">
        <v>0.1</v>
      </c>
      <c r="T46" s="3" t="s">
        <v>51</v>
      </c>
      <c r="U46" s="7" t="n">
        <f aca="false">IF(T46="Valid",S46,0)</f>
        <v>0.1</v>
      </c>
      <c r="V46" s="6" t="n">
        <v>26971.14</v>
      </c>
      <c r="W46" s="6" t="n">
        <v>17376.2</v>
      </c>
      <c r="X46" s="6" t="n">
        <v>9594.94</v>
      </c>
      <c r="Y46" s="6" t="n">
        <f aca="false">P46*Q46*(1-U46)</f>
        <v>26971.137</v>
      </c>
      <c r="Z46" s="6" t="n">
        <f aca="false">Y46-W46</f>
        <v>9594.937</v>
      </c>
      <c r="AA46" s="8" t="n">
        <f aca="false">IF(Y46=0,0,Z46/Y46)</f>
        <v>0.355748332003949</v>
      </c>
      <c r="AB46" s="3" t="str">
        <f aca="false">IF(ABS(V46-Y46)&gt;1,"Mismatch","OK")</f>
        <v>OK</v>
      </c>
      <c r="AC46" s="3" t="str">
        <f aca="false">IF(ABS(X46-Z46)&gt;1,"Mismatch","OK")</f>
        <v>OK</v>
      </c>
      <c r="AD46" s="5" t="n">
        <f aca="false">IF(OR(B46="",C46=""),"",C46-B46)</f>
        <v>3</v>
      </c>
      <c r="AE46" s="3" t="str">
        <f aca="false">IF(AD46="","Unknown",IF(AD46&lt;0,"Invalid - Ship Before Order","OK"))</f>
        <v>OK</v>
      </c>
      <c r="AF46" s="5" t="n">
        <f aca="false">IF(B46="","",MONTH(B46))</f>
        <v>6</v>
      </c>
      <c r="AG46" s="5" t="n">
        <f aca="false">IF(B46="","",YEAR(B46))</f>
        <v>2024</v>
      </c>
      <c r="AH46" s="3" t="s">
        <v>52</v>
      </c>
      <c r="AI46" s="3" t="s">
        <v>53</v>
      </c>
      <c r="AJ46" s="3" t="str">
        <f aca="false">IF(AND(AI46="Completed",AH46="Failed"),"Inconsistent - Completed Order with Failed Payment","OK")</f>
        <v>OK</v>
      </c>
      <c r="AK46" s="3" t="s">
        <v>54</v>
      </c>
      <c r="AL46" s="3" t="str">
        <f aca="false">IF(OR(T46="Negative - Invalid",T46="Above Allowed Range - Invalid",AE46="Invalid - Ship Before Order",AK46&lt;&gt;"Unique",AB46="Mismatch",AC46="Mismatch",AJ46&lt;&gt;"OK"),"Invalid",IF(OR(H46="Yes",O46="Yes",T46="Missing"),"Warning","Clean"))</f>
        <v>Clean</v>
      </c>
    </row>
    <row r="47" customFormat="false" ht="15" hidden="false" customHeight="true" outlineLevel="0" collapsed="false">
      <c r="A47" s="3" t="s">
        <v>273</v>
      </c>
      <c r="B47" s="4" t="n">
        <v>45309</v>
      </c>
      <c r="C47" s="4" t="n">
        <v>45315</v>
      </c>
      <c r="D47" s="3" t="s">
        <v>274</v>
      </c>
      <c r="E47" s="3" t="s">
        <v>69</v>
      </c>
      <c r="F47" s="3" t="s">
        <v>121</v>
      </c>
      <c r="G47" s="3" t="s">
        <v>59</v>
      </c>
      <c r="H47" s="3" t="s">
        <v>43</v>
      </c>
      <c r="I47" s="3" t="s">
        <v>174</v>
      </c>
      <c r="J47" s="3" t="s">
        <v>175</v>
      </c>
      <c r="K47" s="3" t="s">
        <v>46</v>
      </c>
      <c r="L47" s="3" t="s">
        <v>70</v>
      </c>
      <c r="M47" s="3" t="s">
        <v>275</v>
      </c>
      <c r="N47" s="3" t="s">
        <v>49</v>
      </c>
      <c r="O47" s="3" t="s">
        <v>43</v>
      </c>
      <c r="P47" s="5" t="n">
        <v>8</v>
      </c>
      <c r="Q47" s="6" t="n">
        <v>3927.82</v>
      </c>
      <c r="R47" s="3" t="s">
        <v>128</v>
      </c>
      <c r="S47" s="7" t="n">
        <v>0.05</v>
      </c>
      <c r="T47" s="3" t="s">
        <v>51</v>
      </c>
      <c r="U47" s="7" t="n">
        <f aca="false">IF(T47="Valid",S47,0)</f>
        <v>0.05</v>
      </c>
      <c r="V47" s="6" t="n">
        <v>29851.43</v>
      </c>
      <c r="W47" s="6" t="n">
        <v>17487.48</v>
      </c>
      <c r="X47" s="6" t="n">
        <v>12363.95</v>
      </c>
      <c r="Y47" s="6" t="n">
        <f aca="false">P47*Q47*(1-U47)</f>
        <v>29851.432</v>
      </c>
      <c r="Z47" s="6" t="n">
        <f aca="false">Y47-W47</f>
        <v>12363.952</v>
      </c>
      <c r="AA47" s="8" t="n">
        <f aca="false">IF(Y47=0,0,Z47/Y47)</f>
        <v>0.414182877390941</v>
      </c>
      <c r="AB47" s="3" t="str">
        <f aca="false">IF(ABS(V47-Y47)&gt;1,"Mismatch","OK")</f>
        <v>OK</v>
      </c>
      <c r="AC47" s="3" t="str">
        <f aca="false">IF(ABS(X47-Z47)&gt;1,"Mismatch","OK")</f>
        <v>OK</v>
      </c>
      <c r="AD47" s="5" t="n">
        <f aca="false">IF(OR(B47="",C47=""),"",C47-B47)</f>
        <v>6</v>
      </c>
      <c r="AE47" s="3" t="str">
        <f aca="false">IF(AD47="","Unknown",IF(AD47&lt;0,"Invalid - Ship Before Order","OK"))</f>
        <v>OK</v>
      </c>
      <c r="AF47" s="5" t="n">
        <f aca="false">IF(B47="","",MONTH(B47))</f>
        <v>1</v>
      </c>
      <c r="AG47" s="5" t="n">
        <f aca="false">IF(B47="","",YEAR(B47))</f>
        <v>2024</v>
      </c>
      <c r="AH47" s="3" t="s">
        <v>138</v>
      </c>
      <c r="AI47" s="3" t="s">
        <v>130</v>
      </c>
      <c r="AJ47" s="3" t="str">
        <f aca="false">IF(AND(AI47="Completed",AH47="Failed"),"Inconsistent - Completed Order with Failed Payment","OK")</f>
        <v>OK</v>
      </c>
      <c r="AK47" s="3" t="s">
        <v>54</v>
      </c>
      <c r="AL47" s="3" t="str">
        <f aca="false">IF(OR(T47="Negative - Invalid",T47="Above Allowed Range - Invalid",AE47="Invalid - Ship Before Order",AK47&lt;&gt;"Unique",AB47="Mismatch",AC47="Mismatch",AJ47&lt;&gt;"OK"),"Invalid",IF(OR(H47="Yes",O47="Yes",T47="Missing"),"Warning","Clean"))</f>
        <v>Clean</v>
      </c>
    </row>
    <row r="48" customFormat="false" ht="15" hidden="false" customHeight="true" outlineLevel="0" collapsed="false">
      <c r="A48" s="3" t="s">
        <v>276</v>
      </c>
      <c r="B48" s="4" t="n">
        <v>45492</v>
      </c>
      <c r="C48" s="4" t="n">
        <v>45492</v>
      </c>
      <c r="D48" s="3" t="s">
        <v>277</v>
      </c>
      <c r="E48" s="3" t="s">
        <v>87</v>
      </c>
      <c r="F48" s="3" t="s">
        <v>58</v>
      </c>
      <c r="G48" s="3" t="s">
        <v>78</v>
      </c>
      <c r="H48" s="3" t="s">
        <v>43</v>
      </c>
      <c r="I48" s="3" t="s">
        <v>216</v>
      </c>
      <c r="J48" s="3" t="s">
        <v>217</v>
      </c>
      <c r="K48" s="3" t="s">
        <v>62</v>
      </c>
      <c r="L48" s="3" t="s">
        <v>188</v>
      </c>
      <c r="M48" s="3" t="s">
        <v>278</v>
      </c>
      <c r="N48" s="3" t="s">
        <v>83</v>
      </c>
      <c r="O48" s="3" t="s">
        <v>43</v>
      </c>
      <c r="P48" s="5" t="n">
        <v>9</v>
      </c>
      <c r="Q48" s="6" t="n">
        <v>2386.79</v>
      </c>
      <c r="R48" s="3" t="s">
        <v>84</v>
      </c>
      <c r="S48" s="7" t="n">
        <v>0.25</v>
      </c>
      <c r="T48" s="3" t="s">
        <v>51</v>
      </c>
      <c r="U48" s="7" t="n">
        <f aca="false">IF(T48="Valid",S48,0)</f>
        <v>0.25</v>
      </c>
      <c r="V48" s="6" t="n">
        <v>16110.83</v>
      </c>
      <c r="W48" s="6" t="n">
        <v>10680.03</v>
      </c>
      <c r="X48" s="6" t="n">
        <v>5430.8</v>
      </c>
      <c r="Y48" s="6" t="n">
        <f aca="false">P48*Q48*(1-U48)</f>
        <v>16110.8325</v>
      </c>
      <c r="Z48" s="6" t="n">
        <f aca="false">Y48-W48</f>
        <v>5430.8025</v>
      </c>
      <c r="AA48" s="8" t="n">
        <f aca="false">IF(Y48=0,0,Z48/Y48)</f>
        <v>0.337090122437807</v>
      </c>
      <c r="AB48" s="3" t="str">
        <f aca="false">IF(ABS(V48-Y48)&gt;1,"Mismatch","OK")</f>
        <v>OK</v>
      </c>
      <c r="AC48" s="3" t="str">
        <f aca="false">IF(ABS(X48-Z48)&gt;1,"Mismatch","OK")</f>
        <v>OK</v>
      </c>
      <c r="AD48" s="5" t="n">
        <f aca="false">IF(OR(B48="",C48=""),"",C48-B48)</f>
        <v>0</v>
      </c>
      <c r="AE48" s="3" t="str">
        <f aca="false">IF(AD48="","Unknown",IF(AD48&lt;0,"Invalid - Ship Before Order","OK"))</f>
        <v>OK</v>
      </c>
      <c r="AF48" s="5" t="n">
        <f aca="false">IF(B48="","",MONTH(B48))</f>
        <v>7</v>
      </c>
      <c r="AG48" s="5" t="n">
        <f aca="false">IF(B48="","",YEAR(B48))</f>
        <v>2024</v>
      </c>
      <c r="AH48" s="3" t="s">
        <v>129</v>
      </c>
      <c r="AI48" s="3" t="s">
        <v>130</v>
      </c>
      <c r="AJ48" s="3" t="str">
        <f aca="false">IF(AND(AI48="Completed",AH48="Failed"),"Inconsistent - Completed Order with Failed Payment","OK")</f>
        <v>OK</v>
      </c>
      <c r="AK48" s="3" t="s">
        <v>54</v>
      </c>
      <c r="AL48" s="3" t="str">
        <f aca="false">IF(OR(T48="Negative - Invalid",T48="Above Allowed Range - Invalid",AE48="Invalid - Ship Before Order",AK48&lt;&gt;"Unique",AB48="Mismatch",AC48="Mismatch",AJ48&lt;&gt;"OK"),"Invalid",IF(OR(H48="Yes",O48="Yes",T48="Missing"),"Warning","Clean"))</f>
        <v>Clean</v>
      </c>
    </row>
    <row r="49" customFormat="false" ht="15" hidden="false" customHeight="true" outlineLevel="0" collapsed="false">
      <c r="A49" s="3" t="s">
        <v>279</v>
      </c>
      <c r="B49" s="4" t="n">
        <v>45516</v>
      </c>
      <c r="C49" s="4" t="n">
        <v>45516</v>
      </c>
      <c r="D49" s="3" t="s">
        <v>280</v>
      </c>
      <c r="E49" s="3" t="s">
        <v>145</v>
      </c>
      <c r="F49" s="3" t="s">
        <v>116</v>
      </c>
      <c r="G49" s="3" t="s">
        <v>78</v>
      </c>
      <c r="H49" s="3" t="s">
        <v>43</v>
      </c>
      <c r="I49" s="3" t="s">
        <v>281</v>
      </c>
      <c r="J49" s="3" t="s">
        <v>282</v>
      </c>
      <c r="K49" s="3" t="s">
        <v>46</v>
      </c>
      <c r="L49" s="3" t="s">
        <v>151</v>
      </c>
      <c r="M49" s="3" t="s">
        <v>283</v>
      </c>
      <c r="N49" s="3" t="s">
        <v>83</v>
      </c>
      <c r="O49" s="3" t="s">
        <v>43</v>
      </c>
      <c r="P49" s="5" t="n">
        <v>8</v>
      </c>
      <c r="Q49" s="6" t="n">
        <v>2445.31</v>
      </c>
      <c r="R49" s="3" t="s">
        <v>203</v>
      </c>
      <c r="S49" s="7" t="n">
        <v>0.1</v>
      </c>
      <c r="T49" s="3" t="s">
        <v>51</v>
      </c>
      <c r="U49" s="7" t="n">
        <f aca="false">IF(T49="Valid",S49,0)</f>
        <v>0.1</v>
      </c>
      <c r="V49" s="6" t="n">
        <v>17606.23</v>
      </c>
      <c r="W49" s="6" t="n">
        <v>12438.96</v>
      </c>
      <c r="X49" s="6" t="n">
        <v>5167.27</v>
      </c>
      <c r="Y49" s="6" t="n">
        <f aca="false">P49*Q49*(1-U49)</f>
        <v>17606.232</v>
      </c>
      <c r="Z49" s="6" t="n">
        <f aca="false">Y49-W49</f>
        <v>5167.272</v>
      </c>
      <c r="AA49" s="8" t="n">
        <f aca="false">IF(Y49=0,0,Z49/Y49)</f>
        <v>0.293491077477566</v>
      </c>
      <c r="AB49" s="3" t="str">
        <f aca="false">IF(ABS(V49-Y49)&gt;1,"Mismatch","OK")</f>
        <v>OK</v>
      </c>
      <c r="AC49" s="3" t="str">
        <f aca="false">IF(ABS(X49-Z49)&gt;1,"Mismatch","OK")</f>
        <v>OK</v>
      </c>
      <c r="AD49" s="5" t="n">
        <f aca="false">IF(OR(B49="",C49=""),"",C49-B49)</f>
        <v>0</v>
      </c>
      <c r="AE49" s="3" t="str">
        <f aca="false">IF(AD49="","Unknown",IF(AD49&lt;0,"Invalid - Ship Before Order","OK"))</f>
        <v>OK</v>
      </c>
      <c r="AF49" s="5" t="n">
        <f aca="false">IF(B49="","",MONTH(B49))</f>
        <v>8</v>
      </c>
      <c r="AG49" s="5" t="n">
        <f aca="false">IF(B49="","",YEAR(B49))</f>
        <v>2024</v>
      </c>
      <c r="AH49" s="3" t="s">
        <v>52</v>
      </c>
      <c r="AI49" s="3" t="s">
        <v>53</v>
      </c>
      <c r="AJ49" s="3" t="str">
        <f aca="false">IF(AND(AI49="Completed",AH49="Failed"),"Inconsistent - Completed Order with Failed Payment","OK")</f>
        <v>OK</v>
      </c>
      <c r="AK49" s="3" t="s">
        <v>54</v>
      </c>
      <c r="AL49" s="3" t="str">
        <f aca="false">IF(OR(T49="Negative - Invalid",T49="Above Allowed Range - Invalid",AE49="Invalid - Ship Before Order",AK49&lt;&gt;"Unique",AB49="Mismatch",AC49="Mismatch",AJ49&lt;&gt;"OK"),"Invalid",IF(OR(H49="Yes",O49="Yes",T49="Missing"),"Warning","Clean"))</f>
        <v>Clean</v>
      </c>
    </row>
    <row r="50" customFormat="false" ht="15" hidden="false" customHeight="true" outlineLevel="0" collapsed="false">
      <c r="A50" s="3" t="s">
        <v>284</v>
      </c>
      <c r="B50" s="4" t="n">
        <v>45687</v>
      </c>
      <c r="C50" s="4" t="n">
        <v>45693</v>
      </c>
      <c r="D50" s="3" t="s">
        <v>285</v>
      </c>
      <c r="E50" s="3" t="s">
        <v>104</v>
      </c>
      <c r="F50" s="3" t="s">
        <v>116</v>
      </c>
      <c r="G50" s="3" t="s">
        <v>88</v>
      </c>
      <c r="H50" s="3" t="s">
        <v>43</v>
      </c>
      <c r="I50" s="3" t="s">
        <v>89</v>
      </c>
      <c r="J50" s="3" t="s">
        <v>90</v>
      </c>
      <c r="K50" s="3" t="s">
        <v>62</v>
      </c>
      <c r="L50" s="3" t="s">
        <v>91</v>
      </c>
      <c r="M50" s="3" t="s">
        <v>286</v>
      </c>
      <c r="N50" s="3" t="s">
        <v>49</v>
      </c>
      <c r="O50" s="3" t="s">
        <v>43</v>
      </c>
      <c r="P50" s="5" t="n">
        <v>7</v>
      </c>
      <c r="Q50" s="6" t="n">
        <v>4063.66</v>
      </c>
      <c r="R50" s="3" t="s">
        <v>66</v>
      </c>
      <c r="S50" s="7" t="n">
        <v>0</v>
      </c>
      <c r="T50" s="3" t="s">
        <v>51</v>
      </c>
      <c r="U50" s="7" t="n">
        <f aca="false">IF(T50="Valid",S50,0)</f>
        <v>0</v>
      </c>
      <c r="V50" s="6" t="n">
        <v>28445.62</v>
      </c>
      <c r="W50" s="6" t="n">
        <v>20938.59</v>
      </c>
      <c r="X50" s="6" t="n">
        <v>7507.03</v>
      </c>
      <c r="Y50" s="6" t="n">
        <f aca="false">P50*Q50*(1-U50)</f>
        <v>28445.62</v>
      </c>
      <c r="Z50" s="6" t="n">
        <f aca="false">Y50-W50</f>
        <v>7507.03</v>
      </c>
      <c r="AA50" s="8" t="n">
        <f aca="false">IF(Y50=0,0,Z50/Y50)</f>
        <v>0.263908116609868</v>
      </c>
      <c r="AB50" s="3" t="str">
        <f aca="false">IF(ABS(V50-Y50)&gt;1,"Mismatch","OK")</f>
        <v>OK</v>
      </c>
      <c r="AC50" s="3" t="str">
        <f aca="false">IF(ABS(X50-Z50)&gt;1,"Mismatch","OK")</f>
        <v>OK</v>
      </c>
      <c r="AD50" s="5" t="n">
        <f aca="false">IF(OR(B50="",C50=""),"",C50-B50)</f>
        <v>6</v>
      </c>
      <c r="AE50" s="3" t="str">
        <f aca="false">IF(AD50="","Unknown",IF(AD50&lt;0,"Invalid - Ship Before Order","OK"))</f>
        <v>OK</v>
      </c>
      <c r="AF50" s="5" t="n">
        <f aca="false">IF(B50="","",MONTH(B50))</f>
        <v>1</v>
      </c>
      <c r="AG50" s="5" t="n">
        <f aca="false">IF(B50="","",YEAR(B50))</f>
        <v>2025</v>
      </c>
      <c r="AH50" s="3" t="s">
        <v>52</v>
      </c>
      <c r="AI50" s="3" t="s">
        <v>53</v>
      </c>
      <c r="AJ50" s="3" t="str">
        <f aca="false">IF(AND(AI50="Completed",AH50="Failed"),"Inconsistent - Completed Order with Failed Payment","OK")</f>
        <v>OK</v>
      </c>
      <c r="AK50" s="3" t="s">
        <v>54</v>
      </c>
      <c r="AL50" s="3" t="str">
        <f aca="false">IF(OR(T50="Negative - Invalid",T50="Above Allowed Range - Invalid",AE50="Invalid - Ship Before Order",AK50&lt;&gt;"Unique",AB50="Mismatch",AC50="Mismatch",AJ50&lt;&gt;"OK"),"Invalid",IF(OR(H50="Yes",O50="Yes",T50="Missing"),"Warning","Clean"))</f>
        <v>Clean</v>
      </c>
    </row>
    <row r="51" customFormat="false" ht="15" hidden="false" customHeight="true" outlineLevel="0" collapsed="false">
      <c r="A51" s="3" t="s">
        <v>287</v>
      </c>
      <c r="B51" s="4" t="n">
        <v>45388</v>
      </c>
      <c r="C51" s="4" t="n">
        <v>45395</v>
      </c>
      <c r="D51" s="3" t="s">
        <v>288</v>
      </c>
      <c r="E51" s="3" t="s">
        <v>155</v>
      </c>
      <c r="F51" s="3" t="s">
        <v>121</v>
      </c>
      <c r="G51" s="3" t="s">
        <v>42</v>
      </c>
      <c r="H51" s="3" t="s">
        <v>43</v>
      </c>
      <c r="I51" s="3" t="s">
        <v>163</v>
      </c>
      <c r="J51" s="3" t="s">
        <v>164</v>
      </c>
      <c r="K51" s="3" t="s">
        <v>99</v>
      </c>
      <c r="L51" s="3" t="s">
        <v>105</v>
      </c>
      <c r="M51" s="3" t="s">
        <v>289</v>
      </c>
      <c r="N51" s="3" t="s">
        <v>49</v>
      </c>
      <c r="O51" s="3" t="s">
        <v>43</v>
      </c>
      <c r="P51" s="5" t="n">
        <v>9</v>
      </c>
      <c r="Q51" s="6" t="n">
        <v>792.11</v>
      </c>
      <c r="R51" s="3" t="s">
        <v>128</v>
      </c>
      <c r="S51" s="7" t="n">
        <v>0.05</v>
      </c>
      <c r="T51" s="3" t="s">
        <v>51</v>
      </c>
      <c r="U51" s="7" t="n">
        <f aca="false">IF(T51="Valid",S51,0)</f>
        <v>0.05</v>
      </c>
      <c r="V51" s="6" t="n">
        <v>6772.54</v>
      </c>
      <c r="W51" s="6" t="n">
        <v>5755.46</v>
      </c>
      <c r="X51" s="6" t="n">
        <v>1017.08</v>
      </c>
      <c r="Y51" s="6" t="n">
        <f aca="false">P51*Q51*(1-U51)</f>
        <v>6772.5405</v>
      </c>
      <c r="Z51" s="6" t="n">
        <f aca="false">Y51-W51</f>
        <v>1017.0805</v>
      </c>
      <c r="AA51" s="8" t="n">
        <f aca="false">IF(Y51=0,0,Z51/Y51)</f>
        <v>0.150177101192676</v>
      </c>
      <c r="AB51" s="3" t="str">
        <f aca="false">IF(ABS(V51-Y51)&gt;1,"Mismatch","OK")</f>
        <v>OK</v>
      </c>
      <c r="AC51" s="3" t="str">
        <f aca="false">IF(ABS(X51-Z51)&gt;1,"Mismatch","OK")</f>
        <v>OK</v>
      </c>
      <c r="AD51" s="5" t="n">
        <f aca="false">IF(OR(B51="",C51=""),"",C51-B51)</f>
        <v>7</v>
      </c>
      <c r="AE51" s="3" t="str">
        <f aca="false">IF(AD51="","Unknown",IF(AD51&lt;0,"Invalid - Ship Before Order","OK"))</f>
        <v>OK</v>
      </c>
      <c r="AF51" s="5" t="n">
        <f aca="false">IF(B51="","",MONTH(B51))</f>
        <v>4</v>
      </c>
      <c r="AG51" s="5" t="n">
        <f aca="false">IF(B51="","",YEAR(B51))</f>
        <v>2024</v>
      </c>
      <c r="AH51" s="3" t="s">
        <v>52</v>
      </c>
      <c r="AI51" s="3" t="s">
        <v>53</v>
      </c>
      <c r="AJ51" s="3" t="str">
        <f aca="false">IF(AND(AI51="Completed",AH51="Failed"),"Inconsistent - Completed Order with Failed Payment","OK")</f>
        <v>OK</v>
      </c>
      <c r="AK51" s="3" t="s">
        <v>54</v>
      </c>
      <c r="AL51" s="3" t="str">
        <f aca="false">IF(OR(T51="Negative - Invalid",T51="Above Allowed Range - Invalid",AE51="Invalid - Ship Before Order",AK51&lt;&gt;"Unique",AB51="Mismatch",AC51="Mismatch",AJ51&lt;&gt;"OK"),"Invalid",IF(OR(H51="Yes",O51="Yes",T51="Missing"),"Warning","Clean"))</f>
        <v>Clean</v>
      </c>
    </row>
    <row r="52" customFormat="false" ht="15" hidden="false" customHeight="true" outlineLevel="0" collapsed="false">
      <c r="A52" s="3" t="s">
        <v>290</v>
      </c>
      <c r="B52" s="4" t="n">
        <v>45788</v>
      </c>
      <c r="C52" s="4" t="n">
        <v>45796</v>
      </c>
      <c r="D52" s="3" t="s">
        <v>291</v>
      </c>
      <c r="E52" s="3" t="s">
        <v>159</v>
      </c>
      <c r="F52" s="3" t="s">
        <v>41</v>
      </c>
      <c r="G52" s="3" t="s">
        <v>59</v>
      </c>
      <c r="H52" s="3" t="s">
        <v>43</v>
      </c>
      <c r="I52" s="3" t="s">
        <v>125</v>
      </c>
      <c r="J52" s="3" t="s">
        <v>126</v>
      </c>
      <c r="K52" s="3" t="s">
        <v>99</v>
      </c>
      <c r="L52" s="3" t="s">
        <v>105</v>
      </c>
      <c r="M52" s="3" t="s">
        <v>292</v>
      </c>
      <c r="N52" s="3" t="s">
        <v>83</v>
      </c>
      <c r="O52" s="3" t="s">
        <v>43</v>
      </c>
      <c r="P52" s="5" t="n">
        <v>1</v>
      </c>
      <c r="Q52" s="6" t="n">
        <v>2382.8</v>
      </c>
      <c r="R52" s="3" t="s">
        <v>107</v>
      </c>
      <c r="S52" s="7" t="n">
        <v>0.15</v>
      </c>
      <c r="T52" s="3" t="s">
        <v>51</v>
      </c>
      <c r="U52" s="7" t="n">
        <f aca="false">IF(T52="Valid",S52,0)</f>
        <v>0.15</v>
      </c>
      <c r="V52" s="6" t="n">
        <v>2025.38</v>
      </c>
      <c r="W52" s="6" t="n">
        <v>1140.65</v>
      </c>
      <c r="X52" s="6" t="n">
        <v>884.73</v>
      </c>
      <c r="Y52" s="6" t="n">
        <f aca="false">P52*Q52*(1-U52)</f>
        <v>2025.38</v>
      </c>
      <c r="Z52" s="6" t="n">
        <f aca="false">Y52-W52</f>
        <v>884.73</v>
      </c>
      <c r="AA52" s="8" t="n">
        <f aca="false">IF(Y52=0,0,Z52/Y52)</f>
        <v>0.436821732218152</v>
      </c>
      <c r="AB52" s="3" t="str">
        <f aca="false">IF(ABS(V52-Y52)&gt;1,"Mismatch","OK")</f>
        <v>OK</v>
      </c>
      <c r="AC52" s="3" t="str">
        <f aca="false">IF(ABS(X52-Z52)&gt;1,"Mismatch","OK")</f>
        <v>OK</v>
      </c>
      <c r="AD52" s="5" t="n">
        <f aca="false">IF(OR(B52="",C52=""),"",C52-B52)</f>
        <v>8</v>
      </c>
      <c r="AE52" s="3" t="str">
        <f aca="false">IF(AD52="","Unknown",IF(AD52&lt;0,"Invalid - Ship Before Order","OK"))</f>
        <v>OK</v>
      </c>
      <c r="AF52" s="5" t="n">
        <f aca="false">IF(B52="","",MONTH(B52))</f>
        <v>5</v>
      </c>
      <c r="AG52" s="5" t="n">
        <f aca="false">IF(B52="","",YEAR(B52))</f>
        <v>2025</v>
      </c>
      <c r="AH52" s="3" t="s">
        <v>52</v>
      </c>
      <c r="AI52" s="3" t="s">
        <v>53</v>
      </c>
      <c r="AJ52" s="3" t="str">
        <f aca="false">IF(AND(AI52="Completed",AH52="Failed"),"Inconsistent - Completed Order with Failed Payment","OK")</f>
        <v>OK</v>
      </c>
      <c r="AK52" s="3" t="s">
        <v>54</v>
      </c>
      <c r="AL52" s="3" t="str">
        <f aca="false">IF(OR(T52="Negative - Invalid",T52="Above Allowed Range - Invalid",AE52="Invalid - Ship Before Order",AK52&lt;&gt;"Unique",AB52="Mismatch",AC52="Mismatch",AJ52&lt;&gt;"OK"),"Invalid",IF(OR(H52="Yes",O52="Yes",T52="Missing"),"Warning","Clean"))</f>
        <v>Clean</v>
      </c>
    </row>
    <row r="53" customFormat="false" ht="15" hidden="false" customHeight="true" outlineLevel="0" collapsed="false">
      <c r="A53" s="3" t="s">
        <v>293</v>
      </c>
      <c r="B53" s="4" t="n">
        <v>45406</v>
      </c>
      <c r="C53" s="4" t="n">
        <v>45411</v>
      </c>
      <c r="D53" s="3" t="s">
        <v>294</v>
      </c>
      <c r="E53" s="3" t="s">
        <v>87</v>
      </c>
      <c r="F53" s="3" t="s">
        <v>116</v>
      </c>
      <c r="G53" s="3" t="s">
        <v>78</v>
      </c>
      <c r="H53" s="3" t="s">
        <v>43</v>
      </c>
      <c r="I53" s="3" t="s">
        <v>79</v>
      </c>
      <c r="J53" s="3" t="s">
        <v>80</v>
      </c>
      <c r="K53" s="3" t="s">
        <v>46</v>
      </c>
      <c r="L53" s="3" t="s">
        <v>70</v>
      </c>
      <c r="M53" s="3" t="s">
        <v>295</v>
      </c>
      <c r="N53" s="3" t="s">
        <v>83</v>
      </c>
      <c r="O53" s="3" t="s">
        <v>43</v>
      </c>
      <c r="P53" s="5" t="n">
        <v>6</v>
      </c>
      <c r="Q53" s="6" t="n">
        <v>1528.08</v>
      </c>
      <c r="R53" s="3" t="s">
        <v>66</v>
      </c>
      <c r="S53" s="7" t="n">
        <v>0</v>
      </c>
      <c r="T53" s="3" t="s">
        <v>51</v>
      </c>
      <c r="U53" s="7" t="n">
        <f aca="false">IF(T53="Valid",S53,0)</f>
        <v>0</v>
      </c>
      <c r="V53" s="6" t="n">
        <v>9168.48</v>
      </c>
      <c r="W53" s="6" t="n">
        <v>7439.77</v>
      </c>
      <c r="X53" s="6" t="n">
        <v>1728.71</v>
      </c>
      <c r="Y53" s="6" t="n">
        <f aca="false">P53*Q53*(1-U53)</f>
        <v>9168.48</v>
      </c>
      <c r="Z53" s="6" t="n">
        <f aca="false">Y53-W53</f>
        <v>1728.71</v>
      </c>
      <c r="AA53" s="8" t="n">
        <f aca="false">IF(Y53=0,0,Z53/Y53)</f>
        <v>0.188549246985324</v>
      </c>
      <c r="AB53" s="3" t="str">
        <f aca="false">IF(ABS(V53-Y53)&gt;1,"Mismatch","OK")</f>
        <v>OK</v>
      </c>
      <c r="AC53" s="3" t="str">
        <f aca="false">IF(ABS(X53-Z53)&gt;1,"Mismatch","OK")</f>
        <v>OK</v>
      </c>
      <c r="AD53" s="5" t="n">
        <f aca="false">IF(OR(B53="",C53=""),"",C53-B53)</f>
        <v>5</v>
      </c>
      <c r="AE53" s="3" t="str">
        <f aca="false">IF(AD53="","Unknown",IF(AD53&lt;0,"Invalid - Ship Before Order","OK"))</f>
        <v>OK</v>
      </c>
      <c r="AF53" s="5" t="n">
        <f aca="false">IF(B53="","",MONTH(B53))</f>
        <v>4</v>
      </c>
      <c r="AG53" s="5" t="n">
        <f aca="false">IF(B53="","",YEAR(B53))</f>
        <v>2024</v>
      </c>
      <c r="AH53" s="3" t="s">
        <v>52</v>
      </c>
      <c r="AI53" s="3" t="s">
        <v>53</v>
      </c>
      <c r="AJ53" s="3" t="str">
        <f aca="false">IF(AND(AI53="Completed",AH53="Failed"),"Inconsistent - Completed Order with Failed Payment","OK")</f>
        <v>OK</v>
      </c>
      <c r="AK53" s="3" t="s">
        <v>54</v>
      </c>
      <c r="AL53" s="3" t="str">
        <f aca="false">IF(OR(T53="Negative - Invalid",T53="Above Allowed Range - Invalid",AE53="Invalid - Ship Before Order",AK53&lt;&gt;"Unique",AB53="Mismatch",AC53="Mismatch",AJ53&lt;&gt;"OK"),"Invalid",IF(OR(H53="Yes",O53="Yes",T53="Missing"),"Warning","Clean"))</f>
        <v>Clean</v>
      </c>
    </row>
    <row r="54" customFormat="false" ht="15" hidden="false" customHeight="true" outlineLevel="0" collapsed="false">
      <c r="A54" s="3" t="s">
        <v>296</v>
      </c>
      <c r="B54" s="4" t="n">
        <v>45591</v>
      </c>
      <c r="C54" s="4" t="n">
        <v>45593</v>
      </c>
      <c r="D54" s="3" t="s">
        <v>297</v>
      </c>
      <c r="E54" s="3" t="s">
        <v>298</v>
      </c>
      <c r="F54" s="3" t="s">
        <v>58</v>
      </c>
      <c r="G54" s="3" t="s">
        <v>42</v>
      </c>
      <c r="H54" s="3" t="s">
        <v>43</v>
      </c>
      <c r="I54" s="3" t="s">
        <v>44</v>
      </c>
      <c r="J54" s="3" t="s">
        <v>45</v>
      </c>
      <c r="K54" s="3" t="s">
        <v>62</v>
      </c>
      <c r="L54" s="3" t="s">
        <v>91</v>
      </c>
      <c r="M54" s="3" t="s">
        <v>299</v>
      </c>
      <c r="N54" s="3" t="s">
        <v>72</v>
      </c>
      <c r="O54" s="3" t="s">
        <v>43</v>
      </c>
      <c r="P54" s="5" t="n">
        <v>9</v>
      </c>
      <c r="Q54" s="6" t="n">
        <v>1399.63</v>
      </c>
      <c r="R54" s="3" t="s">
        <v>66</v>
      </c>
      <c r="S54" s="7" t="n">
        <v>0</v>
      </c>
      <c r="T54" s="3" t="s">
        <v>51</v>
      </c>
      <c r="U54" s="7" t="n">
        <f aca="false">IF(T54="Valid",S54,0)</f>
        <v>0</v>
      </c>
      <c r="V54" s="6" t="n">
        <v>12596.67</v>
      </c>
      <c r="W54" s="6" t="n">
        <v>10603.29</v>
      </c>
      <c r="X54" s="6" t="n">
        <v>1993.38</v>
      </c>
      <c r="Y54" s="6" t="n">
        <f aca="false">P54*Q54*(1-U54)</f>
        <v>12596.67</v>
      </c>
      <c r="Z54" s="6" t="n">
        <f aca="false">Y54-W54</f>
        <v>1993.38</v>
      </c>
      <c r="AA54" s="8" t="n">
        <f aca="false">IF(Y54=0,0,Z54/Y54)</f>
        <v>0.158246584216305</v>
      </c>
      <c r="AB54" s="3" t="str">
        <f aca="false">IF(ABS(V54-Y54)&gt;1,"Mismatch","OK")</f>
        <v>OK</v>
      </c>
      <c r="AC54" s="3" t="str">
        <f aca="false">IF(ABS(X54-Z54)&gt;1,"Mismatch","OK")</f>
        <v>OK</v>
      </c>
      <c r="AD54" s="5" t="n">
        <f aca="false">IF(OR(B54="",C54=""),"",C54-B54)</f>
        <v>2</v>
      </c>
      <c r="AE54" s="3" t="str">
        <f aca="false">IF(AD54="","Unknown",IF(AD54&lt;0,"Invalid - Ship Before Order","OK"))</f>
        <v>OK</v>
      </c>
      <c r="AF54" s="5" t="n">
        <f aca="false">IF(B54="","",MONTH(B54))</f>
        <v>10</v>
      </c>
      <c r="AG54" s="5" t="n">
        <f aca="false">IF(B54="","",YEAR(B54))</f>
        <v>2024</v>
      </c>
      <c r="AH54" s="3" t="s">
        <v>185</v>
      </c>
      <c r="AI54" s="3" t="s">
        <v>93</v>
      </c>
      <c r="AJ54" s="3" t="str">
        <f aca="false">IF(AND(AI54="Completed",AH54="Failed"),"Inconsistent - Completed Order with Failed Payment","OK")</f>
        <v>OK</v>
      </c>
      <c r="AK54" s="3" t="s">
        <v>54</v>
      </c>
      <c r="AL54" s="3" t="str">
        <f aca="false">IF(OR(T54="Negative - Invalid",T54="Above Allowed Range - Invalid",AE54="Invalid - Ship Before Order",AK54&lt;&gt;"Unique",AB54="Mismatch",AC54="Mismatch",AJ54&lt;&gt;"OK"),"Invalid",IF(OR(H54="Yes",O54="Yes",T54="Missing"),"Warning","Clean"))</f>
        <v>Clean</v>
      </c>
    </row>
    <row r="55" customFormat="false" ht="15" hidden="false" customHeight="true" outlineLevel="0" collapsed="false">
      <c r="A55" s="3" t="s">
        <v>300</v>
      </c>
      <c r="B55" s="4" t="n">
        <v>45747</v>
      </c>
      <c r="C55" s="4" t="n">
        <v>45747</v>
      </c>
      <c r="D55" s="3" t="s">
        <v>301</v>
      </c>
      <c r="E55" s="3" t="s">
        <v>298</v>
      </c>
      <c r="F55" s="3" t="s">
        <v>121</v>
      </c>
      <c r="G55" s="3" t="s">
        <v>88</v>
      </c>
      <c r="H55" s="3" t="s">
        <v>43</v>
      </c>
      <c r="I55" s="3" t="s">
        <v>211</v>
      </c>
      <c r="J55" s="3" t="s">
        <v>212</v>
      </c>
      <c r="K55" s="3" t="s">
        <v>46</v>
      </c>
      <c r="L55" s="3" t="s">
        <v>151</v>
      </c>
      <c r="M55" s="3" t="s">
        <v>302</v>
      </c>
      <c r="N55" s="3" t="s">
        <v>72</v>
      </c>
      <c r="O55" s="3" t="s">
        <v>43</v>
      </c>
      <c r="P55" s="5" t="n">
        <v>5</v>
      </c>
      <c r="Q55" s="6" t="n">
        <v>1207.47</v>
      </c>
      <c r="R55" s="3" t="s">
        <v>107</v>
      </c>
      <c r="S55" s="7" t="n">
        <v>0.15</v>
      </c>
      <c r="T55" s="3" t="s">
        <v>51</v>
      </c>
      <c r="U55" s="7" t="n">
        <f aca="false">IF(T55="Valid",S55,0)</f>
        <v>0.15</v>
      </c>
      <c r="V55" s="6" t="n">
        <v>5131.75</v>
      </c>
      <c r="W55" s="6" t="n">
        <v>2838.68</v>
      </c>
      <c r="X55" s="6" t="n">
        <v>2293.07</v>
      </c>
      <c r="Y55" s="6" t="n">
        <f aca="false">P55*Q55*(1-U55)</f>
        <v>5131.7475</v>
      </c>
      <c r="Z55" s="6" t="n">
        <f aca="false">Y55-W55</f>
        <v>2293.0675</v>
      </c>
      <c r="AA55" s="8" t="n">
        <f aca="false">IF(Y55=0,0,Z55/Y55)</f>
        <v>0.446839502528135</v>
      </c>
      <c r="AB55" s="3" t="str">
        <f aca="false">IF(ABS(V55-Y55)&gt;1,"Mismatch","OK")</f>
        <v>OK</v>
      </c>
      <c r="AC55" s="3" t="str">
        <f aca="false">IF(ABS(X55-Z55)&gt;1,"Mismatch","OK")</f>
        <v>OK</v>
      </c>
      <c r="AD55" s="5" t="n">
        <f aca="false">IF(OR(B55="",C55=""),"",C55-B55)</f>
        <v>0</v>
      </c>
      <c r="AE55" s="3" t="str">
        <f aca="false">IF(AD55="","Unknown",IF(AD55&lt;0,"Invalid - Ship Before Order","OK"))</f>
        <v>OK</v>
      </c>
      <c r="AF55" s="5" t="n">
        <f aca="false">IF(B55="","",MONTH(B55))</f>
        <v>3</v>
      </c>
      <c r="AG55" s="5" t="n">
        <f aca="false">IF(B55="","",YEAR(B55))</f>
        <v>2025</v>
      </c>
      <c r="AH55" s="3" t="s">
        <v>52</v>
      </c>
      <c r="AI55" s="3" t="s">
        <v>53</v>
      </c>
      <c r="AJ55" s="3" t="str">
        <f aca="false">IF(AND(AI55="Completed",AH55="Failed"),"Inconsistent - Completed Order with Failed Payment","OK")</f>
        <v>OK</v>
      </c>
      <c r="AK55" s="3" t="s">
        <v>54</v>
      </c>
      <c r="AL55" s="3" t="str">
        <f aca="false">IF(OR(T55="Negative - Invalid",T55="Above Allowed Range - Invalid",AE55="Invalid - Ship Before Order",AK55&lt;&gt;"Unique",AB55="Mismatch",AC55="Mismatch",AJ55&lt;&gt;"OK"),"Invalid",IF(OR(H55="Yes",O55="Yes",T55="Missing"),"Warning","Clean"))</f>
        <v>Clean</v>
      </c>
    </row>
    <row r="56" customFormat="false" ht="15" hidden="false" customHeight="true" outlineLevel="0" collapsed="false">
      <c r="A56" s="3" t="s">
        <v>303</v>
      </c>
      <c r="B56" s="4" t="n">
        <v>45807</v>
      </c>
      <c r="C56" s="4" t="n">
        <v>45810</v>
      </c>
      <c r="D56" s="3" t="s">
        <v>304</v>
      </c>
      <c r="E56" s="3" t="s">
        <v>77</v>
      </c>
      <c r="F56" s="3" t="s">
        <v>116</v>
      </c>
      <c r="G56" s="3" t="s">
        <v>78</v>
      </c>
      <c r="H56" s="3" t="s">
        <v>43</v>
      </c>
      <c r="I56" s="3" t="s">
        <v>281</v>
      </c>
      <c r="J56" s="3" t="s">
        <v>282</v>
      </c>
      <c r="K56" s="3" t="s">
        <v>46</v>
      </c>
      <c r="L56" s="3" t="s">
        <v>117</v>
      </c>
      <c r="M56" s="3" t="s">
        <v>305</v>
      </c>
      <c r="N56" s="3" t="s">
        <v>65</v>
      </c>
      <c r="O56" s="3" t="s">
        <v>43</v>
      </c>
      <c r="P56" s="5" t="n">
        <v>8</v>
      </c>
      <c r="Q56" s="6" t="n">
        <v>474.37</v>
      </c>
      <c r="R56" s="3" t="s">
        <v>203</v>
      </c>
      <c r="S56" s="7" t="n">
        <v>0.1</v>
      </c>
      <c r="T56" s="3" t="s">
        <v>51</v>
      </c>
      <c r="U56" s="7" t="n">
        <f aca="false">IF(T56="Valid",S56,0)</f>
        <v>0.1</v>
      </c>
      <c r="V56" s="6" t="n">
        <v>3415.46</v>
      </c>
      <c r="W56" s="6" t="n">
        <v>1993.23</v>
      </c>
      <c r="X56" s="6" t="n">
        <v>1422.23</v>
      </c>
      <c r="Y56" s="6" t="n">
        <f aca="false">P56*Q56*(1-U56)</f>
        <v>3415.464</v>
      </c>
      <c r="Z56" s="6" t="n">
        <f aca="false">Y56-W56</f>
        <v>1422.234</v>
      </c>
      <c r="AA56" s="8" t="n">
        <f aca="false">IF(Y56=0,0,Z56/Y56)</f>
        <v>0.416410186141619</v>
      </c>
      <c r="AB56" s="3" t="str">
        <f aca="false">IF(ABS(V56-Y56)&gt;1,"Mismatch","OK")</f>
        <v>OK</v>
      </c>
      <c r="AC56" s="3" t="str">
        <f aca="false">IF(ABS(X56-Z56)&gt;1,"Mismatch","OK")</f>
        <v>OK</v>
      </c>
      <c r="AD56" s="5" t="n">
        <f aca="false">IF(OR(B56="",C56=""),"",C56-B56)</f>
        <v>3</v>
      </c>
      <c r="AE56" s="3" t="str">
        <f aca="false">IF(AD56="","Unknown",IF(AD56&lt;0,"Invalid - Ship Before Order","OK"))</f>
        <v>OK</v>
      </c>
      <c r="AF56" s="5" t="n">
        <f aca="false">IF(B56="","",MONTH(B56))</f>
        <v>5</v>
      </c>
      <c r="AG56" s="5" t="n">
        <f aca="false">IF(B56="","",YEAR(B56))</f>
        <v>2025</v>
      </c>
      <c r="AH56" s="3" t="s">
        <v>185</v>
      </c>
      <c r="AI56" s="3" t="s">
        <v>93</v>
      </c>
      <c r="AJ56" s="3" t="str">
        <f aca="false">IF(AND(AI56="Completed",AH56="Failed"),"Inconsistent - Completed Order with Failed Payment","OK")</f>
        <v>OK</v>
      </c>
      <c r="AK56" s="3" t="s">
        <v>54</v>
      </c>
      <c r="AL56" s="3" t="str">
        <f aca="false">IF(OR(T56="Negative - Invalid",T56="Above Allowed Range - Invalid",AE56="Invalid - Ship Before Order",AK56&lt;&gt;"Unique",AB56="Mismatch",AC56="Mismatch",AJ56&lt;&gt;"OK"),"Invalid",IF(OR(H56="Yes",O56="Yes",T56="Missing"),"Warning","Clean"))</f>
        <v>Clean</v>
      </c>
    </row>
    <row r="57" customFormat="false" ht="15" hidden="false" customHeight="true" outlineLevel="0" collapsed="false">
      <c r="A57" s="3" t="s">
        <v>306</v>
      </c>
      <c r="B57" s="4" t="n">
        <v>45839</v>
      </c>
      <c r="C57" s="4" t="n">
        <v>45841</v>
      </c>
      <c r="D57" s="3" t="s">
        <v>307</v>
      </c>
      <c r="E57" s="3" t="s">
        <v>57</v>
      </c>
      <c r="F57" s="3" t="s">
        <v>58</v>
      </c>
      <c r="G57" s="3" t="s">
        <v>78</v>
      </c>
      <c r="H57" s="3" t="s">
        <v>43</v>
      </c>
      <c r="I57" s="3" t="s">
        <v>110</v>
      </c>
      <c r="J57" s="3" t="s">
        <v>111</v>
      </c>
      <c r="K57" s="3" t="s">
        <v>99</v>
      </c>
      <c r="L57" s="3" t="s">
        <v>308</v>
      </c>
      <c r="M57" s="3" t="s">
        <v>309</v>
      </c>
      <c r="N57" s="3" t="s">
        <v>65</v>
      </c>
      <c r="O57" s="3" t="s">
        <v>43</v>
      </c>
      <c r="P57" s="5" t="n">
        <v>3</v>
      </c>
      <c r="Q57" s="6" t="n">
        <v>1516.24</v>
      </c>
      <c r="R57" s="3" t="s">
        <v>84</v>
      </c>
      <c r="S57" s="7" t="n">
        <v>0.25</v>
      </c>
      <c r="T57" s="3" t="s">
        <v>51</v>
      </c>
      <c r="U57" s="7" t="n">
        <f aca="false">IF(T57="Valid",S57,0)</f>
        <v>0.25</v>
      </c>
      <c r="V57" s="6" t="n">
        <v>3411.54</v>
      </c>
      <c r="W57" s="6" t="n">
        <v>2803.13</v>
      </c>
      <c r="X57" s="6" t="n">
        <v>608.41</v>
      </c>
      <c r="Y57" s="6" t="n">
        <f aca="false">P57*Q57*(1-U57)</f>
        <v>3411.54</v>
      </c>
      <c r="Z57" s="6" t="n">
        <f aca="false">Y57-W57</f>
        <v>608.41</v>
      </c>
      <c r="AA57" s="8" t="n">
        <f aca="false">IF(Y57=0,0,Z57/Y57)</f>
        <v>0.178338814728832</v>
      </c>
      <c r="AB57" s="3" t="str">
        <f aca="false">IF(ABS(V57-Y57)&gt;1,"Mismatch","OK")</f>
        <v>OK</v>
      </c>
      <c r="AC57" s="3" t="str">
        <f aca="false">IF(ABS(X57-Z57)&gt;1,"Mismatch","OK")</f>
        <v>OK</v>
      </c>
      <c r="AD57" s="5" t="n">
        <f aca="false">IF(OR(B57="",C57=""),"",C57-B57)</f>
        <v>2</v>
      </c>
      <c r="AE57" s="3" t="str">
        <f aca="false">IF(AD57="","Unknown",IF(AD57&lt;0,"Invalid - Ship Before Order","OK"))</f>
        <v>OK</v>
      </c>
      <c r="AF57" s="5" t="n">
        <f aca="false">IF(B57="","",MONTH(B57))</f>
        <v>7</v>
      </c>
      <c r="AG57" s="5" t="n">
        <f aca="false">IF(B57="","",YEAR(B57))</f>
        <v>2025</v>
      </c>
      <c r="AH57" s="3" t="s">
        <v>52</v>
      </c>
      <c r="AI57" s="3" t="s">
        <v>53</v>
      </c>
      <c r="AJ57" s="3" t="str">
        <f aca="false">IF(AND(AI57="Completed",AH57="Failed"),"Inconsistent - Completed Order with Failed Payment","OK")</f>
        <v>OK</v>
      </c>
      <c r="AK57" s="3" t="s">
        <v>54</v>
      </c>
      <c r="AL57" s="3" t="str">
        <f aca="false">IF(OR(T57="Negative - Invalid",T57="Above Allowed Range - Invalid",AE57="Invalid - Ship Before Order",AK57&lt;&gt;"Unique",AB57="Mismatch",AC57="Mismatch",AJ57&lt;&gt;"OK"),"Invalid",IF(OR(H57="Yes",O57="Yes",T57="Missing"),"Warning","Clean"))</f>
        <v>Clean</v>
      </c>
    </row>
    <row r="58" customFormat="false" ht="15" hidden="false" customHeight="true" outlineLevel="0" collapsed="false">
      <c r="A58" s="3" t="s">
        <v>310</v>
      </c>
      <c r="B58" s="4" t="n">
        <v>45662</v>
      </c>
      <c r="C58" s="4" t="n">
        <v>45663</v>
      </c>
      <c r="D58" s="3" t="s">
        <v>311</v>
      </c>
      <c r="E58" s="3" t="s">
        <v>40</v>
      </c>
      <c r="F58" s="3" t="s">
        <v>41</v>
      </c>
      <c r="G58" s="3" t="s">
        <v>78</v>
      </c>
      <c r="H58" s="3" t="s">
        <v>43</v>
      </c>
      <c r="I58" s="3" t="s">
        <v>206</v>
      </c>
      <c r="J58" s="3" t="s">
        <v>207</v>
      </c>
      <c r="K58" s="3" t="s">
        <v>46</v>
      </c>
      <c r="L58" s="3" t="s">
        <v>183</v>
      </c>
      <c r="M58" s="3" t="s">
        <v>312</v>
      </c>
      <c r="N58" s="3" t="s">
        <v>49</v>
      </c>
      <c r="O58" s="3" t="s">
        <v>43</v>
      </c>
      <c r="P58" s="5" t="n">
        <v>3</v>
      </c>
      <c r="Q58" s="6" t="n">
        <v>3155.61</v>
      </c>
      <c r="R58" s="3" t="s">
        <v>66</v>
      </c>
      <c r="S58" s="7" t="n">
        <v>0</v>
      </c>
      <c r="T58" s="3" t="s">
        <v>51</v>
      </c>
      <c r="U58" s="7" t="n">
        <f aca="false">IF(T58="Valid",S58,0)</f>
        <v>0</v>
      </c>
      <c r="V58" s="6" t="n">
        <v>9466.83</v>
      </c>
      <c r="W58" s="6" t="n">
        <v>6557.83</v>
      </c>
      <c r="X58" s="6" t="n">
        <v>2909</v>
      </c>
      <c r="Y58" s="6" t="n">
        <f aca="false">P58*Q58*(1-U58)</f>
        <v>9466.83</v>
      </c>
      <c r="Z58" s="6" t="n">
        <f aca="false">Y58-W58</f>
        <v>2909</v>
      </c>
      <c r="AA58" s="8" t="n">
        <f aca="false">IF(Y58=0,0,Z58/Y58)</f>
        <v>0.307283430673203</v>
      </c>
      <c r="AB58" s="3" t="str">
        <f aca="false">IF(ABS(V58-Y58)&gt;1,"Mismatch","OK")</f>
        <v>OK</v>
      </c>
      <c r="AC58" s="3" t="str">
        <f aca="false">IF(ABS(X58-Z58)&gt;1,"Mismatch","OK")</f>
        <v>OK</v>
      </c>
      <c r="AD58" s="5" t="n">
        <f aca="false">IF(OR(B58="",C58=""),"",C58-B58)</f>
        <v>1</v>
      </c>
      <c r="AE58" s="3" t="str">
        <f aca="false">IF(AD58="","Unknown",IF(AD58&lt;0,"Invalid - Ship Before Order","OK"))</f>
        <v>OK</v>
      </c>
      <c r="AF58" s="5" t="n">
        <f aca="false">IF(B58="","",MONTH(B58))</f>
        <v>1</v>
      </c>
      <c r="AG58" s="5" t="n">
        <f aca="false">IF(B58="","",YEAR(B58))</f>
        <v>2025</v>
      </c>
      <c r="AH58" s="3" t="s">
        <v>129</v>
      </c>
      <c r="AI58" s="3" t="s">
        <v>93</v>
      </c>
      <c r="AJ58" s="3" t="str">
        <f aca="false">IF(AND(AI58="Completed",AH58="Failed"),"Inconsistent - Completed Order with Failed Payment","OK")</f>
        <v>OK</v>
      </c>
      <c r="AK58" s="3" t="s">
        <v>54</v>
      </c>
      <c r="AL58" s="3" t="str">
        <f aca="false">IF(OR(T58="Negative - Invalid",T58="Above Allowed Range - Invalid",AE58="Invalid - Ship Before Order",AK58&lt;&gt;"Unique",AB58="Mismatch",AC58="Mismatch",AJ58&lt;&gt;"OK"),"Invalid",IF(OR(H58="Yes",O58="Yes",T58="Missing"),"Warning","Clean"))</f>
        <v>Clean</v>
      </c>
    </row>
    <row r="59" customFormat="false" ht="15" hidden="false" customHeight="true" outlineLevel="0" collapsed="false">
      <c r="A59" s="3" t="s">
        <v>313</v>
      </c>
      <c r="B59" s="4" t="n">
        <v>45329</v>
      </c>
      <c r="C59" s="4" t="n">
        <v>45337</v>
      </c>
      <c r="D59" s="3" t="s">
        <v>314</v>
      </c>
      <c r="E59" s="3" t="s">
        <v>141</v>
      </c>
      <c r="F59" s="3" t="s">
        <v>41</v>
      </c>
      <c r="G59" s="3" t="s">
        <v>88</v>
      </c>
      <c r="H59" s="3" t="s">
        <v>43</v>
      </c>
      <c r="I59" s="3" t="s">
        <v>221</v>
      </c>
      <c r="J59" s="3" t="s">
        <v>222</v>
      </c>
      <c r="K59" s="3" t="s">
        <v>62</v>
      </c>
      <c r="L59" s="3" t="s">
        <v>91</v>
      </c>
      <c r="M59" s="3" t="s">
        <v>315</v>
      </c>
      <c r="N59" s="3" t="s">
        <v>65</v>
      </c>
      <c r="O59" s="3" t="s">
        <v>43</v>
      </c>
      <c r="P59" s="5" t="n">
        <v>5</v>
      </c>
      <c r="Q59" s="6" t="n">
        <v>255.87</v>
      </c>
      <c r="R59" s="3" t="s">
        <v>66</v>
      </c>
      <c r="S59" s="7" t="n">
        <v>0</v>
      </c>
      <c r="T59" s="3" t="s">
        <v>51</v>
      </c>
      <c r="U59" s="7" t="n">
        <f aca="false">IF(T59="Valid",S59,0)</f>
        <v>0</v>
      </c>
      <c r="V59" s="6" t="n">
        <v>1279.35</v>
      </c>
      <c r="W59" s="6" t="n">
        <v>1091.54</v>
      </c>
      <c r="X59" s="6" t="n">
        <v>187.81</v>
      </c>
      <c r="Y59" s="6" t="n">
        <f aca="false">P59*Q59*(1-U59)</f>
        <v>1279.35</v>
      </c>
      <c r="Z59" s="6" t="n">
        <f aca="false">Y59-W59</f>
        <v>187.81</v>
      </c>
      <c r="AA59" s="8" t="n">
        <f aca="false">IF(Y59=0,0,Z59/Y59)</f>
        <v>0.146801109938641</v>
      </c>
      <c r="AB59" s="3" t="str">
        <f aca="false">IF(ABS(V59-Y59)&gt;1,"Mismatch","OK")</f>
        <v>OK</v>
      </c>
      <c r="AC59" s="3" t="str">
        <f aca="false">IF(ABS(X59-Z59)&gt;1,"Mismatch","OK")</f>
        <v>OK</v>
      </c>
      <c r="AD59" s="5" t="n">
        <f aca="false">IF(OR(B59="",C59=""),"",C59-B59)</f>
        <v>8</v>
      </c>
      <c r="AE59" s="3" t="str">
        <f aca="false">IF(AD59="","Unknown",IF(AD59&lt;0,"Invalid - Ship Before Order","OK"))</f>
        <v>OK</v>
      </c>
      <c r="AF59" s="5" t="n">
        <f aca="false">IF(B59="","",MONTH(B59))</f>
        <v>2</v>
      </c>
      <c r="AG59" s="5" t="n">
        <f aca="false">IF(B59="","",YEAR(B59))</f>
        <v>2024</v>
      </c>
      <c r="AH59" s="3" t="s">
        <v>52</v>
      </c>
      <c r="AI59" s="3" t="s">
        <v>53</v>
      </c>
      <c r="AJ59" s="3" t="str">
        <f aca="false">IF(AND(AI59="Completed",AH59="Failed"),"Inconsistent - Completed Order with Failed Payment","OK")</f>
        <v>OK</v>
      </c>
      <c r="AK59" s="3" t="s">
        <v>54</v>
      </c>
      <c r="AL59" s="3" t="str">
        <f aca="false">IF(OR(T59="Negative - Invalid",T59="Above Allowed Range - Invalid",AE59="Invalid - Ship Before Order",AK59&lt;&gt;"Unique",AB59="Mismatch",AC59="Mismatch",AJ59&lt;&gt;"OK"),"Invalid",IF(OR(H59="Yes",O59="Yes",T59="Missing"),"Warning","Clean"))</f>
        <v>Clean</v>
      </c>
    </row>
    <row r="60" customFormat="false" ht="15" hidden="false" customHeight="true" outlineLevel="0" collapsed="false">
      <c r="A60" s="3" t="s">
        <v>316</v>
      </c>
      <c r="B60" s="4" t="n">
        <v>45536</v>
      </c>
      <c r="C60" s="4" t="n">
        <v>45542</v>
      </c>
      <c r="D60" s="3" t="s">
        <v>317</v>
      </c>
      <c r="E60" s="3" t="s">
        <v>69</v>
      </c>
      <c r="F60" s="3" t="s">
        <v>121</v>
      </c>
      <c r="G60" s="3" t="s">
        <v>42</v>
      </c>
      <c r="H60" s="3" t="s">
        <v>43</v>
      </c>
      <c r="I60" s="3" t="s">
        <v>44</v>
      </c>
      <c r="J60" s="3" t="s">
        <v>45</v>
      </c>
      <c r="K60" s="3" t="s">
        <v>46</v>
      </c>
      <c r="L60" s="3" t="s">
        <v>151</v>
      </c>
      <c r="M60" s="3" t="s">
        <v>318</v>
      </c>
      <c r="N60" s="3" t="s">
        <v>237</v>
      </c>
      <c r="O60" s="3" t="s">
        <v>238</v>
      </c>
      <c r="P60" s="5" t="n">
        <v>9</v>
      </c>
      <c r="Q60" s="6" t="n">
        <v>1389.48</v>
      </c>
      <c r="R60" s="3" t="s">
        <v>203</v>
      </c>
      <c r="S60" s="7" t="n">
        <v>0.1</v>
      </c>
      <c r="T60" s="3" t="s">
        <v>51</v>
      </c>
      <c r="U60" s="7" t="n">
        <f aca="false">IF(T60="Valid",S60,0)</f>
        <v>0.1</v>
      </c>
      <c r="V60" s="6" t="n">
        <v>11254.79</v>
      </c>
      <c r="W60" s="6" t="n">
        <v>6578.06</v>
      </c>
      <c r="X60" s="6" t="n">
        <v>4676.73</v>
      </c>
      <c r="Y60" s="6" t="n">
        <f aca="false">P60*Q60*(1-U60)</f>
        <v>11254.788</v>
      </c>
      <c r="Z60" s="6" t="n">
        <f aca="false">Y60-W60</f>
        <v>4676.728</v>
      </c>
      <c r="AA60" s="8" t="n">
        <f aca="false">IF(Y60=0,0,Z60/Y60)</f>
        <v>0.415532305006545</v>
      </c>
      <c r="AB60" s="3" t="str">
        <f aca="false">IF(ABS(V60-Y60)&gt;1,"Mismatch","OK")</f>
        <v>OK</v>
      </c>
      <c r="AC60" s="3" t="str">
        <f aca="false">IF(ABS(X60-Z60)&gt;1,"Mismatch","OK")</f>
        <v>OK</v>
      </c>
      <c r="AD60" s="5" t="n">
        <f aca="false">IF(OR(B60="",C60=""),"",C60-B60)</f>
        <v>6</v>
      </c>
      <c r="AE60" s="3" t="str">
        <f aca="false">IF(AD60="","Unknown",IF(AD60&lt;0,"Invalid - Ship Before Order","OK"))</f>
        <v>OK</v>
      </c>
      <c r="AF60" s="5" t="n">
        <f aca="false">IF(B60="","",MONTH(B60))</f>
        <v>9</v>
      </c>
      <c r="AG60" s="5" t="n">
        <f aca="false">IF(B60="","",YEAR(B60))</f>
        <v>2024</v>
      </c>
      <c r="AH60" s="3" t="s">
        <v>138</v>
      </c>
      <c r="AI60" s="3" t="s">
        <v>130</v>
      </c>
      <c r="AJ60" s="3" t="str">
        <f aca="false">IF(AND(AI60="Completed",AH60="Failed"),"Inconsistent - Completed Order with Failed Payment","OK")</f>
        <v>OK</v>
      </c>
      <c r="AK60" s="3" t="s">
        <v>54</v>
      </c>
      <c r="AL60" s="3" t="str">
        <f aca="false">IF(OR(T60="Negative - Invalid",T60="Above Allowed Range - Invalid",AE60="Invalid - Ship Before Order",AK60&lt;&gt;"Unique",AB60="Mismatch",AC60="Mismatch",AJ60&lt;&gt;"OK"),"Invalid",IF(OR(H60="Yes",O60="Yes",T60="Missing"),"Warning","Clean"))</f>
        <v>Warning</v>
      </c>
    </row>
    <row r="61" customFormat="false" ht="15" hidden="false" customHeight="true" outlineLevel="0" collapsed="false">
      <c r="A61" s="3" t="s">
        <v>319</v>
      </c>
      <c r="B61" s="4" t="n">
        <v>45493</v>
      </c>
      <c r="C61" s="4" t="n">
        <v>45498</v>
      </c>
      <c r="D61" s="3" t="s">
        <v>320</v>
      </c>
      <c r="E61" s="3" t="s">
        <v>141</v>
      </c>
      <c r="F61" s="3" t="s">
        <v>116</v>
      </c>
      <c r="G61" s="3" t="s">
        <v>59</v>
      </c>
      <c r="H61" s="3" t="s">
        <v>43</v>
      </c>
      <c r="I61" s="3" t="s">
        <v>196</v>
      </c>
      <c r="J61" s="3" t="s">
        <v>197</v>
      </c>
      <c r="K61" s="3" t="s">
        <v>46</v>
      </c>
      <c r="L61" s="3" t="s">
        <v>117</v>
      </c>
      <c r="M61" s="3" t="s">
        <v>321</v>
      </c>
      <c r="N61" s="3" t="s">
        <v>65</v>
      </c>
      <c r="O61" s="3" t="s">
        <v>43</v>
      </c>
      <c r="P61" s="5" t="n">
        <v>5</v>
      </c>
      <c r="Q61" s="6" t="n">
        <v>4133.85</v>
      </c>
      <c r="R61" s="3" t="s">
        <v>50</v>
      </c>
      <c r="S61" s="7" t="n">
        <v>0.2</v>
      </c>
      <c r="T61" s="3" t="s">
        <v>51</v>
      </c>
      <c r="U61" s="7" t="n">
        <f aca="false">IF(T61="Valid",S61,0)</f>
        <v>0.2</v>
      </c>
      <c r="V61" s="6" t="n">
        <v>16535.4</v>
      </c>
      <c r="W61" s="6" t="n">
        <v>12990.21</v>
      </c>
      <c r="X61" s="6" t="n">
        <v>3545.19</v>
      </c>
      <c r="Y61" s="6" t="n">
        <f aca="false">P61*Q61*(1-U61)</f>
        <v>16535.4</v>
      </c>
      <c r="Z61" s="6" t="n">
        <f aca="false">Y61-W61</f>
        <v>3545.19</v>
      </c>
      <c r="AA61" s="8" t="n">
        <f aca="false">IF(Y61=0,0,Z61/Y61)</f>
        <v>0.214400014514315</v>
      </c>
      <c r="AB61" s="3" t="str">
        <f aca="false">IF(ABS(V61-Y61)&gt;1,"Mismatch","OK")</f>
        <v>OK</v>
      </c>
      <c r="AC61" s="3" t="str">
        <f aca="false">IF(ABS(X61-Z61)&gt;1,"Mismatch","OK")</f>
        <v>OK</v>
      </c>
      <c r="AD61" s="5" t="n">
        <f aca="false">IF(OR(B61="",C61=""),"",C61-B61)</f>
        <v>5</v>
      </c>
      <c r="AE61" s="3" t="str">
        <f aca="false">IF(AD61="","Unknown",IF(AD61&lt;0,"Invalid - Ship Before Order","OK"))</f>
        <v>OK</v>
      </c>
      <c r="AF61" s="5" t="n">
        <f aca="false">IF(B61="","",MONTH(B61))</f>
        <v>7</v>
      </c>
      <c r="AG61" s="5" t="n">
        <f aca="false">IF(B61="","",YEAR(B61))</f>
        <v>2024</v>
      </c>
      <c r="AH61" s="3" t="s">
        <v>52</v>
      </c>
      <c r="AI61" s="3" t="s">
        <v>93</v>
      </c>
      <c r="AJ61" s="3" t="str">
        <f aca="false">IF(AND(AI61="Completed",AH61="Failed"),"Inconsistent - Completed Order with Failed Payment","OK")</f>
        <v>OK</v>
      </c>
      <c r="AK61" s="3" t="s">
        <v>54</v>
      </c>
      <c r="AL61" s="3" t="str">
        <f aca="false">IF(OR(T61="Negative - Invalid",T61="Above Allowed Range - Invalid",AE61="Invalid - Ship Before Order",AK61&lt;&gt;"Unique",AB61="Mismatch",AC61="Mismatch",AJ61&lt;&gt;"OK"),"Invalid",IF(OR(H61="Yes",O61="Yes",T61="Missing"),"Warning","Clean"))</f>
        <v>Clean</v>
      </c>
    </row>
    <row r="62" customFormat="false" ht="15" hidden="false" customHeight="true" outlineLevel="0" collapsed="false">
      <c r="A62" s="3" t="s">
        <v>322</v>
      </c>
      <c r="B62" s="4" t="n">
        <v>45486</v>
      </c>
      <c r="C62" s="4" t="n">
        <v>45492</v>
      </c>
      <c r="D62" s="3" t="s">
        <v>323</v>
      </c>
      <c r="E62" s="3" t="s">
        <v>87</v>
      </c>
      <c r="F62" s="3" t="s">
        <v>116</v>
      </c>
      <c r="G62" s="3" t="s">
        <v>59</v>
      </c>
      <c r="H62" s="3" t="s">
        <v>43</v>
      </c>
      <c r="I62" s="3" t="s">
        <v>196</v>
      </c>
      <c r="J62" s="3" t="s">
        <v>197</v>
      </c>
      <c r="K62" s="3" t="s">
        <v>46</v>
      </c>
      <c r="L62" s="3" t="s">
        <v>117</v>
      </c>
      <c r="M62" s="3" t="s">
        <v>324</v>
      </c>
      <c r="N62" s="3" t="s">
        <v>65</v>
      </c>
      <c r="O62" s="3" t="s">
        <v>43</v>
      </c>
      <c r="P62" s="5" t="n">
        <v>3</v>
      </c>
      <c r="Q62" s="6" t="n">
        <v>275.76</v>
      </c>
      <c r="R62" s="3" t="s">
        <v>50</v>
      </c>
      <c r="S62" s="7" t="n">
        <v>0.2</v>
      </c>
      <c r="T62" s="3" t="s">
        <v>51</v>
      </c>
      <c r="U62" s="7" t="n">
        <f aca="false">IF(T62="Valid",S62,0)</f>
        <v>0.2</v>
      </c>
      <c r="V62" s="6" t="n">
        <v>661.82</v>
      </c>
      <c r="W62" s="6" t="n">
        <v>481.47</v>
      </c>
      <c r="X62" s="6" t="n">
        <v>180.35</v>
      </c>
      <c r="Y62" s="6" t="n">
        <f aca="false">P62*Q62*(1-U62)</f>
        <v>661.824</v>
      </c>
      <c r="Z62" s="6" t="n">
        <f aca="false">Y62-W62</f>
        <v>180.354</v>
      </c>
      <c r="AA62" s="8" t="n">
        <f aca="false">IF(Y62=0,0,Z62/Y62)</f>
        <v>0.272510516391065</v>
      </c>
      <c r="AB62" s="3" t="str">
        <f aca="false">IF(ABS(V62-Y62)&gt;1,"Mismatch","OK")</f>
        <v>OK</v>
      </c>
      <c r="AC62" s="3" t="str">
        <f aca="false">IF(ABS(X62-Z62)&gt;1,"Mismatch","OK")</f>
        <v>OK</v>
      </c>
      <c r="AD62" s="5" t="n">
        <f aca="false">IF(OR(B62="",C62=""),"",C62-B62)</f>
        <v>6</v>
      </c>
      <c r="AE62" s="3" t="str">
        <f aca="false">IF(AD62="","Unknown",IF(AD62&lt;0,"Invalid - Ship Before Order","OK"))</f>
        <v>OK</v>
      </c>
      <c r="AF62" s="5" t="n">
        <f aca="false">IF(B62="","",MONTH(B62))</f>
        <v>7</v>
      </c>
      <c r="AG62" s="5" t="n">
        <f aca="false">IF(B62="","",YEAR(B62))</f>
        <v>2024</v>
      </c>
      <c r="AH62" s="3" t="s">
        <v>129</v>
      </c>
      <c r="AI62" s="3" t="s">
        <v>93</v>
      </c>
      <c r="AJ62" s="3" t="str">
        <f aca="false">IF(AND(AI62="Completed",AH62="Failed"),"Inconsistent - Completed Order with Failed Payment","OK")</f>
        <v>OK</v>
      </c>
      <c r="AK62" s="3" t="s">
        <v>54</v>
      </c>
      <c r="AL62" s="3" t="str">
        <f aca="false">IF(OR(T62="Negative - Invalid",T62="Above Allowed Range - Invalid",AE62="Invalid - Ship Before Order",AK62&lt;&gt;"Unique",AB62="Mismatch",AC62="Mismatch",AJ62&lt;&gt;"OK"),"Invalid",IF(OR(H62="Yes",O62="Yes",T62="Missing"),"Warning","Clean"))</f>
        <v>Clean</v>
      </c>
    </row>
    <row r="63" customFormat="false" ht="15" hidden="false" customHeight="true" outlineLevel="0" collapsed="false">
      <c r="A63" s="3" t="s">
        <v>325</v>
      </c>
      <c r="B63" s="4" t="n">
        <v>45398</v>
      </c>
      <c r="C63" s="4" t="n">
        <v>45398</v>
      </c>
      <c r="D63" s="3" t="s">
        <v>326</v>
      </c>
      <c r="E63" s="3" t="s">
        <v>96</v>
      </c>
      <c r="F63" s="3" t="s">
        <v>121</v>
      </c>
      <c r="G63" s="3" t="s">
        <v>59</v>
      </c>
      <c r="H63" s="3" t="s">
        <v>43</v>
      </c>
      <c r="I63" s="3" t="s">
        <v>174</v>
      </c>
      <c r="J63" s="3" t="s">
        <v>175</v>
      </c>
      <c r="K63" s="3" t="s">
        <v>62</v>
      </c>
      <c r="L63" s="3" t="s">
        <v>188</v>
      </c>
      <c r="M63" s="3" t="s">
        <v>327</v>
      </c>
      <c r="N63" s="3" t="s">
        <v>83</v>
      </c>
      <c r="O63" s="3" t="s">
        <v>43</v>
      </c>
      <c r="P63" s="5" t="n">
        <v>1</v>
      </c>
      <c r="Q63" s="6" t="n">
        <v>949.59</v>
      </c>
      <c r="R63" s="3" t="s">
        <v>66</v>
      </c>
      <c r="S63" s="7" t="n">
        <v>0</v>
      </c>
      <c r="T63" s="3" t="s">
        <v>51</v>
      </c>
      <c r="U63" s="7" t="n">
        <f aca="false">IF(T63="Valid",S63,0)</f>
        <v>0</v>
      </c>
      <c r="V63" s="6" t="n">
        <v>949.59</v>
      </c>
      <c r="W63" s="6" t="n">
        <v>751.25</v>
      </c>
      <c r="X63" s="6" t="n">
        <v>198.34</v>
      </c>
      <c r="Y63" s="6" t="n">
        <f aca="false">P63*Q63*(1-U63)</f>
        <v>949.59</v>
      </c>
      <c r="Z63" s="6" t="n">
        <f aca="false">Y63-W63</f>
        <v>198.34</v>
      </c>
      <c r="AA63" s="8" t="n">
        <f aca="false">IF(Y63=0,0,Z63/Y63)</f>
        <v>0.208869090870797</v>
      </c>
      <c r="AB63" s="3" t="str">
        <f aca="false">IF(ABS(V63-Y63)&gt;1,"Mismatch","OK")</f>
        <v>OK</v>
      </c>
      <c r="AC63" s="3" t="str">
        <f aca="false">IF(ABS(X63-Z63)&gt;1,"Mismatch","OK")</f>
        <v>OK</v>
      </c>
      <c r="AD63" s="5" t="n">
        <f aca="false">IF(OR(B63="",C63=""),"",C63-B63)</f>
        <v>0</v>
      </c>
      <c r="AE63" s="3" t="str">
        <f aca="false">IF(AD63="","Unknown",IF(AD63&lt;0,"Invalid - Ship Before Order","OK"))</f>
        <v>OK</v>
      </c>
      <c r="AF63" s="5" t="n">
        <f aca="false">IF(B63="","",MONTH(B63))</f>
        <v>4</v>
      </c>
      <c r="AG63" s="5" t="n">
        <f aca="false">IF(B63="","",YEAR(B63))</f>
        <v>2024</v>
      </c>
      <c r="AH63" s="3" t="s">
        <v>52</v>
      </c>
      <c r="AI63" s="3" t="s">
        <v>53</v>
      </c>
      <c r="AJ63" s="3" t="str">
        <f aca="false">IF(AND(AI63="Completed",AH63="Failed"),"Inconsistent - Completed Order with Failed Payment","OK")</f>
        <v>OK</v>
      </c>
      <c r="AK63" s="3" t="s">
        <v>54</v>
      </c>
      <c r="AL63" s="3" t="str">
        <f aca="false">IF(OR(T63="Negative - Invalid",T63="Above Allowed Range - Invalid",AE63="Invalid - Ship Before Order",AK63&lt;&gt;"Unique",AB63="Mismatch",AC63="Mismatch",AJ63&lt;&gt;"OK"),"Invalid",IF(OR(H63="Yes",O63="Yes",T63="Missing"),"Warning","Clean"))</f>
        <v>Clean</v>
      </c>
    </row>
    <row r="64" customFormat="false" ht="15" hidden="false" customHeight="true" outlineLevel="0" collapsed="false">
      <c r="A64" s="3" t="s">
        <v>328</v>
      </c>
      <c r="B64" s="4" t="n">
        <v>45595</v>
      </c>
      <c r="C64" s="4" t="n">
        <v>45598</v>
      </c>
      <c r="D64" s="3" t="s">
        <v>329</v>
      </c>
      <c r="E64" s="3" t="s">
        <v>159</v>
      </c>
      <c r="F64" s="3" t="s">
        <v>121</v>
      </c>
      <c r="G64" s="3" t="s">
        <v>42</v>
      </c>
      <c r="H64" s="3" t="s">
        <v>43</v>
      </c>
      <c r="I64" s="3" t="s">
        <v>44</v>
      </c>
      <c r="J64" s="3" t="s">
        <v>45</v>
      </c>
      <c r="K64" s="3" t="s">
        <v>99</v>
      </c>
      <c r="L64" s="3" t="s">
        <v>201</v>
      </c>
      <c r="M64" s="3" t="s">
        <v>330</v>
      </c>
      <c r="N64" s="3" t="s">
        <v>83</v>
      </c>
      <c r="O64" s="3" t="s">
        <v>43</v>
      </c>
      <c r="P64" s="5" t="n">
        <v>9</v>
      </c>
      <c r="Q64" s="6" t="n">
        <v>3042.29</v>
      </c>
      <c r="R64" s="3" t="s">
        <v>50</v>
      </c>
      <c r="S64" s="7" t="n">
        <v>0.2</v>
      </c>
      <c r="T64" s="3" t="s">
        <v>51</v>
      </c>
      <c r="U64" s="7" t="n">
        <f aca="false">IF(T64="Valid",S64,0)</f>
        <v>0.2</v>
      </c>
      <c r="V64" s="6" t="n">
        <v>21904.49</v>
      </c>
      <c r="W64" s="6" t="n">
        <v>13570.55</v>
      </c>
      <c r="X64" s="6" t="n">
        <v>8333.94</v>
      </c>
      <c r="Y64" s="6" t="n">
        <f aca="false">P64*Q64*(1-U64)</f>
        <v>21904.488</v>
      </c>
      <c r="Z64" s="6" t="n">
        <f aca="false">Y64-W64</f>
        <v>8333.938</v>
      </c>
      <c r="AA64" s="8" t="n">
        <f aca="false">IF(Y64=0,0,Z64/Y64)</f>
        <v>0.380467144450032</v>
      </c>
      <c r="AB64" s="3" t="str">
        <f aca="false">IF(ABS(V64-Y64)&gt;1,"Mismatch","OK")</f>
        <v>OK</v>
      </c>
      <c r="AC64" s="3" t="str">
        <f aca="false">IF(ABS(X64-Z64)&gt;1,"Mismatch","OK")</f>
        <v>OK</v>
      </c>
      <c r="AD64" s="5" t="n">
        <f aca="false">IF(OR(B64="",C64=""),"",C64-B64)</f>
        <v>3</v>
      </c>
      <c r="AE64" s="3" t="str">
        <f aca="false">IF(AD64="","Unknown",IF(AD64&lt;0,"Invalid - Ship Before Order","OK"))</f>
        <v>OK</v>
      </c>
      <c r="AF64" s="5" t="n">
        <f aca="false">IF(B64="","",MONTH(B64))</f>
        <v>10</v>
      </c>
      <c r="AG64" s="5" t="n">
        <f aca="false">IF(B64="","",YEAR(B64))</f>
        <v>2024</v>
      </c>
      <c r="AH64" s="3" t="s">
        <v>52</v>
      </c>
      <c r="AI64" s="3" t="s">
        <v>53</v>
      </c>
      <c r="AJ64" s="3" t="str">
        <f aca="false">IF(AND(AI64="Completed",AH64="Failed"),"Inconsistent - Completed Order with Failed Payment","OK")</f>
        <v>OK</v>
      </c>
      <c r="AK64" s="3" t="s">
        <v>54</v>
      </c>
      <c r="AL64" s="3" t="str">
        <f aca="false">IF(OR(T64="Negative - Invalid",T64="Above Allowed Range - Invalid",AE64="Invalid - Ship Before Order",AK64&lt;&gt;"Unique",AB64="Mismatch",AC64="Mismatch",AJ64&lt;&gt;"OK"),"Invalid",IF(OR(H64="Yes",O64="Yes",T64="Missing"),"Warning","Clean"))</f>
        <v>Clean</v>
      </c>
    </row>
    <row r="65" customFormat="false" ht="15" hidden="false" customHeight="true" outlineLevel="0" collapsed="false">
      <c r="A65" s="3" t="s">
        <v>331</v>
      </c>
      <c r="B65" s="4" t="n">
        <v>45316</v>
      </c>
      <c r="C65" s="4" t="n">
        <v>45323</v>
      </c>
      <c r="D65" s="3" t="s">
        <v>332</v>
      </c>
      <c r="E65" s="3" t="s">
        <v>159</v>
      </c>
      <c r="F65" s="3" t="s">
        <v>121</v>
      </c>
      <c r="G65" s="3" t="s">
        <v>42</v>
      </c>
      <c r="H65" s="3" t="s">
        <v>43</v>
      </c>
      <c r="I65" s="3" t="s">
        <v>270</v>
      </c>
      <c r="J65" s="3" t="s">
        <v>271</v>
      </c>
      <c r="K65" s="3" t="s">
        <v>46</v>
      </c>
      <c r="L65" s="3" t="s">
        <v>183</v>
      </c>
      <c r="M65" s="3" t="s">
        <v>333</v>
      </c>
      <c r="N65" s="3" t="s">
        <v>65</v>
      </c>
      <c r="O65" s="3" t="s">
        <v>43</v>
      </c>
      <c r="P65" s="5" t="n">
        <v>2</v>
      </c>
      <c r="Q65" s="6" t="n">
        <v>2832.77</v>
      </c>
      <c r="R65" s="3" t="s">
        <v>107</v>
      </c>
      <c r="S65" s="7" t="n">
        <v>0.15</v>
      </c>
      <c r="T65" s="3" t="s">
        <v>51</v>
      </c>
      <c r="U65" s="7" t="n">
        <f aca="false">IF(T65="Valid",S65,0)</f>
        <v>0.15</v>
      </c>
      <c r="V65" s="6" t="n">
        <v>4815.71</v>
      </c>
      <c r="W65" s="6" t="n">
        <v>3027.75</v>
      </c>
      <c r="X65" s="6" t="n">
        <v>1917.47</v>
      </c>
      <c r="Y65" s="6" t="n">
        <f aca="false">P65*Q65*(1-U65)</f>
        <v>4815.709</v>
      </c>
      <c r="Z65" s="6" t="n">
        <f aca="false">Y65-W65</f>
        <v>1787.959</v>
      </c>
      <c r="AA65" s="8" t="n">
        <f aca="false">IF(Y65=0,0,Z65/Y65)</f>
        <v>0.3712763790337</v>
      </c>
      <c r="AB65" s="3" t="str">
        <f aca="false">IF(ABS(V65-Y65)&gt;1,"Mismatch","OK")</f>
        <v>OK</v>
      </c>
      <c r="AC65" s="3" t="str">
        <f aca="false">IF(ABS(X65-Z65)&gt;1,"Mismatch","OK")</f>
        <v>Mismatch</v>
      </c>
      <c r="AD65" s="5" t="n">
        <f aca="false">IF(OR(B65="",C65=""),"",C65-B65)</f>
        <v>7</v>
      </c>
      <c r="AE65" s="3" t="str">
        <f aca="false">IF(AD65="","Unknown",IF(AD65&lt;0,"Invalid - Ship Before Order","OK"))</f>
        <v>OK</v>
      </c>
      <c r="AF65" s="5" t="n">
        <f aca="false">IF(B65="","",MONTH(B65))</f>
        <v>1</v>
      </c>
      <c r="AG65" s="5" t="n">
        <f aca="false">IF(B65="","",YEAR(B65))</f>
        <v>2024</v>
      </c>
      <c r="AH65" s="3" t="s">
        <v>52</v>
      </c>
      <c r="AI65" s="3" t="s">
        <v>53</v>
      </c>
      <c r="AJ65" s="3" t="str">
        <f aca="false">IF(AND(AI65="Completed",AH65="Failed"),"Inconsistent - Completed Order with Failed Payment","OK")</f>
        <v>OK</v>
      </c>
      <c r="AK65" s="3" t="s">
        <v>54</v>
      </c>
      <c r="AL65" s="3" t="str">
        <f aca="false">IF(OR(T65="Negative - Invalid",T65="Above Allowed Range - Invalid",AE65="Invalid - Ship Before Order",AK65&lt;&gt;"Unique",AB65="Mismatch",AC65="Mismatch",AJ65&lt;&gt;"OK"),"Invalid",IF(OR(H65="Yes",O65="Yes",T65="Missing"),"Warning","Clean"))</f>
        <v>Invalid</v>
      </c>
    </row>
    <row r="66" customFormat="false" ht="15" hidden="false" customHeight="true" outlineLevel="0" collapsed="false">
      <c r="A66" s="3" t="s">
        <v>334</v>
      </c>
      <c r="B66" s="4" t="n">
        <v>45649</v>
      </c>
      <c r="C66" s="4" t="n">
        <v>45655</v>
      </c>
      <c r="D66" s="3" t="s">
        <v>335</v>
      </c>
      <c r="E66" s="3" t="s">
        <v>155</v>
      </c>
      <c r="F66" s="3" t="s">
        <v>116</v>
      </c>
      <c r="G66" s="3" t="s">
        <v>59</v>
      </c>
      <c r="H66" s="3" t="s">
        <v>43</v>
      </c>
      <c r="I66" s="3" t="s">
        <v>262</v>
      </c>
      <c r="J66" s="3" t="s">
        <v>263</v>
      </c>
      <c r="K66" s="3" t="s">
        <v>46</v>
      </c>
      <c r="L66" s="3" t="s">
        <v>47</v>
      </c>
      <c r="M66" s="3" t="s">
        <v>336</v>
      </c>
      <c r="N66" s="3" t="s">
        <v>72</v>
      </c>
      <c r="O66" s="3" t="s">
        <v>43</v>
      </c>
      <c r="P66" s="5" t="n">
        <v>7</v>
      </c>
      <c r="Q66" s="6" t="n">
        <v>447.84</v>
      </c>
      <c r="R66" s="3" t="s">
        <v>66</v>
      </c>
      <c r="S66" s="7" t="n">
        <v>0</v>
      </c>
      <c r="T66" s="3" t="s">
        <v>51</v>
      </c>
      <c r="U66" s="7" t="n">
        <f aca="false">IF(T66="Valid",S66,0)</f>
        <v>0</v>
      </c>
      <c r="V66" s="6" t="n">
        <v>3134.88</v>
      </c>
      <c r="W66" s="6" t="n">
        <v>2367.63</v>
      </c>
      <c r="X66" s="6" t="n">
        <v>767.25</v>
      </c>
      <c r="Y66" s="6" t="n">
        <f aca="false">P66*Q66*(1-U66)</f>
        <v>3134.88</v>
      </c>
      <c r="Z66" s="6" t="n">
        <f aca="false">Y66-W66</f>
        <v>767.25</v>
      </c>
      <c r="AA66" s="8" t="n">
        <f aca="false">IF(Y66=0,0,Z66/Y66)</f>
        <v>0.244746210381259</v>
      </c>
      <c r="AB66" s="3" t="str">
        <f aca="false">IF(ABS(V66-Y66)&gt;1,"Mismatch","OK")</f>
        <v>OK</v>
      </c>
      <c r="AC66" s="3" t="str">
        <f aca="false">IF(ABS(X66-Z66)&gt;1,"Mismatch","OK")</f>
        <v>OK</v>
      </c>
      <c r="AD66" s="5" t="n">
        <f aca="false">IF(OR(B66="",C66=""),"",C66-B66)</f>
        <v>6</v>
      </c>
      <c r="AE66" s="3" t="str">
        <f aca="false">IF(AD66="","Unknown",IF(AD66&lt;0,"Invalid - Ship Before Order","OK"))</f>
        <v>OK</v>
      </c>
      <c r="AF66" s="5" t="n">
        <f aca="false">IF(B66="","",MONTH(B66))</f>
        <v>12</v>
      </c>
      <c r="AG66" s="5" t="n">
        <f aca="false">IF(B66="","",YEAR(B66))</f>
        <v>2024</v>
      </c>
      <c r="AH66" s="3" t="s">
        <v>129</v>
      </c>
      <c r="AI66" s="3" t="s">
        <v>130</v>
      </c>
      <c r="AJ66" s="3" t="str">
        <f aca="false">IF(AND(AI66="Completed",AH66="Failed"),"Inconsistent - Completed Order with Failed Payment","OK")</f>
        <v>OK</v>
      </c>
      <c r="AK66" s="3" t="s">
        <v>54</v>
      </c>
      <c r="AL66" s="3" t="str">
        <f aca="false">IF(OR(T66="Negative - Invalid",T66="Above Allowed Range - Invalid",AE66="Invalid - Ship Before Order",AK66&lt;&gt;"Unique",AB66="Mismatch",AC66="Mismatch",AJ66&lt;&gt;"OK"),"Invalid",IF(OR(H66="Yes",O66="Yes",T66="Missing"),"Warning","Clean"))</f>
        <v>Clean</v>
      </c>
    </row>
    <row r="67" customFormat="false" ht="15" hidden="false" customHeight="true" outlineLevel="0" collapsed="false">
      <c r="A67" s="3" t="s">
        <v>337</v>
      </c>
      <c r="B67" s="4" t="n">
        <v>45404</v>
      </c>
      <c r="C67" s="4" t="n">
        <v>45409</v>
      </c>
      <c r="D67" s="3" t="s">
        <v>338</v>
      </c>
      <c r="E67" s="3" t="s">
        <v>57</v>
      </c>
      <c r="F67" s="3" t="s">
        <v>121</v>
      </c>
      <c r="G67" s="3" t="s">
        <v>88</v>
      </c>
      <c r="H67" s="3" t="s">
        <v>43</v>
      </c>
      <c r="I67" s="3" t="s">
        <v>89</v>
      </c>
      <c r="J67" s="3" t="s">
        <v>90</v>
      </c>
      <c r="K67" s="3" t="s">
        <v>46</v>
      </c>
      <c r="L67" s="3" t="s">
        <v>47</v>
      </c>
      <c r="M67" s="3" t="s">
        <v>339</v>
      </c>
      <c r="N67" s="3" t="s">
        <v>49</v>
      </c>
      <c r="O67" s="3" t="s">
        <v>43</v>
      </c>
      <c r="P67" s="5" t="n">
        <v>1</v>
      </c>
      <c r="Q67" s="6" t="n">
        <v>4280.19</v>
      </c>
      <c r="R67" s="3" t="s">
        <v>128</v>
      </c>
      <c r="S67" s="7" t="n">
        <v>0.05</v>
      </c>
      <c r="T67" s="3" t="s">
        <v>51</v>
      </c>
      <c r="U67" s="7" t="n">
        <f aca="false">IF(T67="Valid",S67,0)</f>
        <v>0.05</v>
      </c>
      <c r="V67" s="6" t="n">
        <v>4066.18</v>
      </c>
      <c r="W67" s="6" t="n">
        <v>2628.92</v>
      </c>
      <c r="X67" s="6" t="n">
        <v>1437.26</v>
      </c>
      <c r="Y67" s="6" t="n">
        <f aca="false">P67*Q67*(1-U67)</f>
        <v>4066.1805</v>
      </c>
      <c r="Z67" s="6" t="n">
        <f aca="false">Y67-W67</f>
        <v>1437.2605</v>
      </c>
      <c r="AA67" s="8" t="n">
        <f aca="false">IF(Y67=0,0,Z67/Y67)</f>
        <v>0.353466969801267</v>
      </c>
      <c r="AB67" s="3" t="str">
        <f aca="false">IF(ABS(V67-Y67)&gt;1,"Mismatch","OK")</f>
        <v>OK</v>
      </c>
      <c r="AC67" s="3" t="str">
        <f aca="false">IF(ABS(X67-Z67)&gt;1,"Mismatch","OK")</f>
        <v>OK</v>
      </c>
      <c r="AD67" s="5" t="n">
        <f aca="false">IF(OR(B67="",C67=""),"",C67-B67)</f>
        <v>5</v>
      </c>
      <c r="AE67" s="3" t="str">
        <f aca="false">IF(AD67="","Unknown",IF(AD67&lt;0,"Invalid - Ship Before Order","OK"))</f>
        <v>OK</v>
      </c>
      <c r="AF67" s="5" t="n">
        <f aca="false">IF(B67="","",MONTH(B67))</f>
        <v>4</v>
      </c>
      <c r="AG67" s="5" t="n">
        <f aca="false">IF(B67="","",YEAR(B67))</f>
        <v>2024</v>
      </c>
      <c r="AH67" s="3" t="s">
        <v>52</v>
      </c>
      <c r="AI67" s="3" t="s">
        <v>53</v>
      </c>
      <c r="AJ67" s="3" t="str">
        <f aca="false">IF(AND(AI67="Completed",AH67="Failed"),"Inconsistent - Completed Order with Failed Payment","OK")</f>
        <v>OK</v>
      </c>
      <c r="AK67" s="3" t="s">
        <v>54</v>
      </c>
      <c r="AL67" s="3" t="str">
        <f aca="false">IF(OR(T67="Negative - Invalid",T67="Above Allowed Range - Invalid",AE67="Invalid - Ship Before Order",AK67&lt;&gt;"Unique",AB67="Mismatch",AC67="Mismatch",AJ67&lt;&gt;"OK"),"Invalid",IF(OR(H67="Yes",O67="Yes",T67="Missing"),"Warning","Clean"))</f>
        <v>Clean</v>
      </c>
    </row>
    <row r="68" customFormat="false" ht="15" hidden="false" customHeight="true" outlineLevel="0" collapsed="false">
      <c r="A68" s="3" t="s">
        <v>340</v>
      </c>
      <c r="B68" s="4" t="n">
        <v>45897</v>
      </c>
      <c r="C68" s="4" t="n">
        <v>45901</v>
      </c>
      <c r="D68" s="3" t="s">
        <v>341</v>
      </c>
      <c r="E68" s="3" t="s">
        <v>40</v>
      </c>
      <c r="F68" s="3" t="s">
        <v>58</v>
      </c>
      <c r="G68" s="3" t="s">
        <v>78</v>
      </c>
      <c r="H68" s="3" t="s">
        <v>43</v>
      </c>
      <c r="I68" s="3" t="s">
        <v>281</v>
      </c>
      <c r="J68" s="3" t="s">
        <v>282</v>
      </c>
      <c r="K68" s="3" t="s">
        <v>99</v>
      </c>
      <c r="L68" s="3" t="s">
        <v>100</v>
      </c>
      <c r="M68" s="3" t="s">
        <v>342</v>
      </c>
      <c r="N68" s="3" t="s">
        <v>65</v>
      </c>
      <c r="O68" s="3" t="s">
        <v>43</v>
      </c>
      <c r="P68" s="5" t="n">
        <v>7</v>
      </c>
      <c r="Q68" s="6" t="n">
        <v>1057.46</v>
      </c>
      <c r="R68" s="3" t="s">
        <v>128</v>
      </c>
      <c r="S68" s="7" t="n">
        <v>0.05</v>
      </c>
      <c r="T68" s="3" t="s">
        <v>51</v>
      </c>
      <c r="U68" s="7" t="n">
        <f aca="false">IF(T68="Valid",S68,0)</f>
        <v>0.05</v>
      </c>
      <c r="V68" s="6" t="n">
        <v>7032.11</v>
      </c>
      <c r="W68" s="6" t="n">
        <v>4610.34</v>
      </c>
      <c r="X68" s="6" t="n">
        <v>2421.77</v>
      </c>
      <c r="Y68" s="6" t="n">
        <f aca="false">P68*Q68*(1-U68)</f>
        <v>7032.109</v>
      </c>
      <c r="Z68" s="6" t="n">
        <f aca="false">Y68-W68</f>
        <v>2421.769</v>
      </c>
      <c r="AA68" s="8" t="n">
        <f aca="false">IF(Y68=0,0,Z68/Y68)</f>
        <v>0.344387295475653</v>
      </c>
      <c r="AB68" s="3" t="str">
        <f aca="false">IF(ABS(V68-Y68)&gt;1,"Mismatch","OK")</f>
        <v>OK</v>
      </c>
      <c r="AC68" s="3" t="str">
        <f aca="false">IF(ABS(X68-Z68)&gt;1,"Mismatch","OK")</f>
        <v>OK</v>
      </c>
      <c r="AD68" s="5" t="n">
        <f aca="false">IF(OR(B68="",C68=""),"",C68-B68)</f>
        <v>4</v>
      </c>
      <c r="AE68" s="3" t="str">
        <f aca="false">IF(AD68="","Unknown",IF(AD68&lt;0,"Invalid - Ship Before Order","OK"))</f>
        <v>OK</v>
      </c>
      <c r="AF68" s="5" t="n">
        <f aca="false">IF(B68="","",MONTH(B68))</f>
        <v>8</v>
      </c>
      <c r="AG68" s="5" t="n">
        <f aca="false">IF(B68="","",YEAR(B68))</f>
        <v>2025</v>
      </c>
      <c r="AH68" s="3" t="s">
        <v>52</v>
      </c>
      <c r="AI68" s="3" t="s">
        <v>53</v>
      </c>
      <c r="AJ68" s="3" t="str">
        <f aca="false">IF(AND(AI68="Completed",AH68="Failed"),"Inconsistent - Completed Order with Failed Payment","OK")</f>
        <v>OK</v>
      </c>
      <c r="AK68" s="3" t="s">
        <v>54</v>
      </c>
      <c r="AL68" s="3" t="str">
        <f aca="false">IF(OR(T68="Negative - Invalid",T68="Above Allowed Range - Invalid",AE68="Invalid - Ship Before Order",AK68&lt;&gt;"Unique",AB68="Mismatch",AC68="Mismatch",AJ68&lt;&gt;"OK"),"Invalid",IF(OR(H68="Yes",O68="Yes",T68="Missing"),"Warning","Clean"))</f>
        <v>Clean</v>
      </c>
    </row>
    <row r="69" customFormat="false" ht="15" hidden="false" customHeight="true" outlineLevel="0" collapsed="false">
      <c r="A69" s="3" t="s">
        <v>343</v>
      </c>
      <c r="B69" s="4" t="n">
        <v>45691</v>
      </c>
      <c r="C69" s="4" t="n">
        <v>45695</v>
      </c>
      <c r="D69" s="3" t="s">
        <v>344</v>
      </c>
      <c r="E69" s="3" t="s">
        <v>298</v>
      </c>
      <c r="F69" s="3" t="s">
        <v>41</v>
      </c>
      <c r="G69" s="3" t="s">
        <v>42</v>
      </c>
      <c r="H69" s="3" t="s">
        <v>43</v>
      </c>
      <c r="I69" s="3" t="s">
        <v>270</v>
      </c>
      <c r="J69" s="3" t="s">
        <v>271</v>
      </c>
      <c r="K69" s="3" t="s">
        <v>46</v>
      </c>
      <c r="L69" s="3" t="s">
        <v>47</v>
      </c>
      <c r="M69" s="3" t="s">
        <v>345</v>
      </c>
      <c r="N69" s="3" t="s">
        <v>72</v>
      </c>
      <c r="O69" s="3" t="s">
        <v>43</v>
      </c>
      <c r="P69" s="5" t="n">
        <v>7</v>
      </c>
      <c r="Q69" s="6" t="n">
        <v>3609.34</v>
      </c>
      <c r="R69" s="3" t="s">
        <v>128</v>
      </c>
      <c r="S69" s="7" t="n">
        <v>0.05</v>
      </c>
      <c r="T69" s="3" t="s">
        <v>51</v>
      </c>
      <c r="U69" s="7" t="n">
        <f aca="false">IF(T69="Valid",S69,0)</f>
        <v>0.05</v>
      </c>
      <c r="V69" s="6" t="n">
        <v>24002.11</v>
      </c>
      <c r="W69" s="6" t="n">
        <v>18707.57</v>
      </c>
      <c r="X69" s="6" t="n">
        <v>5294.54</v>
      </c>
      <c r="Y69" s="6" t="n">
        <f aca="false">P69*Q69*(1-U69)</f>
        <v>24002.111</v>
      </c>
      <c r="Z69" s="6" t="n">
        <f aca="false">Y69-W69</f>
        <v>5294.541</v>
      </c>
      <c r="AA69" s="8" t="n">
        <f aca="false">IF(Y69=0,0,Z69/Y69)</f>
        <v>0.220586472581516</v>
      </c>
      <c r="AB69" s="3" t="str">
        <f aca="false">IF(ABS(V69-Y69)&gt;1,"Mismatch","OK")</f>
        <v>OK</v>
      </c>
      <c r="AC69" s="3" t="str">
        <f aca="false">IF(ABS(X69-Z69)&gt;1,"Mismatch","OK")</f>
        <v>OK</v>
      </c>
      <c r="AD69" s="5" t="n">
        <f aca="false">IF(OR(B69="",C69=""),"",C69-B69)</f>
        <v>4</v>
      </c>
      <c r="AE69" s="3" t="str">
        <f aca="false">IF(AD69="","Unknown",IF(AD69&lt;0,"Invalid - Ship Before Order","OK"))</f>
        <v>OK</v>
      </c>
      <c r="AF69" s="5" t="n">
        <f aca="false">IF(B69="","",MONTH(B69))</f>
        <v>2</v>
      </c>
      <c r="AG69" s="5" t="n">
        <f aca="false">IF(B69="","",YEAR(B69))</f>
        <v>2025</v>
      </c>
      <c r="AH69" s="3" t="s">
        <v>52</v>
      </c>
      <c r="AI69" s="3" t="s">
        <v>53</v>
      </c>
      <c r="AJ69" s="3" t="str">
        <f aca="false">IF(AND(AI69="Completed",AH69="Failed"),"Inconsistent - Completed Order with Failed Payment","OK")</f>
        <v>OK</v>
      </c>
      <c r="AK69" s="3" t="s">
        <v>54</v>
      </c>
      <c r="AL69" s="3" t="str">
        <f aca="false">IF(OR(T69="Negative - Invalid",T69="Above Allowed Range - Invalid",AE69="Invalid - Ship Before Order",AK69&lt;&gt;"Unique",AB69="Mismatch",AC69="Mismatch",AJ69&lt;&gt;"OK"),"Invalid",IF(OR(H69="Yes",O69="Yes",T69="Missing"),"Warning","Clean"))</f>
        <v>Clean</v>
      </c>
    </row>
    <row r="70" customFormat="false" ht="15" hidden="false" customHeight="true" outlineLevel="0" collapsed="false">
      <c r="A70" s="3" t="s">
        <v>346</v>
      </c>
      <c r="B70" s="4" t="n">
        <v>45606</v>
      </c>
      <c r="C70" s="4" t="n">
        <v>45609</v>
      </c>
      <c r="D70" s="3" t="s">
        <v>347</v>
      </c>
      <c r="E70" s="3" t="s">
        <v>69</v>
      </c>
      <c r="F70" s="3" t="s">
        <v>116</v>
      </c>
      <c r="G70" s="3" t="s">
        <v>59</v>
      </c>
      <c r="H70" s="3" t="s">
        <v>43</v>
      </c>
      <c r="I70" s="3" t="s">
        <v>262</v>
      </c>
      <c r="J70" s="3" t="s">
        <v>263</v>
      </c>
      <c r="K70" s="3" t="s">
        <v>46</v>
      </c>
      <c r="L70" s="3" t="s">
        <v>151</v>
      </c>
      <c r="M70" s="3" t="s">
        <v>348</v>
      </c>
      <c r="N70" s="3" t="s">
        <v>49</v>
      </c>
      <c r="O70" s="3" t="s">
        <v>43</v>
      </c>
      <c r="P70" s="5" t="n">
        <v>9</v>
      </c>
      <c r="Q70" s="6" t="n">
        <v>2211.12</v>
      </c>
      <c r="R70" s="3" t="s">
        <v>66</v>
      </c>
      <c r="S70" s="7" t="n">
        <v>0</v>
      </c>
      <c r="T70" s="3" t="s">
        <v>51</v>
      </c>
      <c r="U70" s="7" t="n">
        <f aca="false">IF(T70="Valid",S70,0)</f>
        <v>0</v>
      </c>
      <c r="V70" s="6" t="n">
        <v>19900.08</v>
      </c>
      <c r="W70" s="6" t="n">
        <v>10962.66</v>
      </c>
      <c r="X70" s="6" t="n">
        <v>8937.42</v>
      </c>
      <c r="Y70" s="6" t="n">
        <f aca="false">P70*Q70*(1-U70)</f>
        <v>19900.08</v>
      </c>
      <c r="Z70" s="6" t="n">
        <f aca="false">Y70-W70</f>
        <v>8937.42</v>
      </c>
      <c r="AA70" s="8" t="n">
        <f aca="false">IF(Y70=0,0,Z70/Y70)</f>
        <v>0.44911477742803</v>
      </c>
      <c r="AB70" s="3" t="str">
        <f aca="false">IF(ABS(V70-Y70)&gt;1,"Mismatch","OK")</f>
        <v>OK</v>
      </c>
      <c r="AC70" s="3" t="str">
        <f aca="false">IF(ABS(X70-Z70)&gt;1,"Mismatch","OK")</f>
        <v>OK</v>
      </c>
      <c r="AD70" s="5" t="n">
        <f aca="false">IF(OR(B70="",C70=""),"",C70-B70)</f>
        <v>3</v>
      </c>
      <c r="AE70" s="3" t="str">
        <f aca="false">IF(AD70="","Unknown",IF(AD70&lt;0,"Invalid - Ship Before Order","OK"))</f>
        <v>OK</v>
      </c>
      <c r="AF70" s="5" t="n">
        <f aca="false">IF(B70="","",MONTH(B70))</f>
        <v>11</v>
      </c>
      <c r="AG70" s="5" t="n">
        <f aca="false">IF(B70="","",YEAR(B70))</f>
        <v>2024</v>
      </c>
      <c r="AH70" s="3" t="s">
        <v>185</v>
      </c>
      <c r="AI70" s="3" t="s">
        <v>130</v>
      </c>
      <c r="AJ70" s="3" t="str">
        <f aca="false">IF(AND(AI70="Completed",AH70="Failed"),"Inconsistent - Completed Order with Failed Payment","OK")</f>
        <v>OK</v>
      </c>
      <c r="AK70" s="3" t="s">
        <v>54</v>
      </c>
      <c r="AL70" s="3" t="str">
        <f aca="false">IF(OR(T70="Negative - Invalid",T70="Above Allowed Range - Invalid",AE70="Invalid - Ship Before Order",AK70&lt;&gt;"Unique",AB70="Mismatch",AC70="Mismatch",AJ70&lt;&gt;"OK"),"Invalid",IF(OR(H70="Yes",O70="Yes",T70="Missing"),"Warning","Clean"))</f>
        <v>Clean</v>
      </c>
    </row>
    <row r="71" customFormat="false" ht="15" hidden="false" customHeight="true" outlineLevel="0" collapsed="false">
      <c r="A71" s="3" t="s">
        <v>349</v>
      </c>
      <c r="B71" s="4" t="n">
        <v>45391</v>
      </c>
      <c r="C71" s="4" t="n">
        <v>45396</v>
      </c>
      <c r="D71" s="3" t="s">
        <v>350</v>
      </c>
      <c r="E71" s="3" t="s">
        <v>104</v>
      </c>
      <c r="F71" s="3" t="s">
        <v>58</v>
      </c>
      <c r="G71" s="3" t="s">
        <v>88</v>
      </c>
      <c r="H71" s="3" t="s">
        <v>43</v>
      </c>
      <c r="I71" s="3" t="s">
        <v>211</v>
      </c>
      <c r="J71" s="3" t="s">
        <v>212</v>
      </c>
      <c r="K71" s="3" t="s">
        <v>99</v>
      </c>
      <c r="L71" s="3" t="s">
        <v>308</v>
      </c>
      <c r="M71" s="3" t="s">
        <v>351</v>
      </c>
      <c r="N71" s="3" t="s">
        <v>65</v>
      </c>
      <c r="O71" s="3" t="s">
        <v>43</v>
      </c>
      <c r="P71" s="5" t="n">
        <v>7</v>
      </c>
      <c r="Q71" s="6" t="n">
        <v>3417.09</v>
      </c>
      <c r="R71" s="3" t="s">
        <v>203</v>
      </c>
      <c r="S71" s="7" t="n">
        <v>0.1</v>
      </c>
      <c r="T71" s="3" t="s">
        <v>51</v>
      </c>
      <c r="U71" s="7" t="n">
        <f aca="false">IF(T71="Valid",S71,0)</f>
        <v>0.1</v>
      </c>
      <c r="V71" s="6" t="n">
        <v>21527.67</v>
      </c>
      <c r="W71" s="6" t="n">
        <v>18287.58</v>
      </c>
      <c r="X71" s="6" t="n">
        <v>3240.09</v>
      </c>
      <c r="Y71" s="6" t="n">
        <f aca="false">P71*Q71*(1-U71)</f>
        <v>21527.667</v>
      </c>
      <c r="Z71" s="6" t="n">
        <f aca="false">Y71-W71</f>
        <v>3240.087</v>
      </c>
      <c r="AA71" s="8" t="n">
        <f aca="false">IF(Y71=0,0,Z71/Y71)</f>
        <v>0.150508041582026</v>
      </c>
      <c r="AB71" s="3" t="str">
        <f aca="false">IF(ABS(V71-Y71)&gt;1,"Mismatch","OK")</f>
        <v>OK</v>
      </c>
      <c r="AC71" s="3" t="str">
        <f aca="false">IF(ABS(X71-Z71)&gt;1,"Mismatch","OK")</f>
        <v>OK</v>
      </c>
      <c r="AD71" s="5" t="n">
        <f aca="false">IF(OR(B71="",C71=""),"",C71-B71)</f>
        <v>5</v>
      </c>
      <c r="AE71" s="3" t="str">
        <f aca="false">IF(AD71="","Unknown",IF(AD71&lt;0,"Invalid - Ship Before Order","OK"))</f>
        <v>OK</v>
      </c>
      <c r="AF71" s="5" t="n">
        <f aca="false">IF(B71="","",MONTH(B71))</f>
        <v>4</v>
      </c>
      <c r="AG71" s="5" t="n">
        <f aca="false">IF(B71="","",YEAR(B71))</f>
        <v>2024</v>
      </c>
      <c r="AH71" s="3" t="s">
        <v>129</v>
      </c>
      <c r="AI71" s="3" t="s">
        <v>130</v>
      </c>
      <c r="AJ71" s="3" t="str">
        <f aca="false">IF(AND(AI71="Completed",AH71="Failed"),"Inconsistent - Completed Order with Failed Payment","OK")</f>
        <v>OK</v>
      </c>
      <c r="AK71" s="3" t="s">
        <v>54</v>
      </c>
      <c r="AL71" s="3" t="str">
        <f aca="false">IF(OR(T71="Negative - Invalid",T71="Above Allowed Range - Invalid",AE71="Invalid - Ship Before Order",AK71&lt;&gt;"Unique",AB71="Mismatch",AC71="Mismatch",AJ71&lt;&gt;"OK"),"Invalid",IF(OR(H71="Yes",O71="Yes",T71="Missing"),"Warning","Clean"))</f>
        <v>Clean</v>
      </c>
    </row>
    <row r="72" customFormat="false" ht="15" hidden="false" customHeight="true" outlineLevel="0" collapsed="false">
      <c r="A72" s="3" t="s">
        <v>352</v>
      </c>
      <c r="B72" s="4" t="n">
        <v>45891</v>
      </c>
      <c r="C72" s="4" t="n">
        <v>45896</v>
      </c>
      <c r="D72" s="3" t="s">
        <v>353</v>
      </c>
      <c r="E72" s="3" t="s">
        <v>40</v>
      </c>
      <c r="F72" s="3" t="s">
        <v>116</v>
      </c>
      <c r="G72" s="3" t="s">
        <v>78</v>
      </c>
      <c r="H72" s="3" t="s">
        <v>43</v>
      </c>
      <c r="I72" s="3" t="s">
        <v>110</v>
      </c>
      <c r="J72" s="3" t="s">
        <v>111</v>
      </c>
      <c r="K72" s="3" t="s">
        <v>99</v>
      </c>
      <c r="L72" s="3" t="s">
        <v>201</v>
      </c>
      <c r="M72" s="3" t="s">
        <v>354</v>
      </c>
      <c r="N72" s="3" t="s">
        <v>72</v>
      </c>
      <c r="O72" s="3" t="s">
        <v>43</v>
      </c>
      <c r="P72" s="5" t="n">
        <v>2</v>
      </c>
      <c r="Q72" s="6" t="n">
        <v>905.87</v>
      </c>
      <c r="R72" s="3" t="s">
        <v>107</v>
      </c>
      <c r="S72" s="7" t="n">
        <v>0.15</v>
      </c>
      <c r="T72" s="3" t="s">
        <v>51</v>
      </c>
      <c r="U72" s="7" t="n">
        <f aca="false">IF(T72="Valid",S72,0)</f>
        <v>0.15</v>
      </c>
      <c r="V72" s="6" t="n">
        <v>1539.98</v>
      </c>
      <c r="W72" s="6" t="n">
        <v>1070.2</v>
      </c>
      <c r="X72" s="6" t="n">
        <v>469.78</v>
      </c>
      <c r="Y72" s="6" t="n">
        <f aca="false">P72*Q72*(1-U72)</f>
        <v>1539.979</v>
      </c>
      <c r="Z72" s="6" t="n">
        <f aca="false">Y72-W72</f>
        <v>469.779</v>
      </c>
      <c r="AA72" s="8" t="n">
        <f aca="false">IF(Y72=0,0,Z72/Y72)</f>
        <v>0.305055458548461</v>
      </c>
      <c r="AB72" s="3" t="str">
        <f aca="false">IF(ABS(V72-Y72)&gt;1,"Mismatch","OK")</f>
        <v>OK</v>
      </c>
      <c r="AC72" s="3" t="str">
        <f aca="false">IF(ABS(X72-Z72)&gt;1,"Mismatch","OK")</f>
        <v>OK</v>
      </c>
      <c r="AD72" s="5" t="n">
        <f aca="false">IF(OR(B72="",C72=""),"",C72-B72)</f>
        <v>5</v>
      </c>
      <c r="AE72" s="3" t="str">
        <f aca="false">IF(AD72="","Unknown",IF(AD72&lt;0,"Invalid - Ship Before Order","OK"))</f>
        <v>OK</v>
      </c>
      <c r="AF72" s="5" t="n">
        <f aca="false">IF(B72="","",MONTH(B72))</f>
        <v>8</v>
      </c>
      <c r="AG72" s="5" t="n">
        <f aca="false">IF(B72="","",YEAR(B72))</f>
        <v>2025</v>
      </c>
      <c r="AH72" s="3" t="s">
        <v>52</v>
      </c>
      <c r="AI72" s="3" t="s">
        <v>53</v>
      </c>
      <c r="AJ72" s="3" t="str">
        <f aca="false">IF(AND(AI72="Completed",AH72="Failed"),"Inconsistent - Completed Order with Failed Payment","OK")</f>
        <v>OK</v>
      </c>
      <c r="AK72" s="3" t="s">
        <v>54</v>
      </c>
      <c r="AL72" s="3" t="str">
        <f aca="false">IF(OR(T72="Negative - Invalid",T72="Above Allowed Range - Invalid",AE72="Invalid - Ship Before Order",AK72&lt;&gt;"Unique",AB72="Mismatch",AC72="Mismatch",AJ72&lt;&gt;"OK"),"Invalid",IF(OR(H72="Yes",O72="Yes",T72="Missing"),"Warning","Clean"))</f>
        <v>Clean</v>
      </c>
    </row>
    <row r="73" customFormat="false" ht="15" hidden="false" customHeight="true" outlineLevel="0" collapsed="false">
      <c r="A73" s="3" t="s">
        <v>355</v>
      </c>
      <c r="B73" s="4" t="n">
        <v>45763</v>
      </c>
      <c r="C73" s="4" t="n">
        <v>45770</v>
      </c>
      <c r="D73" s="3" t="s">
        <v>356</v>
      </c>
      <c r="E73" s="3" t="s">
        <v>57</v>
      </c>
      <c r="F73" s="3" t="s">
        <v>58</v>
      </c>
      <c r="G73" s="3" t="s">
        <v>88</v>
      </c>
      <c r="H73" s="3" t="s">
        <v>43</v>
      </c>
      <c r="I73" s="3" t="s">
        <v>221</v>
      </c>
      <c r="J73" s="3" t="s">
        <v>222</v>
      </c>
      <c r="K73" s="3" t="s">
        <v>99</v>
      </c>
      <c r="L73" s="3" t="s">
        <v>308</v>
      </c>
      <c r="M73" s="3" t="s">
        <v>357</v>
      </c>
      <c r="N73" s="3" t="s">
        <v>83</v>
      </c>
      <c r="O73" s="3" t="s">
        <v>43</v>
      </c>
      <c r="P73" s="5" t="n">
        <v>6</v>
      </c>
      <c r="Q73" s="6" t="n">
        <v>2027.32</v>
      </c>
      <c r="R73" s="3" t="s">
        <v>203</v>
      </c>
      <c r="S73" s="7" t="n">
        <v>0.1</v>
      </c>
      <c r="T73" s="3" t="s">
        <v>51</v>
      </c>
      <c r="U73" s="7" t="n">
        <f aca="false">IF(T73="Valid",S73,0)</f>
        <v>0.1</v>
      </c>
      <c r="V73" s="6" t="n">
        <v>10947.53</v>
      </c>
      <c r="W73" s="6" t="n">
        <v>6447.36</v>
      </c>
      <c r="X73" s="6" t="n">
        <v>4500.17</v>
      </c>
      <c r="Y73" s="6" t="n">
        <f aca="false">P73*Q73*(1-U73)</f>
        <v>10947.528</v>
      </c>
      <c r="Z73" s="6" t="n">
        <f aca="false">Y73-W73</f>
        <v>4500.168</v>
      </c>
      <c r="AA73" s="8" t="n">
        <f aca="false">IF(Y73=0,0,Z73/Y73)</f>
        <v>0.411067046368824</v>
      </c>
      <c r="AB73" s="3" t="str">
        <f aca="false">IF(ABS(V73-Y73)&gt;1,"Mismatch","OK")</f>
        <v>OK</v>
      </c>
      <c r="AC73" s="3" t="str">
        <f aca="false">IF(ABS(X73-Z73)&gt;1,"Mismatch","OK")</f>
        <v>OK</v>
      </c>
      <c r="AD73" s="5" t="n">
        <f aca="false">IF(OR(B73="",C73=""),"",C73-B73)</f>
        <v>7</v>
      </c>
      <c r="AE73" s="3" t="str">
        <f aca="false">IF(AD73="","Unknown",IF(AD73&lt;0,"Invalid - Ship Before Order","OK"))</f>
        <v>OK</v>
      </c>
      <c r="AF73" s="5" t="n">
        <f aca="false">IF(B73="","",MONTH(B73))</f>
        <v>4</v>
      </c>
      <c r="AG73" s="5" t="n">
        <f aca="false">IF(B73="","",YEAR(B73))</f>
        <v>2025</v>
      </c>
      <c r="AH73" s="3" t="s">
        <v>52</v>
      </c>
      <c r="AI73" s="3" t="s">
        <v>53</v>
      </c>
      <c r="AJ73" s="3" t="str">
        <f aca="false">IF(AND(AI73="Completed",AH73="Failed"),"Inconsistent - Completed Order with Failed Payment","OK")</f>
        <v>OK</v>
      </c>
      <c r="AK73" s="3" t="s">
        <v>54</v>
      </c>
      <c r="AL73" s="3" t="str">
        <f aca="false">IF(OR(T73="Negative - Invalid",T73="Above Allowed Range - Invalid",AE73="Invalid - Ship Before Order",AK73&lt;&gt;"Unique",AB73="Mismatch",AC73="Mismatch",AJ73&lt;&gt;"OK"),"Invalid",IF(OR(H73="Yes",O73="Yes",T73="Missing"),"Warning","Clean"))</f>
        <v>Clean</v>
      </c>
    </row>
    <row r="74" customFormat="false" ht="15" hidden="false" customHeight="true" outlineLevel="0" collapsed="false">
      <c r="A74" s="3" t="s">
        <v>358</v>
      </c>
      <c r="B74" s="4" t="n">
        <v>45333</v>
      </c>
      <c r="C74" s="4" t="n">
        <v>45329</v>
      </c>
      <c r="D74" s="3" t="s">
        <v>359</v>
      </c>
      <c r="E74" s="3" t="s">
        <v>40</v>
      </c>
      <c r="F74" s="3" t="s">
        <v>121</v>
      </c>
      <c r="G74" s="3" t="s">
        <v>78</v>
      </c>
      <c r="H74" s="3" t="s">
        <v>43</v>
      </c>
      <c r="I74" s="3" t="s">
        <v>281</v>
      </c>
      <c r="J74" s="3" t="s">
        <v>282</v>
      </c>
      <c r="K74" s="3" t="s">
        <v>62</v>
      </c>
      <c r="L74" s="3" t="s">
        <v>63</v>
      </c>
      <c r="M74" s="3" t="s">
        <v>360</v>
      </c>
      <c r="N74" s="3" t="s">
        <v>72</v>
      </c>
      <c r="O74" s="3" t="s">
        <v>43</v>
      </c>
      <c r="P74" s="5" t="n">
        <v>7</v>
      </c>
      <c r="Q74" s="6" t="n">
        <v>2287.47</v>
      </c>
      <c r="R74" s="3" t="s">
        <v>107</v>
      </c>
      <c r="S74" s="7" t="n">
        <v>0.15</v>
      </c>
      <c r="T74" s="3" t="s">
        <v>51</v>
      </c>
      <c r="U74" s="7" t="n">
        <f aca="false">IF(T74="Valid",S74,0)</f>
        <v>0.15</v>
      </c>
      <c r="V74" s="6" t="n">
        <v>13610.45</v>
      </c>
      <c r="W74" s="6" t="n">
        <v>10039.05</v>
      </c>
      <c r="X74" s="6" t="n">
        <v>3571.4</v>
      </c>
      <c r="Y74" s="6" t="n">
        <f aca="false">P74*Q74*(1-U74)</f>
        <v>13610.4465</v>
      </c>
      <c r="Z74" s="6" t="n">
        <f aca="false">Y74-W74</f>
        <v>3571.3965</v>
      </c>
      <c r="AA74" s="8" t="n">
        <f aca="false">IF(Y74=0,0,Z74/Y74)</f>
        <v>0.262401126957885</v>
      </c>
      <c r="AB74" s="3" t="str">
        <f aca="false">IF(ABS(V74-Y74)&gt;1,"Mismatch","OK")</f>
        <v>OK</v>
      </c>
      <c r="AC74" s="3" t="str">
        <f aca="false">IF(ABS(X74-Z74)&gt;1,"Mismatch","OK")</f>
        <v>OK</v>
      </c>
      <c r="AD74" s="5" t="n">
        <f aca="false">IF(OR(B74="",C74=""),"",C74-B74)</f>
        <v>-4</v>
      </c>
      <c r="AE74" s="3" t="str">
        <f aca="false">IF(AD74="","Unknown",IF(AD74&lt;0,"Invalid - Ship Before Order","OK"))</f>
        <v>Invalid - Ship Before Order</v>
      </c>
      <c r="AF74" s="5" t="n">
        <f aca="false">IF(B74="","",MONTH(B74))</f>
        <v>2</v>
      </c>
      <c r="AG74" s="5" t="n">
        <f aca="false">IF(B74="","",YEAR(B74))</f>
        <v>2024</v>
      </c>
      <c r="AH74" s="3" t="s">
        <v>52</v>
      </c>
      <c r="AI74" s="3" t="s">
        <v>53</v>
      </c>
      <c r="AJ74" s="3" t="str">
        <f aca="false">IF(AND(AI74="Completed",AH74="Failed"),"Inconsistent - Completed Order with Failed Payment","OK")</f>
        <v>OK</v>
      </c>
      <c r="AK74" s="3" t="s">
        <v>54</v>
      </c>
      <c r="AL74" s="3" t="str">
        <f aca="false">IF(OR(T74="Negative - Invalid",T74="Above Allowed Range - Invalid",AE74="Invalid - Ship Before Order",AK74&lt;&gt;"Unique",AB74="Mismatch",AC74="Mismatch",AJ74&lt;&gt;"OK"),"Invalid",IF(OR(H74="Yes",O74="Yes",T74="Missing"),"Warning","Clean"))</f>
        <v>Invalid</v>
      </c>
    </row>
    <row r="75" customFormat="false" ht="15" hidden="false" customHeight="true" outlineLevel="0" collapsed="false">
      <c r="A75" s="3" t="s">
        <v>361</v>
      </c>
      <c r="B75" s="4" t="n">
        <v>45745</v>
      </c>
      <c r="C75" s="4" t="n">
        <v>45750</v>
      </c>
      <c r="D75" s="3" t="s">
        <v>362</v>
      </c>
      <c r="E75" s="3" t="s">
        <v>159</v>
      </c>
      <c r="F75" s="3" t="s">
        <v>116</v>
      </c>
      <c r="G75" s="3" t="s">
        <v>59</v>
      </c>
      <c r="H75" s="3" t="s">
        <v>43</v>
      </c>
      <c r="I75" s="3" t="s">
        <v>125</v>
      </c>
      <c r="J75" s="3" t="s">
        <v>126</v>
      </c>
      <c r="K75" s="3" t="s">
        <v>62</v>
      </c>
      <c r="L75" s="3" t="s">
        <v>188</v>
      </c>
      <c r="M75" s="3" t="s">
        <v>363</v>
      </c>
      <c r="N75" s="3" t="s">
        <v>72</v>
      </c>
      <c r="O75" s="3" t="s">
        <v>43</v>
      </c>
      <c r="P75" s="5" t="n">
        <v>5</v>
      </c>
      <c r="Q75" s="6" t="n">
        <v>1425.74</v>
      </c>
      <c r="R75" s="3" t="s">
        <v>66</v>
      </c>
      <c r="S75" s="7" t="n">
        <v>0</v>
      </c>
      <c r="T75" s="3" t="s">
        <v>51</v>
      </c>
      <c r="U75" s="7" t="n">
        <f aca="false">IF(T75="Valid",S75,0)</f>
        <v>0</v>
      </c>
      <c r="V75" s="6" t="n">
        <v>7128.7</v>
      </c>
      <c r="W75" s="6" t="n">
        <v>4382.15</v>
      </c>
      <c r="X75" s="6" t="n">
        <v>2746.55</v>
      </c>
      <c r="Y75" s="6" t="n">
        <f aca="false">P75*Q75*(1-U75)</f>
        <v>7128.7</v>
      </c>
      <c r="Z75" s="6" t="n">
        <f aca="false">Y75-W75</f>
        <v>2746.55</v>
      </c>
      <c r="AA75" s="8" t="n">
        <f aca="false">IF(Y75=0,0,Z75/Y75)</f>
        <v>0.385280626201131</v>
      </c>
      <c r="AB75" s="3" t="str">
        <f aca="false">IF(ABS(V75-Y75)&gt;1,"Mismatch","OK")</f>
        <v>OK</v>
      </c>
      <c r="AC75" s="3" t="str">
        <f aca="false">IF(ABS(X75-Z75)&gt;1,"Mismatch","OK")</f>
        <v>OK</v>
      </c>
      <c r="AD75" s="5" t="n">
        <f aca="false">IF(OR(B75="",C75=""),"",C75-B75)</f>
        <v>5</v>
      </c>
      <c r="AE75" s="3" t="str">
        <f aca="false">IF(AD75="","Unknown",IF(AD75&lt;0,"Invalid - Ship Before Order","OK"))</f>
        <v>OK</v>
      </c>
      <c r="AF75" s="5" t="n">
        <f aca="false">IF(B75="","",MONTH(B75))</f>
        <v>3</v>
      </c>
      <c r="AG75" s="5" t="n">
        <f aca="false">IF(B75="","",YEAR(B75))</f>
        <v>2025</v>
      </c>
      <c r="AH75" s="3" t="s">
        <v>52</v>
      </c>
      <c r="AI75" s="3" t="s">
        <v>53</v>
      </c>
      <c r="AJ75" s="3" t="str">
        <f aca="false">IF(AND(AI75="Completed",AH75="Failed"),"Inconsistent - Completed Order with Failed Payment","OK")</f>
        <v>OK</v>
      </c>
      <c r="AK75" s="3" t="s">
        <v>54</v>
      </c>
      <c r="AL75" s="3" t="str">
        <f aca="false">IF(OR(T75="Negative - Invalid",T75="Above Allowed Range - Invalid",AE75="Invalid - Ship Before Order",AK75&lt;&gt;"Unique",AB75="Mismatch",AC75="Mismatch",AJ75&lt;&gt;"OK"),"Invalid",IF(OR(H75="Yes",O75="Yes",T75="Missing"),"Warning","Clean"))</f>
        <v>Clean</v>
      </c>
    </row>
    <row r="76" customFormat="false" ht="15" hidden="false" customHeight="true" outlineLevel="0" collapsed="false">
      <c r="A76" s="3" t="s">
        <v>364</v>
      </c>
      <c r="B76" s="4" t="n">
        <v>45715</v>
      </c>
      <c r="C76" s="4" t="n">
        <v>45717</v>
      </c>
      <c r="D76" s="3" t="s">
        <v>365</v>
      </c>
      <c r="E76" s="3" t="s">
        <v>96</v>
      </c>
      <c r="F76" s="3" t="s">
        <v>58</v>
      </c>
      <c r="G76" s="3" t="s">
        <v>59</v>
      </c>
      <c r="H76" s="3" t="s">
        <v>43</v>
      </c>
      <c r="I76" s="3" t="s">
        <v>125</v>
      </c>
      <c r="J76" s="3" t="s">
        <v>126</v>
      </c>
      <c r="K76" s="3" t="s">
        <v>62</v>
      </c>
      <c r="L76" s="3" t="s">
        <v>91</v>
      </c>
      <c r="M76" s="3" t="s">
        <v>366</v>
      </c>
      <c r="N76" s="3" t="s">
        <v>83</v>
      </c>
      <c r="O76" s="3" t="s">
        <v>43</v>
      </c>
      <c r="P76" s="5" t="n">
        <v>6</v>
      </c>
      <c r="Q76" s="6" t="n">
        <v>551.64</v>
      </c>
      <c r="R76" s="3" t="s">
        <v>66</v>
      </c>
      <c r="S76" s="7" t="n">
        <v>0</v>
      </c>
      <c r="T76" s="3" t="s">
        <v>51</v>
      </c>
      <c r="U76" s="7" t="n">
        <f aca="false">IF(T76="Valid",S76,0)</f>
        <v>0</v>
      </c>
      <c r="V76" s="6" t="n">
        <v>3309.84</v>
      </c>
      <c r="W76" s="6" t="n">
        <v>2671.08</v>
      </c>
      <c r="X76" s="6" t="n">
        <v>638.76</v>
      </c>
      <c r="Y76" s="6" t="n">
        <f aca="false">P76*Q76*(1-U76)</f>
        <v>3309.84</v>
      </c>
      <c r="Z76" s="6" t="n">
        <f aca="false">Y76-W76</f>
        <v>638.76</v>
      </c>
      <c r="AA76" s="8" t="n">
        <f aca="false">IF(Y76=0,0,Z76/Y76)</f>
        <v>0.192988180697556</v>
      </c>
      <c r="AB76" s="3" t="str">
        <f aca="false">IF(ABS(V76-Y76)&gt;1,"Mismatch","OK")</f>
        <v>OK</v>
      </c>
      <c r="AC76" s="3" t="str">
        <f aca="false">IF(ABS(X76-Z76)&gt;1,"Mismatch","OK")</f>
        <v>OK</v>
      </c>
      <c r="AD76" s="5" t="n">
        <f aca="false">IF(OR(B76="",C76=""),"",C76-B76)</f>
        <v>2</v>
      </c>
      <c r="AE76" s="3" t="str">
        <f aca="false">IF(AD76="","Unknown",IF(AD76&lt;0,"Invalid - Ship Before Order","OK"))</f>
        <v>OK</v>
      </c>
      <c r="AF76" s="5" t="n">
        <f aca="false">IF(B76="","",MONTH(B76))</f>
        <v>2</v>
      </c>
      <c r="AG76" s="5" t="n">
        <f aca="false">IF(B76="","",YEAR(B76))</f>
        <v>2025</v>
      </c>
      <c r="AH76" s="3" t="s">
        <v>52</v>
      </c>
      <c r="AI76" s="3" t="s">
        <v>53</v>
      </c>
      <c r="AJ76" s="3" t="str">
        <f aca="false">IF(AND(AI76="Completed",AH76="Failed"),"Inconsistent - Completed Order with Failed Payment","OK")</f>
        <v>OK</v>
      </c>
      <c r="AK76" s="3" t="s">
        <v>54</v>
      </c>
      <c r="AL76" s="3" t="str">
        <f aca="false">IF(OR(T76="Negative - Invalid",T76="Above Allowed Range - Invalid",AE76="Invalid - Ship Before Order",AK76&lt;&gt;"Unique",AB76="Mismatch",AC76="Mismatch",AJ76&lt;&gt;"OK"),"Invalid",IF(OR(H76="Yes",O76="Yes",T76="Missing"),"Warning","Clean"))</f>
        <v>Clean</v>
      </c>
    </row>
    <row r="77" customFormat="false" ht="15" hidden="false" customHeight="true" outlineLevel="0" collapsed="false">
      <c r="A77" s="3" t="s">
        <v>367</v>
      </c>
      <c r="B77" s="4" t="n">
        <v>45891</v>
      </c>
      <c r="C77" s="4" t="n">
        <v>45896</v>
      </c>
      <c r="D77" s="3" t="s">
        <v>368</v>
      </c>
      <c r="E77" s="3" t="s">
        <v>141</v>
      </c>
      <c r="F77" s="3" t="s">
        <v>58</v>
      </c>
      <c r="G77" s="3" t="s">
        <v>59</v>
      </c>
      <c r="H77" s="3" t="s">
        <v>43</v>
      </c>
      <c r="I77" s="3" t="s">
        <v>60</v>
      </c>
      <c r="J77" s="3" t="s">
        <v>61</v>
      </c>
      <c r="K77" s="3" t="s">
        <v>46</v>
      </c>
      <c r="L77" s="3" t="s">
        <v>117</v>
      </c>
      <c r="M77" s="3" t="s">
        <v>369</v>
      </c>
      <c r="N77" s="3" t="s">
        <v>72</v>
      </c>
      <c r="O77" s="3" t="s">
        <v>43</v>
      </c>
      <c r="P77" s="5" t="n">
        <v>3</v>
      </c>
      <c r="Q77" s="6" t="n">
        <v>3294.82</v>
      </c>
      <c r="R77" s="3" t="s">
        <v>50</v>
      </c>
      <c r="S77" s="7" t="n">
        <v>0.2</v>
      </c>
      <c r="T77" s="3" t="s">
        <v>51</v>
      </c>
      <c r="U77" s="7" t="n">
        <f aca="false">IF(T77="Valid",S77,0)</f>
        <v>0.2</v>
      </c>
      <c r="V77" s="6" t="n">
        <v>7907.57</v>
      </c>
      <c r="W77" s="6" t="n">
        <v>5391.18</v>
      </c>
      <c r="X77" s="6" t="n">
        <v>2516.39</v>
      </c>
      <c r="Y77" s="6" t="n">
        <f aca="false">P77*Q77*(1-U77)</f>
        <v>7907.568</v>
      </c>
      <c r="Z77" s="6" t="n">
        <f aca="false">Y77-W77</f>
        <v>2516.388</v>
      </c>
      <c r="AA77" s="8" t="n">
        <f aca="false">IF(Y77=0,0,Z77/Y77)</f>
        <v>0.318225274825332</v>
      </c>
      <c r="AB77" s="3" t="str">
        <f aca="false">IF(ABS(V77-Y77)&gt;1,"Mismatch","OK")</f>
        <v>OK</v>
      </c>
      <c r="AC77" s="3" t="str">
        <f aca="false">IF(ABS(X77-Z77)&gt;1,"Mismatch","OK")</f>
        <v>OK</v>
      </c>
      <c r="AD77" s="5" t="n">
        <f aca="false">IF(OR(B77="",C77=""),"",C77-B77)</f>
        <v>5</v>
      </c>
      <c r="AE77" s="3" t="str">
        <f aca="false">IF(AD77="","Unknown",IF(AD77&lt;0,"Invalid - Ship Before Order","OK"))</f>
        <v>OK</v>
      </c>
      <c r="AF77" s="5" t="n">
        <f aca="false">IF(B77="","",MONTH(B77))</f>
        <v>8</v>
      </c>
      <c r="AG77" s="5" t="n">
        <f aca="false">IF(B77="","",YEAR(B77))</f>
        <v>2025</v>
      </c>
      <c r="AH77" s="3" t="s">
        <v>52</v>
      </c>
      <c r="AI77" s="3" t="s">
        <v>53</v>
      </c>
      <c r="AJ77" s="3" t="str">
        <f aca="false">IF(AND(AI77="Completed",AH77="Failed"),"Inconsistent - Completed Order with Failed Payment","OK")</f>
        <v>OK</v>
      </c>
      <c r="AK77" s="3" t="s">
        <v>54</v>
      </c>
      <c r="AL77" s="3" t="str">
        <f aca="false">IF(OR(T77="Negative - Invalid",T77="Above Allowed Range - Invalid",AE77="Invalid - Ship Before Order",AK77&lt;&gt;"Unique",AB77="Mismatch",AC77="Mismatch",AJ77&lt;&gt;"OK"),"Invalid",IF(OR(H77="Yes",O77="Yes",T77="Missing"),"Warning","Clean"))</f>
        <v>Clean</v>
      </c>
    </row>
    <row r="78" customFormat="false" ht="15" hidden="false" customHeight="true" outlineLevel="0" collapsed="false">
      <c r="A78" s="3" t="s">
        <v>370</v>
      </c>
      <c r="B78" s="4" t="n">
        <v>45599</v>
      </c>
      <c r="C78" s="4" t="n">
        <v>45607</v>
      </c>
      <c r="D78" s="3" t="s">
        <v>371</v>
      </c>
      <c r="E78" s="3" t="s">
        <v>87</v>
      </c>
      <c r="F78" s="3" t="s">
        <v>116</v>
      </c>
      <c r="G78" s="3" t="s">
        <v>59</v>
      </c>
      <c r="H78" s="3" t="s">
        <v>43</v>
      </c>
      <c r="I78" s="3" t="s">
        <v>262</v>
      </c>
      <c r="J78" s="3" t="s">
        <v>263</v>
      </c>
      <c r="K78" s="3" t="s">
        <v>46</v>
      </c>
      <c r="L78" s="3" t="s">
        <v>117</v>
      </c>
      <c r="M78" s="3" t="s">
        <v>372</v>
      </c>
      <c r="N78" s="3" t="s">
        <v>49</v>
      </c>
      <c r="O78" s="3" t="s">
        <v>43</v>
      </c>
      <c r="P78" s="5" t="n">
        <v>3</v>
      </c>
      <c r="Q78" s="6" t="n">
        <v>3406.27</v>
      </c>
      <c r="R78" s="3" t="s">
        <v>66</v>
      </c>
      <c r="S78" s="7" t="n">
        <v>0</v>
      </c>
      <c r="T78" s="3" t="s">
        <v>51</v>
      </c>
      <c r="U78" s="7" t="n">
        <f aca="false">IF(T78="Valid",S78,0)</f>
        <v>0</v>
      </c>
      <c r="V78" s="6" t="n">
        <v>10218.81</v>
      </c>
      <c r="W78" s="6" t="n">
        <v>7616.97</v>
      </c>
      <c r="X78" s="6" t="n">
        <v>2601.84</v>
      </c>
      <c r="Y78" s="6" t="n">
        <f aca="false">P78*Q78*(1-U78)</f>
        <v>10218.81</v>
      </c>
      <c r="Z78" s="6" t="n">
        <f aca="false">Y78-W78</f>
        <v>2601.84</v>
      </c>
      <c r="AA78" s="8" t="n">
        <f aca="false">IF(Y78=0,0,Z78/Y78)</f>
        <v>0.254612816952267</v>
      </c>
      <c r="AB78" s="3" t="str">
        <f aca="false">IF(ABS(V78-Y78)&gt;1,"Mismatch","OK")</f>
        <v>OK</v>
      </c>
      <c r="AC78" s="3" t="str">
        <f aca="false">IF(ABS(X78-Z78)&gt;1,"Mismatch","OK")</f>
        <v>OK</v>
      </c>
      <c r="AD78" s="5" t="n">
        <f aca="false">IF(OR(B78="",C78=""),"",C78-B78)</f>
        <v>8</v>
      </c>
      <c r="AE78" s="3" t="str">
        <f aca="false">IF(AD78="","Unknown",IF(AD78&lt;0,"Invalid - Ship Before Order","OK"))</f>
        <v>OK</v>
      </c>
      <c r="AF78" s="5" t="n">
        <f aca="false">IF(B78="","",MONTH(B78))</f>
        <v>11</v>
      </c>
      <c r="AG78" s="5" t="n">
        <f aca="false">IF(B78="","",YEAR(B78))</f>
        <v>2024</v>
      </c>
      <c r="AH78" s="3" t="s">
        <v>52</v>
      </c>
      <c r="AI78" s="3" t="s">
        <v>53</v>
      </c>
      <c r="AJ78" s="3" t="str">
        <f aca="false">IF(AND(AI78="Completed",AH78="Failed"),"Inconsistent - Completed Order with Failed Payment","OK")</f>
        <v>OK</v>
      </c>
      <c r="AK78" s="3" t="s">
        <v>54</v>
      </c>
      <c r="AL78" s="3" t="str">
        <f aca="false">IF(OR(T78="Negative - Invalid",T78="Above Allowed Range - Invalid",AE78="Invalid - Ship Before Order",AK78&lt;&gt;"Unique",AB78="Mismatch",AC78="Mismatch",AJ78&lt;&gt;"OK"),"Invalid",IF(OR(H78="Yes",O78="Yes",T78="Missing"),"Warning","Clean"))</f>
        <v>Clean</v>
      </c>
    </row>
    <row r="79" customFormat="false" ht="15" hidden="false" customHeight="true" outlineLevel="0" collapsed="false">
      <c r="A79" s="3" t="s">
        <v>373</v>
      </c>
      <c r="B79" s="4" t="n">
        <v>45846</v>
      </c>
      <c r="C79" s="4" t="n">
        <v>45850</v>
      </c>
      <c r="D79" s="3" t="s">
        <v>374</v>
      </c>
      <c r="E79" s="3" t="s">
        <v>168</v>
      </c>
      <c r="F79" s="3" t="s">
        <v>121</v>
      </c>
      <c r="G79" s="3" t="s">
        <v>42</v>
      </c>
      <c r="H79" s="3" t="s">
        <v>43</v>
      </c>
      <c r="I79" s="3" t="s">
        <v>163</v>
      </c>
      <c r="J79" s="3" t="s">
        <v>164</v>
      </c>
      <c r="K79" s="3" t="s">
        <v>62</v>
      </c>
      <c r="L79" s="3" t="s">
        <v>81</v>
      </c>
      <c r="M79" s="3" t="s">
        <v>375</v>
      </c>
      <c r="N79" s="3" t="s">
        <v>83</v>
      </c>
      <c r="O79" s="3" t="s">
        <v>43</v>
      </c>
      <c r="P79" s="5" t="n">
        <v>1</v>
      </c>
      <c r="Q79" s="6" t="n">
        <v>2582.2</v>
      </c>
      <c r="R79" s="3" t="s">
        <v>107</v>
      </c>
      <c r="S79" s="7" t="n">
        <v>0.15</v>
      </c>
      <c r="T79" s="3" t="s">
        <v>51</v>
      </c>
      <c r="U79" s="7" t="n">
        <f aca="false">IF(T79="Valid",S79,0)</f>
        <v>0.15</v>
      </c>
      <c r="V79" s="6" t="n">
        <v>2194.87</v>
      </c>
      <c r="W79" s="6" t="n">
        <v>1223.17</v>
      </c>
      <c r="X79" s="6" t="n">
        <v>971.7</v>
      </c>
      <c r="Y79" s="6" t="n">
        <f aca="false">P79*Q79*(1-U79)</f>
        <v>2194.87</v>
      </c>
      <c r="Z79" s="6" t="n">
        <f aca="false">Y79-W79</f>
        <v>971.7</v>
      </c>
      <c r="AA79" s="8" t="n">
        <f aca="false">IF(Y79=0,0,Z79/Y79)</f>
        <v>0.442714147079326</v>
      </c>
      <c r="AB79" s="3" t="str">
        <f aca="false">IF(ABS(V79-Y79)&gt;1,"Mismatch","OK")</f>
        <v>OK</v>
      </c>
      <c r="AC79" s="3" t="str">
        <f aca="false">IF(ABS(X79-Z79)&gt;1,"Mismatch","OK")</f>
        <v>OK</v>
      </c>
      <c r="AD79" s="5" t="n">
        <f aca="false">IF(OR(B79="",C79=""),"",C79-B79)</f>
        <v>4</v>
      </c>
      <c r="AE79" s="3" t="str">
        <f aca="false">IF(AD79="","Unknown",IF(AD79&lt;0,"Invalid - Ship Before Order","OK"))</f>
        <v>OK</v>
      </c>
      <c r="AF79" s="5" t="n">
        <f aca="false">IF(B79="","",MONTH(B79))</f>
        <v>7</v>
      </c>
      <c r="AG79" s="5" t="n">
        <f aca="false">IF(B79="","",YEAR(B79))</f>
        <v>2025</v>
      </c>
      <c r="AH79" s="3" t="s">
        <v>129</v>
      </c>
      <c r="AI79" s="3" t="s">
        <v>93</v>
      </c>
      <c r="AJ79" s="3" t="str">
        <f aca="false">IF(AND(AI79="Completed",AH79="Failed"),"Inconsistent - Completed Order with Failed Payment","OK")</f>
        <v>OK</v>
      </c>
      <c r="AK79" s="3" t="s">
        <v>54</v>
      </c>
      <c r="AL79" s="3" t="str">
        <f aca="false">IF(OR(T79="Negative - Invalid",T79="Above Allowed Range - Invalid",AE79="Invalid - Ship Before Order",AK79&lt;&gt;"Unique",AB79="Mismatch",AC79="Mismatch",AJ79&lt;&gt;"OK"),"Invalid",IF(OR(H79="Yes",O79="Yes",T79="Missing"),"Warning","Clean"))</f>
        <v>Clean</v>
      </c>
    </row>
    <row r="80" customFormat="false" ht="15" hidden="false" customHeight="true" outlineLevel="0" collapsed="false">
      <c r="A80" s="3" t="s">
        <v>376</v>
      </c>
      <c r="B80" s="4" t="n">
        <v>45854</v>
      </c>
      <c r="C80" s="4" t="n">
        <v>45859</v>
      </c>
      <c r="D80" s="3" t="s">
        <v>377</v>
      </c>
      <c r="E80" s="3" t="s">
        <v>159</v>
      </c>
      <c r="F80" s="3" t="s">
        <v>116</v>
      </c>
      <c r="G80" s="3" t="s">
        <v>59</v>
      </c>
      <c r="H80" s="3" t="s">
        <v>43</v>
      </c>
      <c r="I80" s="3" t="s">
        <v>125</v>
      </c>
      <c r="J80" s="3" t="s">
        <v>126</v>
      </c>
      <c r="K80" s="3" t="s">
        <v>62</v>
      </c>
      <c r="L80" s="3" t="s">
        <v>63</v>
      </c>
      <c r="M80" s="3" t="s">
        <v>378</v>
      </c>
      <c r="N80" s="3" t="s">
        <v>72</v>
      </c>
      <c r="O80" s="3" t="s">
        <v>43</v>
      </c>
      <c r="P80" s="5" t="n">
        <v>5</v>
      </c>
      <c r="Q80" s="6" t="n">
        <v>2129.51</v>
      </c>
      <c r="R80" s="3" t="s">
        <v>107</v>
      </c>
      <c r="S80" s="7" t="n">
        <v>0.15</v>
      </c>
      <c r="T80" s="3" t="s">
        <v>51</v>
      </c>
      <c r="U80" s="7" t="n">
        <f aca="false">IF(T80="Valid",S80,0)</f>
        <v>0.15</v>
      </c>
      <c r="V80" s="6" t="n">
        <v>9050.42</v>
      </c>
      <c r="W80" s="6" t="n">
        <v>6778.85</v>
      </c>
      <c r="X80" s="6" t="n">
        <v>2271.57</v>
      </c>
      <c r="Y80" s="6" t="n">
        <f aca="false">P80*Q80*(1-U80)</f>
        <v>9050.4175</v>
      </c>
      <c r="Z80" s="6" t="n">
        <f aca="false">Y80-W80</f>
        <v>2271.5675</v>
      </c>
      <c r="AA80" s="8" t="n">
        <f aca="false">IF(Y80=0,0,Z80/Y80)</f>
        <v>0.250990354864845</v>
      </c>
      <c r="AB80" s="3" t="str">
        <f aca="false">IF(ABS(V80-Y80)&gt;1,"Mismatch","OK")</f>
        <v>OK</v>
      </c>
      <c r="AC80" s="3" t="str">
        <f aca="false">IF(ABS(X80-Z80)&gt;1,"Mismatch","OK")</f>
        <v>OK</v>
      </c>
      <c r="AD80" s="5" t="n">
        <f aca="false">IF(OR(B80="",C80=""),"",C80-B80)</f>
        <v>5</v>
      </c>
      <c r="AE80" s="3" t="str">
        <f aca="false">IF(AD80="","Unknown",IF(AD80&lt;0,"Invalid - Ship Before Order","OK"))</f>
        <v>OK</v>
      </c>
      <c r="AF80" s="5" t="n">
        <f aca="false">IF(B80="","",MONTH(B80))</f>
        <v>7</v>
      </c>
      <c r="AG80" s="5" t="n">
        <f aca="false">IF(B80="","",YEAR(B80))</f>
        <v>2025</v>
      </c>
      <c r="AH80" s="3" t="s">
        <v>52</v>
      </c>
      <c r="AI80" s="3" t="s">
        <v>53</v>
      </c>
      <c r="AJ80" s="3" t="str">
        <f aca="false">IF(AND(AI80="Completed",AH80="Failed"),"Inconsistent - Completed Order with Failed Payment","OK")</f>
        <v>OK</v>
      </c>
      <c r="AK80" s="3" t="s">
        <v>54</v>
      </c>
      <c r="AL80" s="3" t="str">
        <f aca="false">IF(OR(T80="Negative - Invalid",T80="Above Allowed Range - Invalid",AE80="Invalid - Ship Before Order",AK80&lt;&gt;"Unique",AB80="Mismatch",AC80="Mismatch",AJ80&lt;&gt;"OK"),"Invalid",IF(OR(H80="Yes",O80="Yes",T80="Missing"),"Warning","Clean"))</f>
        <v>Clean</v>
      </c>
    </row>
    <row r="81" customFormat="false" ht="15" hidden="false" customHeight="true" outlineLevel="0" collapsed="false">
      <c r="A81" s="3" t="s">
        <v>379</v>
      </c>
      <c r="B81" s="4" t="n">
        <v>45927</v>
      </c>
      <c r="C81" s="4" t="n">
        <v>45933</v>
      </c>
      <c r="D81" s="3" t="s">
        <v>380</v>
      </c>
      <c r="E81" s="3" t="s">
        <v>192</v>
      </c>
      <c r="F81" s="3" t="s">
        <v>121</v>
      </c>
      <c r="G81" s="3" t="s">
        <v>78</v>
      </c>
      <c r="H81" s="3" t="s">
        <v>43</v>
      </c>
      <c r="I81" s="3" t="s">
        <v>281</v>
      </c>
      <c r="J81" s="3" t="s">
        <v>282</v>
      </c>
      <c r="K81" s="3" t="s">
        <v>62</v>
      </c>
      <c r="L81" s="3" t="s">
        <v>91</v>
      </c>
      <c r="M81" s="3" t="s">
        <v>381</v>
      </c>
      <c r="N81" s="3" t="s">
        <v>65</v>
      </c>
      <c r="O81" s="3" t="s">
        <v>43</v>
      </c>
      <c r="P81" s="5" t="n">
        <v>9</v>
      </c>
      <c r="Q81" s="6" t="n">
        <v>4131.52</v>
      </c>
      <c r="R81" s="3" t="s">
        <v>203</v>
      </c>
      <c r="S81" s="7" t="n">
        <v>0.1</v>
      </c>
      <c r="T81" s="3" t="s">
        <v>51</v>
      </c>
      <c r="U81" s="7" t="n">
        <f aca="false">IF(T81="Valid",S81,0)</f>
        <v>0.1</v>
      </c>
      <c r="V81" s="6" t="n">
        <v>33465.31</v>
      </c>
      <c r="W81" s="6" t="n">
        <v>24781.26</v>
      </c>
      <c r="X81" s="6" t="n">
        <v>8684.05</v>
      </c>
      <c r="Y81" s="6" t="n">
        <f aca="false">P81*Q81*(1-U81)</f>
        <v>33465.312</v>
      </c>
      <c r="Z81" s="6" t="n">
        <f aca="false">Y81-W81</f>
        <v>8684.05200000001</v>
      </c>
      <c r="AA81" s="8" t="n">
        <f aca="false">IF(Y81=0,0,Z81/Y81)</f>
        <v>0.259494129324119</v>
      </c>
      <c r="AB81" s="3" t="str">
        <f aca="false">IF(ABS(V81-Y81)&gt;1,"Mismatch","OK")</f>
        <v>OK</v>
      </c>
      <c r="AC81" s="3" t="str">
        <f aca="false">IF(ABS(X81-Z81)&gt;1,"Mismatch","OK")</f>
        <v>OK</v>
      </c>
      <c r="AD81" s="5" t="n">
        <f aca="false">IF(OR(B81="",C81=""),"",C81-B81)</f>
        <v>6</v>
      </c>
      <c r="AE81" s="3" t="str">
        <f aca="false">IF(AD81="","Unknown",IF(AD81&lt;0,"Invalid - Ship Before Order","OK"))</f>
        <v>OK</v>
      </c>
      <c r="AF81" s="5" t="n">
        <f aca="false">IF(B81="","",MONTH(B81))</f>
        <v>9</v>
      </c>
      <c r="AG81" s="5" t="n">
        <f aca="false">IF(B81="","",YEAR(B81))</f>
        <v>2025</v>
      </c>
      <c r="AH81" s="3" t="s">
        <v>52</v>
      </c>
      <c r="AI81" s="3" t="s">
        <v>53</v>
      </c>
      <c r="AJ81" s="3" t="str">
        <f aca="false">IF(AND(AI81="Completed",AH81="Failed"),"Inconsistent - Completed Order with Failed Payment","OK")</f>
        <v>OK</v>
      </c>
      <c r="AK81" s="3" t="s">
        <v>54</v>
      </c>
      <c r="AL81" s="3" t="str">
        <f aca="false">IF(OR(T81="Negative - Invalid",T81="Above Allowed Range - Invalid",AE81="Invalid - Ship Before Order",AK81&lt;&gt;"Unique",AB81="Mismatch",AC81="Mismatch",AJ81&lt;&gt;"OK"),"Invalid",IF(OR(H81="Yes",O81="Yes",T81="Missing"),"Warning","Clean"))</f>
        <v>Clean</v>
      </c>
    </row>
    <row r="82" customFormat="false" ht="15" hidden="false" customHeight="true" outlineLevel="0" collapsed="false">
      <c r="A82" s="3" t="s">
        <v>382</v>
      </c>
      <c r="B82" s="4" t="n">
        <v>45514</v>
      </c>
      <c r="C82" s="4" t="n">
        <v>45518</v>
      </c>
      <c r="D82" s="3" t="s">
        <v>383</v>
      </c>
      <c r="E82" s="3" t="s">
        <v>155</v>
      </c>
      <c r="F82" s="3" t="s">
        <v>58</v>
      </c>
      <c r="G82" s="3" t="s">
        <v>42</v>
      </c>
      <c r="H82" s="3" t="s">
        <v>43</v>
      </c>
      <c r="I82" s="3" t="s">
        <v>384</v>
      </c>
      <c r="J82" s="3" t="s">
        <v>385</v>
      </c>
      <c r="K82" s="3" t="s">
        <v>46</v>
      </c>
      <c r="L82" s="3" t="s">
        <v>151</v>
      </c>
      <c r="M82" s="3" t="s">
        <v>386</v>
      </c>
      <c r="N82" s="3" t="s">
        <v>49</v>
      </c>
      <c r="O82" s="3" t="s">
        <v>43</v>
      </c>
      <c r="P82" s="5" t="n">
        <v>4</v>
      </c>
      <c r="Q82" s="6" t="n">
        <v>1182.32</v>
      </c>
      <c r="R82" s="3" t="s">
        <v>203</v>
      </c>
      <c r="S82" s="7" t="n">
        <v>0.1</v>
      </c>
      <c r="T82" s="3" t="s">
        <v>51</v>
      </c>
      <c r="U82" s="7" t="n">
        <f aca="false">IF(T82="Valid",S82,0)</f>
        <v>0.1</v>
      </c>
      <c r="V82" s="6" t="n">
        <v>4256.35</v>
      </c>
      <c r="W82" s="6" t="n">
        <v>2495.33</v>
      </c>
      <c r="X82" s="6" t="n">
        <v>1761.02</v>
      </c>
      <c r="Y82" s="6" t="n">
        <f aca="false">P82*Q82*(1-U82)</f>
        <v>4256.352</v>
      </c>
      <c r="Z82" s="6" t="n">
        <f aca="false">Y82-W82</f>
        <v>1761.022</v>
      </c>
      <c r="AA82" s="8" t="n">
        <f aca="false">IF(Y82=0,0,Z82/Y82)</f>
        <v>0.413739747088587</v>
      </c>
      <c r="AB82" s="3" t="str">
        <f aca="false">IF(ABS(V82-Y82)&gt;1,"Mismatch","OK")</f>
        <v>OK</v>
      </c>
      <c r="AC82" s="3" t="str">
        <f aca="false">IF(ABS(X82-Z82)&gt;1,"Mismatch","OK")</f>
        <v>OK</v>
      </c>
      <c r="AD82" s="5" t="n">
        <f aca="false">IF(OR(B82="",C82=""),"",C82-B82)</f>
        <v>4</v>
      </c>
      <c r="AE82" s="3" t="str">
        <f aca="false">IF(AD82="","Unknown",IF(AD82&lt;0,"Invalid - Ship Before Order","OK"))</f>
        <v>OK</v>
      </c>
      <c r="AF82" s="5" t="n">
        <f aca="false">IF(B82="","",MONTH(B82))</f>
        <v>8</v>
      </c>
      <c r="AG82" s="5" t="n">
        <f aca="false">IF(B82="","",YEAR(B82))</f>
        <v>2024</v>
      </c>
      <c r="AH82" s="3" t="s">
        <v>138</v>
      </c>
      <c r="AI82" s="3" t="s">
        <v>130</v>
      </c>
      <c r="AJ82" s="3" t="str">
        <f aca="false">IF(AND(AI82="Completed",AH82="Failed"),"Inconsistent - Completed Order with Failed Payment","OK")</f>
        <v>OK</v>
      </c>
      <c r="AK82" s="3" t="s">
        <v>54</v>
      </c>
      <c r="AL82" s="3" t="str">
        <f aca="false">IF(OR(T82="Negative - Invalid",T82="Above Allowed Range - Invalid",AE82="Invalid - Ship Before Order",AK82&lt;&gt;"Unique",AB82="Mismatch",AC82="Mismatch",AJ82&lt;&gt;"OK"),"Invalid",IF(OR(H82="Yes",O82="Yes",T82="Missing"),"Warning","Clean"))</f>
        <v>Clean</v>
      </c>
    </row>
    <row r="83" customFormat="false" ht="15" hidden="false" customHeight="true" outlineLevel="0" collapsed="false">
      <c r="A83" s="3" t="s">
        <v>387</v>
      </c>
      <c r="B83" s="4" t="n">
        <v>45732</v>
      </c>
      <c r="C83" s="4" t="n">
        <v>45733</v>
      </c>
      <c r="D83" s="3" t="s">
        <v>388</v>
      </c>
      <c r="E83" s="3" t="s">
        <v>40</v>
      </c>
      <c r="F83" s="3" t="s">
        <v>121</v>
      </c>
      <c r="G83" s="3" t="s">
        <v>88</v>
      </c>
      <c r="H83" s="3" t="s">
        <v>43</v>
      </c>
      <c r="I83" s="3" t="s">
        <v>221</v>
      </c>
      <c r="J83" s="3" t="s">
        <v>222</v>
      </c>
      <c r="K83" s="3" t="s">
        <v>46</v>
      </c>
      <c r="L83" s="3" t="s">
        <v>117</v>
      </c>
      <c r="M83" s="3" t="s">
        <v>389</v>
      </c>
      <c r="N83" s="3" t="s">
        <v>65</v>
      </c>
      <c r="O83" s="3" t="s">
        <v>43</v>
      </c>
      <c r="P83" s="5" t="n">
        <v>3</v>
      </c>
      <c r="Q83" s="6" t="n">
        <v>1841.91</v>
      </c>
      <c r="R83" s="3" t="s">
        <v>66</v>
      </c>
      <c r="S83" s="7" t="n">
        <v>0</v>
      </c>
      <c r="T83" s="3" t="s">
        <v>51</v>
      </c>
      <c r="U83" s="7" t="n">
        <f aca="false">IF(T83="Valid",S83,0)</f>
        <v>0</v>
      </c>
      <c r="V83" s="6" t="n">
        <v>5525.73</v>
      </c>
      <c r="W83" s="6" t="n">
        <v>3093.42</v>
      </c>
      <c r="X83" s="6" t="n">
        <v>2432.31</v>
      </c>
      <c r="Y83" s="6" t="n">
        <f aca="false">P83*Q83*(1-U83)</f>
        <v>5525.73</v>
      </c>
      <c r="Z83" s="6" t="n">
        <f aca="false">Y83-W83</f>
        <v>2432.31</v>
      </c>
      <c r="AA83" s="8" t="n">
        <f aca="false">IF(Y83=0,0,Z83/Y83)</f>
        <v>0.440178944682422</v>
      </c>
      <c r="AB83" s="3" t="str">
        <f aca="false">IF(ABS(V83-Y83)&gt;1,"Mismatch","OK")</f>
        <v>OK</v>
      </c>
      <c r="AC83" s="3" t="str">
        <f aca="false">IF(ABS(X83-Z83)&gt;1,"Mismatch","OK")</f>
        <v>OK</v>
      </c>
      <c r="AD83" s="5" t="n">
        <f aca="false">IF(OR(B83="",C83=""),"",C83-B83)</f>
        <v>1</v>
      </c>
      <c r="AE83" s="3" t="str">
        <f aca="false">IF(AD83="","Unknown",IF(AD83&lt;0,"Invalid - Ship Before Order","OK"))</f>
        <v>OK</v>
      </c>
      <c r="AF83" s="5" t="n">
        <f aca="false">IF(B83="","",MONTH(B83))</f>
        <v>3</v>
      </c>
      <c r="AG83" s="5" t="n">
        <f aca="false">IF(B83="","",YEAR(B83))</f>
        <v>2025</v>
      </c>
      <c r="AH83" s="3" t="s">
        <v>52</v>
      </c>
      <c r="AI83" s="3" t="s">
        <v>53</v>
      </c>
      <c r="AJ83" s="3" t="str">
        <f aca="false">IF(AND(AI83="Completed",AH83="Failed"),"Inconsistent - Completed Order with Failed Payment","OK")</f>
        <v>OK</v>
      </c>
      <c r="AK83" s="3" t="s">
        <v>54</v>
      </c>
      <c r="AL83" s="3" t="str">
        <f aca="false">IF(OR(T83="Negative - Invalid",T83="Above Allowed Range - Invalid",AE83="Invalid - Ship Before Order",AK83&lt;&gt;"Unique",AB83="Mismatch",AC83="Mismatch",AJ83&lt;&gt;"OK"),"Invalid",IF(OR(H83="Yes",O83="Yes",T83="Missing"),"Warning","Clean"))</f>
        <v>Clean</v>
      </c>
    </row>
    <row r="84" customFormat="false" ht="15" hidden="false" customHeight="true" outlineLevel="0" collapsed="false">
      <c r="A84" s="3" t="s">
        <v>390</v>
      </c>
      <c r="B84" s="4" t="n">
        <v>45507</v>
      </c>
      <c r="C84" s="4" t="n">
        <v>45508</v>
      </c>
      <c r="D84" s="3" t="s">
        <v>391</v>
      </c>
      <c r="E84" s="3" t="s">
        <v>77</v>
      </c>
      <c r="F84" s="3" t="s">
        <v>41</v>
      </c>
      <c r="G84" s="3" t="s">
        <v>42</v>
      </c>
      <c r="H84" s="3" t="s">
        <v>43</v>
      </c>
      <c r="I84" s="3" t="s">
        <v>163</v>
      </c>
      <c r="J84" s="3" t="s">
        <v>164</v>
      </c>
      <c r="K84" s="3" t="s">
        <v>99</v>
      </c>
      <c r="L84" s="3" t="s">
        <v>105</v>
      </c>
      <c r="M84" s="3" t="s">
        <v>392</v>
      </c>
      <c r="N84" s="3" t="s">
        <v>49</v>
      </c>
      <c r="O84" s="3" t="s">
        <v>43</v>
      </c>
      <c r="P84" s="5" t="n">
        <v>6</v>
      </c>
      <c r="Q84" s="6" t="n">
        <v>1001.73</v>
      </c>
      <c r="R84" s="3" t="s">
        <v>66</v>
      </c>
      <c r="S84" s="7" t="n">
        <v>0</v>
      </c>
      <c r="T84" s="3" t="s">
        <v>51</v>
      </c>
      <c r="U84" s="7" t="n">
        <f aca="false">IF(T84="Valid",S84,0)</f>
        <v>0</v>
      </c>
      <c r="V84" s="6" t="n">
        <v>6010.38</v>
      </c>
      <c r="W84" s="6" t="n">
        <v>3762.85</v>
      </c>
      <c r="X84" s="6" t="n">
        <v>2247.53</v>
      </c>
      <c r="Y84" s="6" t="n">
        <f aca="false">P84*Q84*(1-U84)</f>
        <v>6010.38</v>
      </c>
      <c r="Z84" s="6" t="n">
        <f aca="false">Y84-W84</f>
        <v>2247.53</v>
      </c>
      <c r="AA84" s="8" t="n">
        <f aca="false">IF(Y84=0,0,Z84/Y84)</f>
        <v>0.373941414685927</v>
      </c>
      <c r="AB84" s="3" t="str">
        <f aca="false">IF(ABS(V84-Y84)&gt;1,"Mismatch","OK")</f>
        <v>OK</v>
      </c>
      <c r="AC84" s="3" t="str">
        <f aca="false">IF(ABS(X84-Z84)&gt;1,"Mismatch","OK")</f>
        <v>OK</v>
      </c>
      <c r="AD84" s="5" t="n">
        <f aca="false">IF(OR(B84="",C84=""),"",C84-B84)</f>
        <v>1</v>
      </c>
      <c r="AE84" s="3" t="str">
        <f aca="false">IF(AD84="","Unknown",IF(AD84&lt;0,"Invalid - Ship Before Order","OK"))</f>
        <v>OK</v>
      </c>
      <c r="AF84" s="5" t="n">
        <f aca="false">IF(B84="","",MONTH(B84))</f>
        <v>8</v>
      </c>
      <c r="AG84" s="5" t="n">
        <f aca="false">IF(B84="","",YEAR(B84))</f>
        <v>2024</v>
      </c>
      <c r="AH84" s="3" t="s">
        <v>185</v>
      </c>
      <c r="AI84" s="3" t="s">
        <v>130</v>
      </c>
      <c r="AJ84" s="3" t="str">
        <f aca="false">IF(AND(AI84="Completed",AH84="Failed"),"Inconsistent - Completed Order with Failed Payment","OK")</f>
        <v>OK</v>
      </c>
      <c r="AK84" s="3" t="s">
        <v>54</v>
      </c>
      <c r="AL84" s="3" t="str">
        <f aca="false">IF(OR(T84="Negative - Invalid",T84="Above Allowed Range - Invalid",AE84="Invalid - Ship Before Order",AK84&lt;&gt;"Unique",AB84="Mismatch",AC84="Mismatch",AJ84&lt;&gt;"OK"),"Invalid",IF(OR(H84="Yes",O84="Yes",T84="Missing"),"Warning","Clean"))</f>
        <v>Clean</v>
      </c>
    </row>
    <row r="85" customFormat="false" ht="15" hidden="false" customHeight="true" outlineLevel="0" collapsed="false">
      <c r="A85" s="3" t="s">
        <v>393</v>
      </c>
      <c r="B85" s="4" t="n">
        <v>45591</v>
      </c>
      <c r="C85" s="4" t="n">
        <v>45594</v>
      </c>
      <c r="D85" s="3" t="s">
        <v>394</v>
      </c>
      <c r="E85" s="3" t="s">
        <v>115</v>
      </c>
      <c r="F85" s="3" t="s">
        <v>121</v>
      </c>
      <c r="G85" s="3" t="s">
        <v>88</v>
      </c>
      <c r="H85" s="3" t="s">
        <v>43</v>
      </c>
      <c r="I85" s="3" t="s">
        <v>89</v>
      </c>
      <c r="J85" s="3" t="s">
        <v>90</v>
      </c>
      <c r="K85" s="3" t="s">
        <v>62</v>
      </c>
      <c r="L85" s="3" t="s">
        <v>63</v>
      </c>
      <c r="M85" s="3" t="s">
        <v>395</v>
      </c>
      <c r="N85" s="3" t="s">
        <v>49</v>
      </c>
      <c r="O85" s="3" t="s">
        <v>43</v>
      </c>
      <c r="P85" s="5" t="n">
        <v>9</v>
      </c>
      <c r="Q85" s="6" t="n">
        <v>131.74</v>
      </c>
      <c r="R85" s="3" t="s">
        <v>50</v>
      </c>
      <c r="S85" s="7" t="n">
        <v>0.2</v>
      </c>
      <c r="T85" s="3" t="s">
        <v>51</v>
      </c>
      <c r="U85" s="7" t="n">
        <f aca="false">IF(T85="Valid",S85,0)</f>
        <v>0.2</v>
      </c>
      <c r="V85" s="6" t="n">
        <v>948.53</v>
      </c>
      <c r="W85" s="6" t="n">
        <v>674.62</v>
      </c>
      <c r="X85" s="6" t="n">
        <v>273.91</v>
      </c>
      <c r="Y85" s="6" t="n">
        <f aca="false">P85*Q85*(1-U85)</f>
        <v>948.528</v>
      </c>
      <c r="Z85" s="6" t="n">
        <f aca="false">Y85-W85</f>
        <v>273.908</v>
      </c>
      <c r="AA85" s="8" t="n">
        <f aca="false">IF(Y85=0,0,Z85/Y85)</f>
        <v>0.288771654605874</v>
      </c>
      <c r="AB85" s="3" t="str">
        <f aca="false">IF(ABS(V85-Y85)&gt;1,"Mismatch","OK")</f>
        <v>OK</v>
      </c>
      <c r="AC85" s="3" t="str">
        <f aca="false">IF(ABS(X85-Z85)&gt;1,"Mismatch","OK")</f>
        <v>OK</v>
      </c>
      <c r="AD85" s="5" t="n">
        <f aca="false">IF(OR(B85="",C85=""),"",C85-B85)</f>
        <v>3</v>
      </c>
      <c r="AE85" s="3" t="str">
        <f aca="false">IF(AD85="","Unknown",IF(AD85&lt;0,"Invalid - Ship Before Order","OK"))</f>
        <v>OK</v>
      </c>
      <c r="AF85" s="5" t="n">
        <f aca="false">IF(B85="","",MONTH(B85))</f>
        <v>10</v>
      </c>
      <c r="AG85" s="5" t="n">
        <f aca="false">IF(B85="","",YEAR(B85))</f>
        <v>2024</v>
      </c>
      <c r="AH85" s="3" t="s">
        <v>52</v>
      </c>
      <c r="AI85" s="3" t="s">
        <v>53</v>
      </c>
      <c r="AJ85" s="3" t="str">
        <f aca="false">IF(AND(AI85="Completed",AH85="Failed"),"Inconsistent - Completed Order with Failed Payment","OK")</f>
        <v>OK</v>
      </c>
      <c r="AK85" s="3" t="s">
        <v>54</v>
      </c>
      <c r="AL85" s="3" t="str">
        <f aca="false">IF(OR(T85="Negative - Invalid",T85="Above Allowed Range - Invalid",AE85="Invalid - Ship Before Order",AK85&lt;&gt;"Unique",AB85="Mismatch",AC85="Mismatch",AJ85&lt;&gt;"OK"),"Invalid",IF(OR(H85="Yes",O85="Yes",T85="Missing"),"Warning","Clean"))</f>
        <v>Clean</v>
      </c>
    </row>
    <row r="86" customFormat="false" ht="15" hidden="false" customHeight="true" outlineLevel="0" collapsed="false">
      <c r="A86" s="3" t="s">
        <v>396</v>
      </c>
      <c r="B86" s="4" t="n">
        <v>45566</v>
      </c>
      <c r="C86" s="4" t="n">
        <v>45568</v>
      </c>
      <c r="D86" s="3" t="s">
        <v>397</v>
      </c>
      <c r="E86" s="3" t="s">
        <v>168</v>
      </c>
      <c r="F86" s="3" t="s">
        <v>116</v>
      </c>
      <c r="G86" s="3" t="s">
        <v>78</v>
      </c>
      <c r="H86" s="3" t="s">
        <v>43</v>
      </c>
      <c r="I86" s="3" t="s">
        <v>281</v>
      </c>
      <c r="J86" s="3" t="s">
        <v>282</v>
      </c>
      <c r="K86" s="3" t="s">
        <v>99</v>
      </c>
      <c r="L86" s="3" t="s">
        <v>201</v>
      </c>
      <c r="M86" s="3" t="s">
        <v>398</v>
      </c>
      <c r="N86" s="3" t="s">
        <v>49</v>
      </c>
      <c r="O86" s="3" t="s">
        <v>43</v>
      </c>
      <c r="P86" s="5" t="n">
        <v>6</v>
      </c>
      <c r="Q86" s="6" t="n">
        <v>570.28</v>
      </c>
      <c r="R86" s="3" t="s">
        <v>50</v>
      </c>
      <c r="S86" s="7" t="n">
        <v>0.2</v>
      </c>
      <c r="T86" s="3" t="s">
        <v>51</v>
      </c>
      <c r="U86" s="7" t="n">
        <f aca="false">IF(T86="Valid",S86,0)</f>
        <v>0.2</v>
      </c>
      <c r="V86" s="6" t="n">
        <v>2737.34</v>
      </c>
      <c r="W86" s="6" t="n">
        <v>2085.44</v>
      </c>
      <c r="X86" s="6" t="n">
        <v>651.9</v>
      </c>
      <c r="Y86" s="6" t="n">
        <f aca="false">P86*Q86*(1-U86)</f>
        <v>2737.344</v>
      </c>
      <c r="Z86" s="6" t="n">
        <f aca="false">Y86-W86</f>
        <v>651.904</v>
      </c>
      <c r="AA86" s="8" t="n">
        <f aca="false">IF(Y86=0,0,Z86/Y86)</f>
        <v>0.238152018891305</v>
      </c>
      <c r="AB86" s="3" t="str">
        <f aca="false">IF(ABS(V86-Y86)&gt;1,"Mismatch","OK")</f>
        <v>OK</v>
      </c>
      <c r="AC86" s="3" t="str">
        <f aca="false">IF(ABS(X86-Z86)&gt;1,"Mismatch","OK")</f>
        <v>OK</v>
      </c>
      <c r="AD86" s="5" t="n">
        <f aca="false">IF(OR(B86="",C86=""),"",C86-B86)</f>
        <v>2</v>
      </c>
      <c r="AE86" s="3" t="str">
        <f aca="false">IF(AD86="","Unknown",IF(AD86&lt;0,"Invalid - Ship Before Order","OK"))</f>
        <v>OK</v>
      </c>
      <c r="AF86" s="5" t="n">
        <f aca="false">IF(B86="","",MONTH(B86))</f>
        <v>10</v>
      </c>
      <c r="AG86" s="5" t="n">
        <f aca="false">IF(B86="","",YEAR(B86))</f>
        <v>2024</v>
      </c>
      <c r="AH86" s="3" t="s">
        <v>52</v>
      </c>
      <c r="AI86" s="3" t="s">
        <v>53</v>
      </c>
      <c r="AJ86" s="3" t="str">
        <f aca="false">IF(AND(AI86="Completed",AH86="Failed"),"Inconsistent - Completed Order with Failed Payment","OK")</f>
        <v>OK</v>
      </c>
      <c r="AK86" s="3" t="s">
        <v>54</v>
      </c>
      <c r="AL86" s="3" t="str">
        <f aca="false">IF(OR(T86="Negative - Invalid",T86="Above Allowed Range - Invalid",AE86="Invalid - Ship Before Order",AK86&lt;&gt;"Unique",AB86="Mismatch",AC86="Mismatch",AJ86&lt;&gt;"OK"),"Invalid",IF(OR(H86="Yes",O86="Yes",T86="Missing"),"Warning","Clean"))</f>
        <v>Clean</v>
      </c>
    </row>
    <row r="87" customFormat="false" ht="15" hidden="false" customHeight="true" outlineLevel="0" collapsed="false">
      <c r="A87" s="3" t="s">
        <v>399</v>
      </c>
      <c r="B87" s="4" t="n">
        <v>45503</v>
      </c>
      <c r="C87" s="4" t="n">
        <v>45509</v>
      </c>
      <c r="D87" s="3" t="s">
        <v>400</v>
      </c>
      <c r="E87" s="3" t="s">
        <v>298</v>
      </c>
      <c r="F87" s="3" t="s">
        <v>116</v>
      </c>
      <c r="G87" s="3" t="s">
        <v>42</v>
      </c>
      <c r="H87" s="3" t="s">
        <v>43</v>
      </c>
      <c r="I87" s="3" t="s">
        <v>384</v>
      </c>
      <c r="J87" s="3" t="s">
        <v>385</v>
      </c>
      <c r="K87" s="3" t="s">
        <v>46</v>
      </c>
      <c r="L87" s="3" t="s">
        <v>183</v>
      </c>
      <c r="M87" s="3" t="s">
        <v>401</v>
      </c>
      <c r="N87" s="3" t="s">
        <v>83</v>
      </c>
      <c r="O87" s="3" t="s">
        <v>43</v>
      </c>
      <c r="P87" s="5" t="n">
        <v>1</v>
      </c>
      <c r="Q87" s="6" t="n">
        <v>608.64</v>
      </c>
      <c r="R87" s="3" t="s">
        <v>66</v>
      </c>
      <c r="S87" s="7" t="n">
        <v>0</v>
      </c>
      <c r="T87" s="3" t="s">
        <v>51</v>
      </c>
      <c r="U87" s="7" t="n">
        <f aca="false">IF(T87="Valid",S87,0)</f>
        <v>0</v>
      </c>
      <c r="V87" s="6" t="n">
        <v>608.64</v>
      </c>
      <c r="W87" s="6" t="n">
        <v>343.99</v>
      </c>
      <c r="X87" s="6" t="n">
        <v>264.65</v>
      </c>
      <c r="Y87" s="6" t="n">
        <f aca="false">P87*Q87*(1-U87)</f>
        <v>608.64</v>
      </c>
      <c r="Z87" s="6" t="n">
        <f aca="false">Y87-W87</f>
        <v>264.65</v>
      </c>
      <c r="AA87" s="8" t="n">
        <f aca="false">IF(Y87=0,0,Z87/Y87)</f>
        <v>0.434821898002103</v>
      </c>
      <c r="AB87" s="3" t="str">
        <f aca="false">IF(ABS(V87-Y87)&gt;1,"Mismatch","OK")</f>
        <v>OK</v>
      </c>
      <c r="AC87" s="3" t="str">
        <f aca="false">IF(ABS(X87-Z87)&gt;1,"Mismatch","OK")</f>
        <v>OK</v>
      </c>
      <c r="AD87" s="5" t="n">
        <f aca="false">IF(OR(B87="",C87=""),"",C87-B87)</f>
        <v>6</v>
      </c>
      <c r="AE87" s="3" t="str">
        <f aca="false">IF(AD87="","Unknown",IF(AD87&lt;0,"Invalid - Ship Before Order","OK"))</f>
        <v>OK</v>
      </c>
      <c r="AF87" s="5" t="n">
        <f aca="false">IF(B87="","",MONTH(B87))</f>
        <v>7</v>
      </c>
      <c r="AG87" s="5" t="n">
        <f aca="false">IF(B87="","",YEAR(B87))</f>
        <v>2024</v>
      </c>
      <c r="AH87" s="3" t="s">
        <v>52</v>
      </c>
      <c r="AI87" s="3" t="s">
        <v>93</v>
      </c>
      <c r="AJ87" s="3" t="str">
        <f aca="false">IF(AND(AI87="Completed",AH87="Failed"),"Inconsistent - Completed Order with Failed Payment","OK")</f>
        <v>OK</v>
      </c>
      <c r="AK87" s="3" t="s">
        <v>54</v>
      </c>
      <c r="AL87" s="3" t="str">
        <f aca="false">IF(OR(T87="Negative - Invalid",T87="Above Allowed Range - Invalid",AE87="Invalid - Ship Before Order",AK87&lt;&gt;"Unique",AB87="Mismatch",AC87="Mismatch",AJ87&lt;&gt;"OK"),"Invalid",IF(OR(H87="Yes",O87="Yes",T87="Missing"),"Warning","Clean"))</f>
        <v>Clean</v>
      </c>
    </row>
    <row r="88" customFormat="false" ht="15" hidden="false" customHeight="true" outlineLevel="0" collapsed="false">
      <c r="A88" s="3" t="s">
        <v>402</v>
      </c>
      <c r="B88" s="4" t="n">
        <v>45474</v>
      </c>
      <c r="C88" s="4" t="n">
        <v>45474</v>
      </c>
      <c r="D88" s="3" t="s">
        <v>403</v>
      </c>
      <c r="E88" s="3" t="s">
        <v>87</v>
      </c>
      <c r="F88" s="3" t="s">
        <v>58</v>
      </c>
      <c r="G88" s="3" t="s">
        <v>42</v>
      </c>
      <c r="H88" s="3" t="s">
        <v>43</v>
      </c>
      <c r="I88" s="3" t="s">
        <v>384</v>
      </c>
      <c r="J88" s="3" t="s">
        <v>385</v>
      </c>
      <c r="K88" s="3" t="s">
        <v>99</v>
      </c>
      <c r="L88" s="3" t="s">
        <v>105</v>
      </c>
      <c r="M88" s="3" t="s">
        <v>404</v>
      </c>
      <c r="N88" s="3" t="s">
        <v>49</v>
      </c>
      <c r="O88" s="3" t="s">
        <v>43</v>
      </c>
      <c r="P88" s="5" t="n">
        <v>3</v>
      </c>
      <c r="Q88" s="6" t="n">
        <v>885.28</v>
      </c>
      <c r="R88" s="3" t="s">
        <v>203</v>
      </c>
      <c r="S88" s="7" t="n">
        <v>0.1</v>
      </c>
      <c r="T88" s="3" t="s">
        <v>51</v>
      </c>
      <c r="U88" s="7" t="n">
        <f aca="false">IF(T88="Valid",S88,0)</f>
        <v>0.1</v>
      </c>
      <c r="V88" s="6" t="n">
        <v>2390.26</v>
      </c>
      <c r="W88" s="6" t="n">
        <v>1495.94</v>
      </c>
      <c r="X88" s="6" t="n">
        <v>894.32</v>
      </c>
      <c r="Y88" s="6" t="n">
        <f aca="false">P88*Q88*(1-U88)</f>
        <v>2390.256</v>
      </c>
      <c r="Z88" s="6" t="n">
        <f aca="false">Y88-W88</f>
        <v>894.316</v>
      </c>
      <c r="AA88" s="8" t="n">
        <f aca="false">IF(Y88=0,0,Z88/Y88)</f>
        <v>0.374150718584118</v>
      </c>
      <c r="AB88" s="3" t="str">
        <f aca="false">IF(ABS(V88-Y88)&gt;1,"Mismatch","OK")</f>
        <v>OK</v>
      </c>
      <c r="AC88" s="3" t="str">
        <f aca="false">IF(ABS(X88-Z88)&gt;1,"Mismatch","OK")</f>
        <v>OK</v>
      </c>
      <c r="AD88" s="5" t="n">
        <f aca="false">IF(OR(B88="",C88=""),"",C88-B88)</f>
        <v>0</v>
      </c>
      <c r="AE88" s="3" t="str">
        <f aca="false">IF(AD88="","Unknown",IF(AD88&lt;0,"Invalid - Ship Before Order","OK"))</f>
        <v>OK</v>
      </c>
      <c r="AF88" s="5" t="n">
        <f aca="false">IF(B88="","",MONTH(B88))</f>
        <v>7</v>
      </c>
      <c r="AG88" s="5" t="n">
        <f aca="false">IF(B88="","",YEAR(B88))</f>
        <v>2024</v>
      </c>
      <c r="AH88" s="3" t="s">
        <v>129</v>
      </c>
      <c r="AI88" s="3" t="s">
        <v>93</v>
      </c>
      <c r="AJ88" s="3" t="str">
        <f aca="false">IF(AND(AI88="Completed",AH88="Failed"),"Inconsistent - Completed Order with Failed Payment","OK")</f>
        <v>OK</v>
      </c>
      <c r="AK88" s="3" t="s">
        <v>54</v>
      </c>
      <c r="AL88" s="3" t="str">
        <f aca="false">IF(OR(T88="Negative - Invalid",T88="Above Allowed Range - Invalid",AE88="Invalid - Ship Before Order",AK88&lt;&gt;"Unique",AB88="Mismatch",AC88="Mismatch",AJ88&lt;&gt;"OK"),"Invalid",IF(OR(H88="Yes",O88="Yes",T88="Missing"),"Warning","Clean"))</f>
        <v>Clean</v>
      </c>
    </row>
    <row r="89" customFormat="false" ht="15" hidden="false" customHeight="true" outlineLevel="0" collapsed="false">
      <c r="A89" s="3" t="s">
        <v>405</v>
      </c>
      <c r="B89" s="4" t="n">
        <v>45506</v>
      </c>
      <c r="C89" s="4" t="n">
        <v>45507</v>
      </c>
      <c r="D89" s="3" t="s">
        <v>406</v>
      </c>
      <c r="E89" s="3" t="s">
        <v>96</v>
      </c>
      <c r="F89" s="3" t="s">
        <v>41</v>
      </c>
      <c r="G89" s="3" t="s">
        <v>59</v>
      </c>
      <c r="H89" s="3" t="s">
        <v>43</v>
      </c>
      <c r="I89" s="3" t="s">
        <v>196</v>
      </c>
      <c r="J89" s="3" t="s">
        <v>197</v>
      </c>
      <c r="K89" s="3" t="s">
        <v>46</v>
      </c>
      <c r="L89" s="3" t="s">
        <v>183</v>
      </c>
      <c r="M89" s="3" t="s">
        <v>407</v>
      </c>
      <c r="N89" s="3" t="s">
        <v>83</v>
      </c>
      <c r="O89" s="3" t="s">
        <v>43</v>
      </c>
      <c r="P89" s="5" t="n">
        <v>7</v>
      </c>
      <c r="Q89" s="6" t="n">
        <v>3345.22</v>
      </c>
      <c r="R89" s="3" t="s">
        <v>66</v>
      </c>
      <c r="S89" s="7" t="n">
        <v>0</v>
      </c>
      <c r="T89" s="3" t="s">
        <v>51</v>
      </c>
      <c r="U89" s="7" t="n">
        <f aca="false">IF(T89="Valid",S89,0)</f>
        <v>0</v>
      </c>
      <c r="V89" s="6" t="n">
        <v>23416.54</v>
      </c>
      <c r="W89" s="6" t="n">
        <v>15490.89</v>
      </c>
      <c r="X89" s="6" t="n">
        <v>7925.65</v>
      </c>
      <c r="Y89" s="6" t="n">
        <f aca="false">P89*Q89*(1-U89)</f>
        <v>23416.54</v>
      </c>
      <c r="Z89" s="6" t="n">
        <f aca="false">Y89-W89</f>
        <v>7925.65</v>
      </c>
      <c r="AA89" s="8" t="n">
        <f aca="false">IF(Y89=0,0,Z89/Y89)</f>
        <v>0.338463752544142</v>
      </c>
      <c r="AB89" s="3" t="str">
        <f aca="false">IF(ABS(V89-Y89)&gt;1,"Mismatch","OK")</f>
        <v>OK</v>
      </c>
      <c r="AC89" s="3" t="str">
        <f aca="false">IF(ABS(X89-Z89)&gt;1,"Mismatch","OK")</f>
        <v>OK</v>
      </c>
      <c r="AD89" s="5" t="n">
        <f aca="false">IF(OR(B89="",C89=""),"",C89-B89)</f>
        <v>1</v>
      </c>
      <c r="AE89" s="3" t="str">
        <f aca="false">IF(AD89="","Unknown",IF(AD89&lt;0,"Invalid - Ship Before Order","OK"))</f>
        <v>OK</v>
      </c>
      <c r="AF89" s="5" t="n">
        <f aca="false">IF(B89="","",MONTH(B89))</f>
        <v>8</v>
      </c>
      <c r="AG89" s="5" t="n">
        <f aca="false">IF(B89="","",YEAR(B89))</f>
        <v>2024</v>
      </c>
      <c r="AH89" s="3" t="s">
        <v>52</v>
      </c>
      <c r="AI89" s="3" t="s">
        <v>53</v>
      </c>
      <c r="AJ89" s="3" t="str">
        <f aca="false">IF(AND(AI89="Completed",AH89="Failed"),"Inconsistent - Completed Order with Failed Payment","OK")</f>
        <v>OK</v>
      </c>
      <c r="AK89" s="3" t="s">
        <v>54</v>
      </c>
      <c r="AL89" s="3" t="str">
        <f aca="false">IF(OR(T89="Negative - Invalid",T89="Above Allowed Range - Invalid",AE89="Invalid - Ship Before Order",AK89&lt;&gt;"Unique",AB89="Mismatch",AC89="Mismatch",AJ89&lt;&gt;"OK"),"Invalid",IF(OR(H89="Yes",O89="Yes",T89="Missing"),"Warning","Clean"))</f>
        <v>Clean</v>
      </c>
    </row>
    <row r="90" customFormat="false" ht="15" hidden="false" customHeight="true" outlineLevel="0" collapsed="false">
      <c r="A90" s="3" t="s">
        <v>408</v>
      </c>
      <c r="B90" s="4" t="n">
        <v>45375</v>
      </c>
      <c r="C90" s="4" t="n">
        <v>45378</v>
      </c>
      <c r="D90" s="3" t="s">
        <v>409</v>
      </c>
      <c r="E90" s="3" t="s">
        <v>168</v>
      </c>
      <c r="F90" s="3" t="s">
        <v>58</v>
      </c>
      <c r="G90" s="3" t="s">
        <v>88</v>
      </c>
      <c r="H90" s="3" t="s">
        <v>43</v>
      </c>
      <c r="I90" s="3" t="s">
        <v>89</v>
      </c>
      <c r="J90" s="3" t="s">
        <v>90</v>
      </c>
      <c r="K90" s="3" t="s">
        <v>62</v>
      </c>
      <c r="L90" s="3" t="s">
        <v>188</v>
      </c>
      <c r="M90" s="3" t="s">
        <v>410</v>
      </c>
      <c r="N90" s="3" t="s">
        <v>83</v>
      </c>
      <c r="O90" s="3" t="s">
        <v>43</v>
      </c>
      <c r="P90" s="5" t="n">
        <v>2</v>
      </c>
      <c r="Q90" s="6" t="n">
        <v>3284.75</v>
      </c>
      <c r="R90" s="3" t="s">
        <v>128</v>
      </c>
      <c r="S90" s="7" t="n">
        <v>0.05</v>
      </c>
      <c r="T90" s="3" t="s">
        <v>51</v>
      </c>
      <c r="U90" s="7" t="n">
        <f aca="false">IF(T90="Valid",S90,0)</f>
        <v>0.05</v>
      </c>
      <c r="V90" s="6" t="n">
        <v>6241.02</v>
      </c>
      <c r="W90" s="6" t="n">
        <v>5345.88</v>
      </c>
      <c r="X90" s="6" t="n">
        <v>895.14</v>
      </c>
      <c r="Y90" s="6" t="n">
        <f aca="false">P90*Q90*(1-U90)</f>
        <v>6241.025</v>
      </c>
      <c r="Z90" s="6" t="n">
        <f aca="false">Y90-W90</f>
        <v>895.145</v>
      </c>
      <c r="AA90" s="8" t="n">
        <f aca="false">IF(Y90=0,0,Z90/Y90)</f>
        <v>0.143429164279906</v>
      </c>
      <c r="AB90" s="3" t="str">
        <f aca="false">IF(ABS(V90-Y90)&gt;1,"Mismatch","OK")</f>
        <v>OK</v>
      </c>
      <c r="AC90" s="3" t="str">
        <f aca="false">IF(ABS(X90-Z90)&gt;1,"Mismatch","OK")</f>
        <v>OK</v>
      </c>
      <c r="AD90" s="5" t="n">
        <f aca="false">IF(OR(B90="",C90=""),"",C90-B90)</f>
        <v>3</v>
      </c>
      <c r="AE90" s="3" t="str">
        <f aca="false">IF(AD90="","Unknown",IF(AD90&lt;0,"Invalid - Ship Before Order","OK"))</f>
        <v>OK</v>
      </c>
      <c r="AF90" s="5" t="n">
        <f aca="false">IF(B90="","",MONTH(B90))</f>
        <v>3</v>
      </c>
      <c r="AG90" s="5" t="n">
        <f aca="false">IF(B90="","",YEAR(B90))</f>
        <v>2024</v>
      </c>
      <c r="AH90" s="3" t="s">
        <v>52</v>
      </c>
      <c r="AI90" s="3" t="s">
        <v>53</v>
      </c>
      <c r="AJ90" s="3" t="str">
        <f aca="false">IF(AND(AI90="Completed",AH90="Failed"),"Inconsistent - Completed Order with Failed Payment","OK")</f>
        <v>OK</v>
      </c>
      <c r="AK90" s="3" t="s">
        <v>54</v>
      </c>
      <c r="AL90" s="3" t="str">
        <f aca="false">IF(OR(T90="Negative - Invalid",T90="Above Allowed Range - Invalid",AE90="Invalid - Ship Before Order",AK90&lt;&gt;"Unique",AB90="Mismatch",AC90="Mismatch",AJ90&lt;&gt;"OK"),"Invalid",IF(OR(H90="Yes",O90="Yes",T90="Missing"),"Warning","Clean"))</f>
        <v>Clean</v>
      </c>
    </row>
    <row r="91" customFormat="false" ht="15" hidden="false" customHeight="true" outlineLevel="0" collapsed="false">
      <c r="A91" s="3" t="s">
        <v>411</v>
      </c>
      <c r="B91" s="4" t="n">
        <v>45540</v>
      </c>
      <c r="C91" s="4" t="n">
        <v>45540</v>
      </c>
      <c r="D91" s="3" t="s">
        <v>412</v>
      </c>
      <c r="E91" s="3" t="s">
        <v>298</v>
      </c>
      <c r="F91" s="3" t="s">
        <v>41</v>
      </c>
      <c r="G91" s="3" t="s">
        <v>78</v>
      </c>
      <c r="H91" s="3" t="s">
        <v>43</v>
      </c>
      <c r="I91" s="3" t="s">
        <v>110</v>
      </c>
      <c r="J91" s="3" t="s">
        <v>111</v>
      </c>
      <c r="K91" s="3" t="s">
        <v>62</v>
      </c>
      <c r="L91" s="3" t="s">
        <v>188</v>
      </c>
      <c r="M91" s="3" t="s">
        <v>413</v>
      </c>
      <c r="N91" s="3" t="s">
        <v>83</v>
      </c>
      <c r="O91" s="3" t="s">
        <v>43</v>
      </c>
      <c r="P91" s="5" t="n">
        <v>7</v>
      </c>
      <c r="Q91" s="6" t="n">
        <v>3761.09</v>
      </c>
      <c r="R91" s="3" t="s">
        <v>50</v>
      </c>
      <c r="S91" s="7" t="n">
        <v>0.2</v>
      </c>
      <c r="T91" s="3" t="s">
        <v>51</v>
      </c>
      <c r="U91" s="7" t="n">
        <f aca="false">IF(T91="Valid",S91,0)</f>
        <v>0.2</v>
      </c>
      <c r="V91" s="6" t="n">
        <v>21062.1</v>
      </c>
      <c r="W91" s="6" t="n">
        <v>12057.13</v>
      </c>
      <c r="X91" s="6" t="n">
        <v>9004.97</v>
      </c>
      <c r="Y91" s="6" t="n">
        <f aca="false">P91*Q91*(1-U91)</f>
        <v>21062.104</v>
      </c>
      <c r="Z91" s="6" t="n">
        <f aca="false">Y91-W91</f>
        <v>9004.974</v>
      </c>
      <c r="AA91" s="8" t="n">
        <f aca="false">IF(Y91=0,0,Z91/Y91)</f>
        <v>0.427543895899479</v>
      </c>
      <c r="AB91" s="3" t="str">
        <f aca="false">IF(ABS(V91-Y91)&gt;1,"Mismatch","OK")</f>
        <v>OK</v>
      </c>
      <c r="AC91" s="3" t="str">
        <f aca="false">IF(ABS(X91-Z91)&gt;1,"Mismatch","OK")</f>
        <v>OK</v>
      </c>
      <c r="AD91" s="5" t="n">
        <f aca="false">IF(OR(B91="",C91=""),"",C91-B91)</f>
        <v>0</v>
      </c>
      <c r="AE91" s="3" t="str">
        <f aca="false">IF(AD91="","Unknown",IF(AD91&lt;0,"Invalid - Ship Before Order","OK"))</f>
        <v>OK</v>
      </c>
      <c r="AF91" s="5" t="n">
        <f aca="false">IF(B91="","",MONTH(B91))</f>
        <v>9</v>
      </c>
      <c r="AG91" s="5" t="n">
        <f aca="false">IF(B91="","",YEAR(B91))</f>
        <v>2024</v>
      </c>
      <c r="AH91" s="3" t="s">
        <v>138</v>
      </c>
      <c r="AI91" s="3" t="s">
        <v>93</v>
      </c>
      <c r="AJ91" s="3" t="str">
        <f aca="false">IF(AND(AI91="Completed",AH91="Failed"),"Inconsistent - Completed Order with Failed Payment","OK")</f>
        <v>OK</v>
      </c>
      <c r="AK91" s="3" t="s">
        <v>54</v>
      </c>
      <c r="AL91" s="3" t="str">
        <f aca="false">IF(OR(T91="Negative - Invalid",T91="Above Allowed Range - Invalid",AE91="Invalid - Ship Before Order",AK91&lt;&gt;"Unique",AB91="Mismatch",AC91="Mismatch",AJ91&lt;&gt;"OK"),"Invalid",IF(OR(H91="Yes",O91="Yes",T91="Missing"),"Warning","Clean"))</f>
        <v>Clean</v>
      </c>
    </row>
    <row r="92" customFormat="false" ht="15" hidden="false" customHeight="true" outlineLevel="0" collapsed="false">
      <c r="A92" s="3" t="s">
        <v>414</v>
      </c>
      <c r="B92" s="4" t="n">
        <v>45893</v>
      </c>
      <c r="C92" s="4" t="n">
        <v>45898</v>
      </c>
      <c r="D92" s="3" t="s">
        <v>415</v>
      </c>
      <c r="E92" s="3" t="s">
        <v>155</v>
      </c>
      <c r="F92" s="3" t="s">
        <v>58</v>
      </c>
      <c r="G92" s="3" t="s">
        <v>59</v>
      </c>
      <c r="H92" s="3" t="s">
        <v>43</v>
      </c>
      <c r="I92" s="3" t="s">
        <v>174</v>
      </c>
      <c r="J92" s="3" t="s">
        <v>175</v>
      </c>
      <c r="K92" s="3" t="s">
        <v>99</v>
      </c>
      <c r="L92" s="3" t="s">
        <v>105</v>
      </c>
      <c r="M92" s="3" t="s">
        <v>416</v>
      </c>
      <c r="N92" s="3" t="s">
        <v>72</v>
      </c>
      <c r="O92" s="3" t="s">
        <v>43</v>
      </c>
      <c r="P92" s="5" t="n">
        <v>3</v>
      </c>
      <c r="Q92" s="6" t="n">
        <v>3703.96</v>
      </c>
      <c r="R92" s="3" t="s">
        <v>107</v>
      </c>
      <c r="S92" s="7" t="n">
        <v>0.15</v>
      </c>
      <c r="T92" s="3" t="s">
        <v>51</v>
      </c>
      <c r="U92" s="7" t="n">
        <f aca="false">IF(T92="Valid",S92,0)</f>
        <v>0.15</v>
      </c>
      <c r="V92" s="6" t="n">
        <v>9445.1</v>
      </c>
      <c r="W92" s="6" t="n">
        <v>5586.28</v>
      </c>
      <c r="X92" s="6" t="n">
        <v>3858.82</v>
      </c>
      <c r="Y92" s="6" t="n">
        <f aca="false">P92*Q92*(1-U92)</f>
        <v>9445.098</v>
      </c>
      <c r="Z92" s="6" t="n">
        <f aca="false">Y92-W92</f>
        <v>3858.818</v>
      </c>
      <c r="AA92" s="8" t="n">
        <f aca="false">IF(Y92=0,0,Z92/Y92)</f>
        <v>0.4085524575817</v>
      </c>
      <c r="AB92" s="3" t="str">
        <f aca="false">IF(ABS(V92-Y92)&gt;1,"Mismatch","OK")</f>
        <v>OK</v>
      </c>
      <c r="AC92" s="3" t="str">
        <f aca="false">IF(ABS(X92-Z92)&gt;1,"Mismatch","OK")</f>
        <v>OK</v>
      </c>
      <c r="AD92" s="5" t="n">
        <f aca="false">IF(OR(B92="",C92=""),"",C92-B92)</f>
        <v>5</v>
      </c>
      <c r="AE92" s="3" t="str">
        <f aca="false">IF(AD92="","Unknown",IF(AD92&lt;0,"Invalid - Ship Before Order","OK"))</f>
        <v>OK</v>
      </c>
      <c r="AF92" s="5" t="n">
        <f aca="false">IF(B92="","",MONTH(B92))</f>
        <v>8</v>
      </c>
      <c r="AG92" s="5" t="n">
        <f aca="false">IF(B92="","",YEAR(B92))</f>
        <v>2025</v>
      </c>
      <c r="AH92" s="3" t="s">
        <v>52</v>
      </c>
      <c r="AI92" s="3" t="s">
        <v>53</v>
      </c>
      <c r="AJ92" s="3" t="str">
        <f aca="false">IF(AND(AI92="Completed",AH92="Failed"),"Inconsistent - Completed Order with Failed Payment","OK")</f>
        <v>OK</v>
      </c>
      <c r="AK92" s="3" t="s">
        <v>417</v>
      </c>
      <c r="AL92" s="3" t="str">
        <f aca="false">IF(OR(T92="Negative - Invalid",T92="Above Allowed Range - Invalid",AE92="Invalid - Ship Before Order",AK92&lt;&gt;"Unique",AB92="Mismatch",AC92="Mismatch",AJ92&lt;&gt;"OK"),"Invalid",IF(OR(H92="Yes",O92="Yes",T92="Missing"),"Warning","Clean"))</f>
        <v>Invalid</v>
      </c>
    </row>
    <row r="93" customFormat="false" ht="15" hidden="false" customHeight="true" outlineLevel="0" collapsed="false">
      <c r="A93" s="3" t="s">
        <v>418</v>
      </c>
      <c r="B93" s="4" t="n">
        <v>45718</v>
      </c>
      <c r="C93" s="4" t="n">
        <v>45724</v>
      </c>
      <c r="D93" s="3" t="s">
        <v>419</v>
      </c>
      <c r="E93" s="3" t="s">
        <v>159</v>
      </c>
      <c r="F93" s="3" t="s">
        <v>116</v>
      </c>
      <c r="G93" s="3" t="s">
        <v>88</v>
      </c>
      <c r="H93" s="3" t="s">
        <v>43</v>
      </c>
      <c r="I93" s="3" t="s">
        <v>97</v>
      </c>
      <c r="J93" s="3" t="s">
        <v>98</v>
      </c>
      <c r="K93" s="3" t="s">
        <v>99</v>
      </c>
      <c r="L93" s="3" t="s">
        <v>105</v>
      </c>
      <c r="M93" s="3" t="s">
        <v>420</v>
      </c>
      <c r="N93" s="3" t="s">
        <v>49</v>
      </c>
      <c r="O93" s="3" t="s">
        <v>43</v>
      </c>
      <c r="P93" s="5" t="n">
        <v>9</v>
      </c>
      <c r="Q93" s="6" t="n">
        <v>269.68</v>
      </c>
      <c r="R93" s="3" t="s">
        <v>66</v>
      </c>
      <c r="S93" s="7" t="n">
        <v>0</v>
      </c>
      <c r="T93" s="3" t="s">
        <v>51</v>
      </c>
      <c r="U93" s="7" t="n">
        <f aca="false">IF(T93="Valid",S93,0)</f>
        <v>0</v>
      </c>
      <c r="V93" s="6" t="n">
        <v>2427.12</v>
      </c>
      <c r="W93" s="6" t="n">
        <v>1538.35</v>
      </c>
      <c r="X93" s="6" t="n">
        <v>804.53</v>
      </c>
      <c r="Y93" s="6" t="n">
        <f aca="false">P93*Q93*(1-U93)</f>
        <v>2427.12</v>
      </c>
      <c r="Z93" s="6" t="n">
        <f aca="false">Y93-W93</f>
        <v>888.77</v>
      </c>
      <c r="AA93" s="8" t="n">
        <f aca="false">IF(Y93=0,0,Z93/Y93)</f>
        <v>0.366182965819572</v>
      </c>
      <c r="AB93" s="3" t="str">
        <f aca="false">IF(ABS(V93-Y93)&gt;1,"Mismatch","OK")</f>
        <v>OK</v>
      </c>
      <c r="AC93" s="3" t="str">
        <f aca="false">IF(ABS(X93-Z93)&gt;1,"Mismatch","OK")</f>
        <v>Mismatch</v>
      </c>
      <c r="AD93" s="5" t="n">
        <f aca="false">IF(OR(B93="",C93=""),"",C93-B93)</f>
        <v>6</v>
      </c>
      <c r="AE93" s="3" t="str">
        <f aca="false">IF(AD93="","Unknown",IF(AD93&lt;0,"Invalid - Ship Before Order","OK"))</f>
        <v>OK</v>
      </c>
      <c r="AF93" s="5" t="n">
        <f aca="false">IF(B93="","",MONTH(B93))</f>
        <v>3</v>
      </c>
      <c r="AG93" s="5" t="n">
        <f aca="false">IF(B93="","",YEAR(B93))</f>
        <v>2025</v>
      </c>
      <c r="AH93" s="3" t="s">
        <v>52</v>
      </c>
      <c r="AI93" s="3" t="s">
        <v>53</v>
      </c>
      <c r="AJ93" s="3" t="str">
        <f aca="false">IF(AND(AI93="Completed",AH93="Failed"),"Inconsistent - Completed Order with Failed Payment","OK")</f>
        <v>OK</v>
      </c>
      <c r="AK93" s="3" t="s">
        <v>54</v>
      </c>
      <c r="AL93" s="3" t="str">
        <f aca="false">IF(OR(T93="Negative - Invalid",T93="Above Allowed Range - Invalid",AE93="Invalid - Ship Before Order",AK93&lt;&gt;"Unique",AB93="Mismatch",AC93="Mismatch",AJ93&lt;&gt;"OK"),"Invalid",IF(OR(H93="Yes",O93="Yes",T93="Missing"),"Warning","Clean"))</f>
        <v>Invalid</v>
      </c>
    </row>
    <row r="94" customFormat="false" ht="15" hidden="false" customHeight="true" outlineLevel="0" collapsed="false">
      <c r="A94" s="3" t="s">
        <v>421</v>
      </c>
      <c r="B94" s="4" t="n">
        <v>45680</v>
      </c>
      <c r="C94" s="4" t="n">
        <v>45683</v>
      </c>
      <c r="D94" s="3" t="s">
        <v>422</v>
      </c>
      <c r="E94" s="3" t="s">
        <v>155</v>
      </c>
      <c r="F94" s="3" t="s">
        <v>41</v>
      </c>
      <c r="G94" s="3" t="s">
        <v>88</v>
      </c>
      <c r="H94" s="3" t="s">
        <v>43</v>
      </c>
      <c r="I94" s="3" t="s">
        <v>97</v>
      </c>
      <c r="J94" s="3" t="s">
        <v>98</v>
      </c>
      <c r="K94" s="3" t="s">
        <v>46</v>
      </c>
      <c r="L94" s="3" t="s">
        <v>47</v>
      </c>
      <c r="M94" s="3" t="s">
        <v>423</v>
      </c>
      <c r="N94" s="3" t="s">
        <v>83</v>
      </c>
      <c r="O94" s="3" t="s">
        <v>43</v>
      </c>
      <c r="P94" s="5" t="n">
        <v>9</v>
      </c>
      <c r="Q94" s="6" t="n">
        <v>4458.26</v>
      </c>
      <c r="R94" s="3" t="s">
        <v>203</v>
      </c>
      <c r="S94" s="7" t="n">
        <v>0.1</v>
      </c>
      <c r="T94" s="3" t="s">
        <v>51</v>
      </c>
      <c r="U94" s="7" t="n">
        <f aca="false">IF(T94="Valid",S94,0)</f>
        <v>0.1</v>
      </c>
      <c r="V94" s="6" t="n">
        <v>36111.91</v>
      </c>
      <c r="W94" s="6" t="n">
        <v>29194.5</v>
      </c>
      <c r="X94" s="6" t="n">
        <v>6917.41</v>
      </c>
      <c r="Y94" s="6" t="n">
        <f aca="false">P94*Q94*(1-U94)</f>
        <v>36111.906</v>
      </c>
      <c r="Z94" s="6" t="n">
        <f aca="false">Y94-W94</f>
        <v>6917.406</v>
      </c>
      <c r="AA94" s="8" t="n">
        <f aca="false">IF(Y94=0,0,Z94/Y94)</f>
        <v>0.191554718823205</v>
      </c>
      <c r="AB94" s="3" t="str">
        <f aca="false">IF(ABS(V94-Y94)&gt;1,"Mismatch","OK")</f>
        <v>OK</v>
      </c>
      <c r="AC94" s="3" t="str">
        <f aca="false">IF(ABS(X94-Z94)&gt;1,"Mismatch","OK")</f>
        <v>OK</v>
      </c>
      <c r="AD94" s="5" t="n">
        <f aca="false">IF(OR(B94="",C94=""),"",C94-B94)</f>
        <v>3</v>
      </c>
      <c r="AE94" s="3" t="str">
        <f aca="false">IF(AD94="","Unknown",IF(AD94&lt;0,"Invalid - Ship Before Order","OK"))</f>
        <v>OK</v>
      </c>
      <c r="AF94" s="5" t="n">
        <f aca="false">IF(B94="","",MONTH(B94))</f>
        <v>1</v>
      </c>
      <c r="AG94" s="5" t="n">
        <f aca="false">IF(B94="","",YEAR(B94))</f>
        <v>2025</v>
      </c>
      <c r="AH94" s="3" t="s">
        <v>52</v>
      </c>
      <c r="AI94" s="3" t="s">
        <v>53</v>
      </c>
      <c r="AJ94" s="3" t="str">
        <f aca="false">IF(AND(AI94="Completed",AH94="Failed"),"Inconsistent - Completed Order with Failed Payment","OK")</f>
        <v>OK</v>
      </c>
      <c r="AK94" s="3" t="s">
        <v>54</v>
      </c>
      <c r="AL94" s="3" t="str">
        <f aca="false">IF(OR(T94="Negative - Invalid",T94="Above Allowed Range - Invalid",AE94="Invalid - Ship Before Order",AK94&lt;&gt;"Unique",AB94="Mismatch",AC94="Mismatch",AJ94&lt;&gt;"OK"),"Invalid",IF(OR(H94="Yes",O94="Yes",T94="Missing"),"Warning","Clean"))</f>
        <v>Clean</v>
      </c>
    </row>
    <row r="95" customFormat="false" ht="15" hidden="false" customHeight="true" outlineLevel="0" collapsed="false">
      <c r="A95" s="3" t="s">
        <v>424</v>
      </c>
      <c r="B95" s="4" t="n">
        <v>45298</v>
      </c>
      <c r="C95" s="4" t="n">
        <v>45304</v>
      </c>
      <c r="D95" s="3" t="s">
        <v>425</v>
      </c>
      <c r="E95" s="3" t="s">
        <v>168</v>
      </c>
      <c r="F95" s="3" t="s">
        <v>116</v>
      </c>
      <c r="G95" s="3" t="s">
        <v>42</v>
      </c>
      <c r="H95" s="3" t="s">
        <v>43</v>
      </c>
      <c r="I95" s="3" t="s">
        <v>163</v>
      </c>
      <c r="J95" s="3" t="s">
        <v>164</v>
      </c>
      <c r="K95" s="3" t="s">
        <v>46</v>
      </c>
      <c r="L95" s="3" t="s">
        <v>183</v>
      </c>
      <c r="M95" s="3" t="s">
        <v>426</v>
      </c>
      <c r="N95" s="3" t="s">
        <v>83</v>
      </c>
      <c r="O95" s="3" t="s">
        <v>43</v>
      </c>
      <c r="P95" s="5" t="n">
        <v>7</v>
      </c>
      <c r="Q95" s="6" t="n">
        <v>2788.97</v>
      </c>
      <c r="R95" s="3" t="s">
        <v>427</v>
      </c>
      <c r="S95" s="7" t="n">
        <v>-0.09</v>
      </c>
      <c r="T95" s="3" t="s">
        <v>171</v>
      </c>
      <c r="U95" s="7" t="n">
        <f aca="false">IF(T95="Valid",S95,0)</f>
        <v>0</v>
      </c>
      <c r="V95" s="6" t="n">
        <v>19522.79</v>
      </c>
      <c r="W95" s="6" t="n">
        <v>12455.78</v>
      </c>
      <c r="X95" s="6" t="n">
        <v>7067.01</v>
      </c>
      <c r="Y95" s="6" t="n">
        <f aca="false">P95*Q95*(1-U95)</f>
        <v>19522.79</v>
      </c>
      <c r="Z95" s="6" t="n">
        <f aca="false">Y95-W95</f>
        <v>7067.01</v>
      </c>
      <c r="AA95" s="8" t="n">
        <f aca="false">IF(Y95=0,0,Z95/Y95)</f>
        <v>0.361987707699565</v>
      </c>
      <c r="AB95" s="3" t="str">
        <f aca="false">IF(ABS(V95-Y95)&gt;1,"Mismatch","OK")</f>
        <v>OK</v>
      </c>
      <c r="AC95" s="3" t="str">
        <f aca="false">IF(ABS(X95-Z95)&gt;1,"Mismatch","OK")</f>
        <v>OK</v>
      </c>
      <c r="AD95" s="5" t="n">
        <f aca="false">IF(OR(B95="",C95=""),"",C95-B95)</f>
        <v>6</v>
      </c>
      <c r="AE95" s="3" t="str">
        <f aca="false">IF(AD95="","Unknown",IF(AD95&lt;0,"Invalid - Ship Before Order","OK"))</f>
        <v>OK</v>
      </c>
      <c r="AF95" s="5" t="n">
        <f aca="false">IF(B95="","",MONTH(B95))</f>
        <v>1</v>
      </c>
      <c r="AG95" s="5" t="n">
        <f aca="false">IF(B95="","",YEAR(B95))</f>
        <v>2024</v>
      </c>
      <c r="AH95" s="3" t="s">
        <v>52</v>
      </c>
      <c r="AI95" s="3" t="s">
        <v>53</v>
      </c>
      <c r="AJ95" s="3" t="str">
        <f aca="false">IF(AND(AI95="Completed",AH95="Failed"),"Inconsistent - Completed Order with Failed Payment","OK")</f>
        <v>OK</v>
      </c>
      <c r="AK95" s="3" t="s">
        <v>54</v>
      </c>
      <c r="AL95" s="3" t="str">
        <f aca="false">IF(OR(T95="Negative - Invalid",T95="Above Allowed Range - Invalid",AE95="Invalid - Ship Before Order",AK95&lt;&gt;"Unique",AB95="Mismatch",AC95="Mismatch",AJ95&lt;&gt;"OK"),"Invalid",IF(OR(H95="Yes",O95="Yes",T95="Missing"),"Warning","Clean"))</f>
        <v>Invalid</v>
      </c>
    </row>
    <row r="96" customFormat="false" ht="15" hidden="false" customHeight="true" outlineLevel="0" collapsed="false">
      <c r="A96" s="3" t="s">
        <v>428</v>
      </c>
      <c r="B96" s="4" t="n">
        <v>45541</v>
      </c>
      <c r="C96" s="4" t="n">
        <v>45544</v>
      </c>
      <c r="D96" s="3" t="s">
        <v>429</v>
      </c>
      <c r="E96" s="3" t="s">
        <v>192</v>
      </c>
      <c r="F96" s="3" t="s">
        <v>41</v>
      </c>
      <c r="G96" s="3" t="s">
        <v>42</v>
      </c>
      <c r="H96" s="3" t="s">
        <v>43</v>
      </c>
      <c r="I96" s="3" t="s">
        <v>270</v>
      </c>
      <c r="J96" s="3" t="s">
        <v>271</v>
      </c>
      <c r="K96" s="3" t="s">
        <v>99</v>
      </c>
      <c r="L96" s="3" t="s">
        <v>201</v>
      </c>
      <c r="M96" s="3" t="s">
        <v>430</v>
      </c>
      <c r="N96" s="3" t="s">
        <v>49</v>
      </c>
      <c r="O96" s="3" t="s">
        <v>43</v>
      </c>
      <c r="P96" s="5" t="n">
        <v>7</v>
      </c>
      <c r="Q96" s="6" t="n">
        <v>3781.53</v>
      </c>
      <c r="R96" s="3" t="s">
        <v>66</v>
      </c>
      <c r="S96" s="7" t="n">
        <v>0</v>
      </c>
      <c r="T96" s="3" t="s">
        <v>51</v>
      </c>
      <c r="U96" s="7" t="n">
        <f aca="false">IF(T96="Valid",S96,0)</f>
        <v>0</v>
      </c>
      <c r="V96" s="6" t="n">
        <v>26470.71</v>
      </c>
      <c r="W96" s="6" t="n">
        <v>21367.6</v>
      </c>
      <c r="X96" s="6" t="n">
        <v>5103.11</v>
      </c>
      <c r="Y96" s="6" t="n">
        <f aca="false">P96*Q96*(1-U96)</f>
        <v>26470.71</v>
      </c>
      <c r="Z96" s="6" t="n">
        <f aca="false">Y96-W96</f>
        <v>5103.11</v>
      </c>
      <c r="AA96" s="8" t="n">
        <f aca="false">IF(Y96=0,0,Z96/Y96)</f>
        <v>0.192783268752519</v>
      </c>
      <c r="AB96" s="3" t="str">
        <f aca="false">IF(ABS(V96-Y96)&gt;1,"Mismatch","OK")</f>
        <v>OK</v>
      </c>
      <c r="AC96" s="3" t="str">
        <f aca="false">IF(ABS(X96-Z96)&gt;1,"Mismatch","OK")</f>
        <v>OK</v>
      </c>
      <c r="AD96" s="5" t="n">
        <f aca="false">IF(OR(B96="",C96=""),"",C96-B96)</f>
        <v>3</v>
      </c>
      <c r="AE96" s="3" t="str">
        <f aca="false">IF(AD96="","Unknown",IF(AD96&lt;0,"Invalid - Ship Before Order","OK"))</f>
        <v>OK</v>
      </c>
      <c r="AF96" s="5" t="n">
        <f aca="false">IF(B96="","",MONTH(B96))</f>
        <v>9</v>
      </c>
      <c r="AG96" s="5" t="n">
        <f aca="false">IF(B96="","",YEAR(B96))</f>
        <v>2024</v>
      </c>
      <c r="AH96" s="3" t="s">
        <v>138</v>
      </c>
      <c r="AI96" s="3" t="s">
        <v>93</v>
      </c>
      <c r="AJ96" s="3" t="str">
        <f aca="false">IF(AND(AI96="Completed",AH96="Failed"),"Inconsistent - Completed Order with Failed Payment","OK")</f>
        <v>OK</v>
      </c>
      <c r="AK96" s="3" t="s">
        <v>54</v>
      </c>
      <c r="AL96" s="3" t="str">
        <f aca="false">IF(OR(T96="Negative - Invalid",T96="Above Allowed Range - Invalid",AE96="Invalid - Ship Before Order",AK96&lt;&gt;"Unique",AB96="Mismatch",AC96="Mismatch",AJ96&lt;&gt;"OK"),"Invalid",IF(OR(H96="Yes",O96="Yes",T96="Missing"),"Warning","Clean"))</f>
        <v>Clean</v>
      </c>
    </row>
    <row r="97" customFormat="false" ht="15" hidden="false" customHeight="true" outlineLevel="0" collapsed="false">
      <c r="A97" s="3" t="s">
        <v>431</v>
      </c>
      <c r="B97" s="4" t="n">
        <v>45905</v>
      </c>
      <c r="C97" s="4" t="n">
        <v>45910</v>
      </c>
      <c r="D97" s="3" t="s">
        <v>432</v>
      </c>
      <c r="E97" s="3" t="s">
        <v>159</v>
      </c>
      <c r="F97" s="3" t="s">
        <v>116</v>
      </c>
      <c r="G97" s="3" t="s">
        <v>88</v>
      </c>
      <c r="H97" s="3" t="s">
        <v>43</v>
      </c>
      <c r="I97" s="3" t="s">
        <v>221</v>
      </c>
      <c r="J97" s="3" t="s">
        <v>222</v>
      </c>
      <c r="K97" s="3" t="s">
        <v>62</v>
      </c>
      <c r="L97" s="3" t="s">
        <v>188</v>
      </c>
      <c r="M97" s="3" t="s">
        <v>433</v>
      </c>
      <c r="N97" s="3" t="s">
        <v>65</v>
      </c>
      <c r="O97" s="3" t="s">
        <v>43</v>
      </c>
      <c r="P97" s="5" t="n">
        <v>6</v>
      </c>
      <c r="Q97" s="6" t="n">
        <v>1754.13</v>
      </c>
      <c r="R97" s="3" t="s">
        <v>66</v>
      </c>
      <c r="S97" s="7" t="n">
        <v>0</v>
      </c>
      <c r="T97" s="3" t="s">
        <v>51</v>
      </c>
      <c r="U97" s="7" t="n">
        <f aca="false">IF(T97="Valid",S97,0)</f>
        <v>0</v>
      </c>
      <c r="V97" s="6" t="n">
        <v>10524.78</v>
      </c>
      <c r="W97" s="6" t="n">
        <v>8841.05</v>
      </c>
      <c r="X97" s="6" t="n">
        <v>1683.73</v>
      </c>
      <c r="Y97" s="6" t="n">
        <f aca="false">P97*Q97*(1-U97)</f>
        <v>10524.78</v>
      </c>
      <c r="Z97" s="6" t="n">
        <f aca="false">Y97-W97</f>
        <v>1683.73</v>
      </c>
      <c r="AA97" s="8" t="n">
        <f aca="false">IF(Y97=0,0,Z97/Y97)</f>
        <v>0.15997769074508</v>
      </c>
      <c r="AB97" s="3" t="str">
        <f aca="false">IF(ABS(V97-Y97)&gt;1,"Mismatch","OK")</f>
        <v>OK</v>
      </c>
      <c r="AC97" s="3" t="str">
        <f aca="false">IF(ABS(X97-Z97)&gt;1,"Mismatch","OK")</f>
        <v>OK</v>
      </c>
      <c r="AD97" s="5" t="n">
        <f aca="false">IF(OR(B97="",C97=""),"",C97-B97)</f>
        <v>5</v>
      </c>
      <c r="AE97" s="3" t="str">
        <f aca="false">IF(AD97="","Unknown",IF(AD97&lt;0,"Invalid - Ship Before Order","OK"))</f>
        <v>OK</v>
      </c>
      <c r="AF97" s="5" t="n">
        <f aca="false">IF(B97="","",MONTH(B97))</f>
        <v>9</v>
      </c>
      <c r="AG97" s="5" t="n">
        <f aca="false">IF(B97="","",YEAR(B97))</f>
        <v>2025</v>
      </c>
      <c r="AH97" s="3" t="s">
        <v>52</v>
      </c>
      <c r="AI97" s="3" t="s">
        <v>53</v>
      </c>
      <c r="AJ97" s="3" t="str">
        <f aca="false">IF(AND(AI97="Completed",AH97="Failed"),"Inconsistent - Completed Order with Failed Payment","OK")</f>
        <v>OK</v>
      </c>
      <c r="AK97" s="3" t="s">
        <v>54</v>
      </c>
      <c r="AL97" s="3" t="str">
        <f aca="false">IF(OR(T97="Negative - Invalid",T97="Above Allowed Range - Invalid",AE97="Invalid - Ship Before Order",AK97&lt;&gt;"Unique",AB97="Mismatch",AC97="Mismatch",AJ97&lt;&gt;"OK"),"Invalid",IF(OR(H97="Yes",O97="Yes",T97="Missing"),"Warning","Clean"))</f>
        <v>Clean</v>
      </c>
    </row>
    <row r="98" customFormat="false" ht="15" hidden="false" customHeight="true" outlineLevel="0" collapsed="false">
      <c r="A98" s="3" t="s">
        <v>434</v>
      </c>
      <c r="B98" s="4" t="n">
        <v>45448</v>
      </c>
      <c r="C98" s="4" t="n">
        <v>45450</v>
      </c>
      <c r="D98" s="3" t="s">
        <v>435</v>
      </c>
      <c r="E98" s="3" t="s">
        <v>145</v>
      </c>
      <c r="F98" s="3" t="s">
        <v>121</v>
      </c>
      <c r="G98" s="3" t="s">
        <v>59</v>
      </c>
      <c r="H98" s="3" t="s">
        <v>43</v>
      </c>
      <c r="I98" s="3" t="s">
        <v>60</v>
      </c>
      <c r="J98" s="3" t="s">
        <v>61</v>
      </c>
      <c r="K98" s="3" t="s">
        <v>99</v>
      </c>
      <c r="L98" s="3" t="s">
        <v>105</v>
      </c>
      <c r="M98" s="3" t="s">
        <v>436</v>
      </c>
      <c r="N98" s="3" t="s">
        <v>49</v>
      </c>
      <c r="O98" s="3" t="s">
        <v>43</v>
      </c>
      <c r="P98" s="5" t="n">
        <v>2</v>
      </c>
      <c r="Q98" s="6" t="n">
        <v>2259.24</v>
      </c>
      <c r="R98" s="3" t="s">
        <v>107</v>
      </c>
      <c r="S98" s="7" t="n">
        <v>0.15</v>
      </c>
      <c r="T98" s="3" t="s">
        <v>51</v>
      </c>
      <c r="U98" s="7" t="n">
        <f aca="false">IF(T98="Valid",S98,0)</f>
        <v>0.15</v>
      </c>
      <c r="V98" s="6" t="n">
        <v>3840.71</v>
      </c>
      <c r="W98" s="6" t="n">
        <v>2516.29</v>
      </c>
      <c r="X98" s="6" t="n">
        <v>1324.42</v>
      </c>
      <c r="Y98" s="6" t="n">
        <f aca="false">P98*Q98*(1-U98)</f>
        <v>3840.708</v>
      </c>
      <c r="Z98" s="6" t="n">
        <f aca="false">Y98-W98</f>
        <v>1324.418</v>
      </c>
      <c r="AA98" s="8" t="n">
        <f aca="false">IF(Y98=0,0,Z98/Y98)</f>
        <v>0.34483694152224</v>
      </c>
      <c r="AB98" s="3" t="str">
        <f aca="false">IF(ABS(V98-Y98)&gt;1,"Mismatch","OK")</f>
        <v>OK</v>
      </c>
      <c r="AC98" s="3" t="str">
        <f aca="false">IF(ABS(X98-Z98)&gt;1,"Mismatch","OK")</f>
        <v>OK</v>
      </c>
      <c r="AD98" s="5" t="n">
        <f aca="false">IF(OR(B98="",C98=""),"",C98-B98)</f>
        <v>2</v>
      </c>
      <c r="AE98" s="3" t="str">
        <f aca="false">IF(AD98="","Unknown",IF(AD98&lt;0,"Invalid - Ship Before Order","OK"))</f>
        <v>OK</v>
      </c>
      <c r="AF98" s="5" t="n">
        <f aca="false">IF(B98="","",MONTH(B98))</f>
        <v>6</v>
      </c>
      <c r="AG98" s="5" t="n">
        <f aca="false">IF(B98="","",YEAR(B98))</f>
        <v>2024</v>
      </c>
      <c r="AH98" s="3" t="s">
        <v>52</v>
      </c>
      <c r="AI98" s="3" t="s">
        <v>53</v>
      </c>
      <c r="AJ98" s="3" t="str">
        <f aca="false">IF(AND(AI98="Completed",AH98="Failed"),"Inconsistent - Completed Order with Failed Payment","OK")</f>
        <v>OK</v>
      </c>
      <c r="AK98" s="3" t="s">
        <v>54</v>
      </c>
      <c r="AL98" s="3" t="str">
        <f aca="false">IF(OR(T98="Negative - Invalid",T98="Above Allowed Range - Invalid",AE98="Invalid - Ship Before Order",AK98&lt;&gt;"Unique",AB98="Mismatch",AC98="Mismatch",AJ98&lt;&gt;"OK"),"Invalid",IF(OR(H98="Yes",O98="Yes",T98="Missing"),"Warning","Clean"))</f>
        <v>Clean</v>
      </c>
    </row>
    <row r="99" customFormat="false" ht="15" hidden="false" customHeight="true" outlineLevel="0" collapsed="false">
      <c r="A99" s="3" t="s">
        <v>437</v>
      </c>
      <c r="B99" s="4" t="n">
        <v>45877</v>
      </c>
      <c r="C99" s="4" t="n">
        <v>45880</v>
      </c>
      <c r="D99" s="3" t="s">
        <v>438</v>
      </c>
      <c r="E99" s="3" t="s">
        <v>192</v>
      </c>
      <c r="F99" s="3" t="s">
        <v>58</v>
      </c>
      <c r="G99" s="3" t="s">
        <v>88</v>
      </c>
      <c r="H99" s="3" t="s">
        <v>43</v>
      </c>
      <c r="I99" s="3" t="s">
        <v>211</v>
      </c>
      <c r="J99" s="3" t="s">
        <v>212</v>
      </c>
      <c r="K99" s="3" t="s">
        <v>46</v>
      </c>
      <c r="L99" s="3" t="s">
        <v>151</v>
      </c>
      <c r="M99" s="3" t="s">
        <v>439</v>
      </c>
      <c r="N99" s="3" t="s">
        <v>65</v>
      </c>
      <c r="O99" s="3" t="s">
        <v>43</v>
      </c>
      <c r="P99" s="5" t="n">
        <v>5</v>
      </c>
      <c r="Q99" s="6" t="n">
        <v>3602.36</v>
      </c>
      <c r="R99" s="3" t="s">
        <v>50</v>
      </c>
      <c r="S99" s="7" t="n">
        <v>0.2</v>
      </c>
      <c r="T99" s="3" t="s">
        <v>51</v>
      </c>
      <c r="U99" s="7" t="n">
        <f aca="false">IF(T99="Valid",S99,0)</f>
        <v>0.2</v>
      </c>
      <c r="V99" s="6" t="n">
        <v>14409.44</v>
      </c>
      <c r="W99" s="6" t="n">
        <v>8809.97</v>
      </c>
      <c r="X99" s="6" t="n">
        <v>5599.47</v>
      </c>
      <c r="Y99" s="6" t="n">
        <f aca="false">P99*Q99*(1-U99)</f>
        <v>14409.44</v>
      </c>
      <c r="Z99" s="6" t="n">
        <f aca="false">Y99-W99</f>
        <v>5599.47</v>
      </c>
      <c r="AA99" s="8" t="n">
        <f aca="false">IF(Y99=0,0,Z99/Y99)</f>
        <v>0.38859733619072</v>
      </c>
      <c r="AB99" s="3" t="str">
        <f aca="false">IF(ABS(V99-Y99)&gt;1,"Mismatch","OK")</f>
        <v>OK</v>
      </c>
      <c r="AC99" s="3" t="str">
        <f aca="false">IF(ABS(X99-Z99)&gt;1,"Mismatch","OK")</f>
        <v>OK</v>
      </c>
      <c r="AD99" s="5" t="n">
        <f aca="false">IF(OR(B99="",C99=""),"",C99-B99)</f>
        <v>3</v>
      </c>
      <c r="AE99" s="3" t="str">
        <f aca="false">IF(AD99="","Unknown",IF(AD99&lt;0,"Invalid - Ship Before Order","OK"))</f>
        <v>OK</v>
      </c>
      <c r="AF99" s="5" t="n">
        <f aca="false">IF(B99="","",MONTH(B99))</f>
        <v>8</v>
      </c>
      <c r="AG99" s="5" t="n">
        <f aca="false">IF(B99="","",YEAR(B99))</f>
        <v>2025</v>
      </c>
      <c r="AH99" s="3" t="s">
        <v>138</v>
      </c>
      <c r="AI99" s="3" t="s">
        <v>130</v>
      </c>
      <c r="AJ99" s="3" t="str">
        <f aca="false">IF(AND(AI99="Completed",AH99="Failed"),"Inconsistent - Completed Order with Failed Payment","OK")</f>
        <v>OK</v>
      </c>
      <c r="AK99" s="3" t="s">
        <v>54</v>
      </c>
      <c r="AL99" s="3" t="str">
        <f aca="false">IF(OR(T99="Negative - Invalid",T99="Above Allowed Range - Invalid",AE99="Invalid - Ship Before Order",AK99&lt;&gt;"Unique",AB99="Mismatch",AC99="Mismatch",AJ99&lt;&gt;"OK"),"Invalid",IF(OR(H99="Yes",O99="Yes",T99="Missing"),"Warning","Clean"))</f>
        <v>Clean</v>
      </c>
    </row>
    <row r="100" customFormat="false" ht="15" hidden="false" customHeight="true" outlineLevel="0" collapsed="false">
      <c r="A100" s="3" t="s">
        <v>440</v>
      </c>
      <c r="B100" s="4" t="n">
        <v>45317</v>
      </c>
      <c r="C100" s="4" t="n">
        <v>45323</v>
      </c>
      <c r="D100" s="3" t="s">
        <v>441</v>
      </c>
      <c r="E100" s="3" t="s">
        <v>168</v>
      </c>
      <c r="F100" s="3" t="s">
        <v>121</v>
      </c>
      <c r="G100" s="3" t="s">
        <v>78</v>
      </c>
      <c r="H100" s="3" t="s">
        <v>43</v>
      </c>
      <c r="I100" s="3" t="s">
        <v>216</v>
      </c>
      <c r="J100" s="3" t="s">
        <v>217</v>
      </c>
      <c r="K100" s="3" t="s">
        <v>99</v>
      </c>
      <c r="L100" s="3" t="s">
        <v>105</v>
      </c>
      <c r="M100" s="3" t="s">
        <v>442</v>
      </c>
      <c r="N100" s="3" t="s">
        <v>237</v>
      </c>
      <c r="O100" s="3" t="s">
        <v>238</v>
      </c>
      <c r="P100" s="5" t="n">
        <v>8</v>
      </c>
      <c r="Q100" s="6" t="n">
        <v>2108.93</v>
      </c>
      <c r="R100" s="3" t="s">
        <v>203</v>
      </c>
      <c r="S100" s="7" t="n">
        <v>0.1</v>
      </c>
      <c r="T100" s="3" t="s">
        <v>51</v>
      </c>
      <c r="U100" s="7" t="n">
        <f aca="false">IF(T100="Valid",S100,0)</f>
        <v>0.1</v>
      </c>
      <c r="V100" s="6" t="n">
        <v>15184.3</v>
      </c>
      <c r="W100" s="6" t="n">
        <v>11270.74</v>
      </c>
      <c r="X100" s="6" t="n">
        <v>3913.56</v>
      </c>
      <c r="Y100" s="6" t="n">
        <f aca="false">P100*Q100*(1-U100)</f>
        <v>15184.296</v>
      </c>
      <c r="Z100" s="6" t="n">
        <f aca="false">Y100-W100</f>
        <v>3913.556</v>
      </c>
      <c r="AA100" s="8" t="n">
        <f aca="false">IF(Y100=0,0,Z100/Y100)</f>
        <v>0.257737072564971</v>
      </c>
      <c r="AB100" s="3" t="str">
        <f aca="false">IF(ABS(V100-Y100)&gt;1,"Mismatch","OK")</f>
        <v>OK</v>
      </c>
      <c r="AC100" s="3" t="str">
        <f aca="false">IF(ABS(X100-Z100)&gt;1,"Mismatch","OK")</f>
        <v>OK</v>
      </c>
      <c r="AD100" s="5" t="n">
        <f aca="false">IF(OR(B100="",C100=""),"",C100-B100)</f>
        <v>6</v>
      </c>
      <c r="AE100" s="3" t="str">
        <f aca="false">IF(AD100="","Unknown",IF(AD100&lt;0,"Invalid - Ship Before Order","OK"))</f>
        <v>OK</v>
      </c>
      <c r="AF100" s="5" t="n">
        <f aca="false">IF(B100="","",MONTH(B100))</f>
        <v>1</v>
      </c>
      <c r="AG100" s="5" t="n">
        <f aca="false">IF(B100="","",YEAR(B100))</f>
        <v>2024</v>
      </c>
      <c r="AH100" s="3" t="s">
        <v>52</v>
      </c>
      <c r="AI100" s="3" t="s">
        <v>53</v>
      </c>
      <c r="AJ100" s="3" t="str">
        <f aca="false">IF(AND(AI100="Completed",AH100="Failed"),"Inconsistent - Completed Order with Failed Payment","OK")</f>
        <v>OK</v>
      </c>
      <c r="AK100" s="3" t="s">
        <v>54</v>
      </c>
      <c r="AL100" s="3" t="str">
        <f aca="false">IF(OR(T100="Negative - Invalid",T100="Above Allowed Range - Invalid",AE100="Invalid - Ship Before Order",AK100&lt;&gt;"Unique",AB100="Mismatch",AC100="Mismatch",AJ100&lt;&gt;"OK"),"Invalid",IF(OR(H100="Yes",O100="Yes",T100="Missing"),"Warning","Clean"))</f>
        <v>Warning</v>
      </c>
    </row>
    <row r="101" customFormat="false" ht="15" hidden="false" customHeight="true" outlineLevel="0" collapsed="false">
      <c r="A101" s="3" t="s">
        <v>443</v>
      </c>
      <c r="B101" s="4" t="n">
        <v>45668</v>
      </c>
      <c r="C101" s="4" t="n">
        <v>45668</v>
      </c>
      <c r="D101" s="3" t="s">
        <v>444</v>
      </c>
      <c r="E101" s="3" t="s">
        <v>115</v>
      </c>
      <c r="F101" s="3" t="s">
        <v>58</v>
      </c>
      <c r="G101" s="3" t="s">
        <v>88</v>
      </c>
      <c r="H101" s="3" t="s">
        <v>43</v>
      </c>
      <c r="I101" s="3" t="s">
        <v>44</v>
      </c>
      <c r="J101" s="3" t="s">
        <v>136</v>
      </c>
      <c r="K101" s="3" t="s">
        <v>99</v>
      </c>
      <c r="L101" s="3" t="s">
        <v>100</v>
      </c>
      <c r="M101" s="3" t="s">
        <v>445</v>
      </c>
      <c r="N101" s="3" t="s">
        <v>65</v>
      </c>
      <c r="O101" s="3" t="s">
        <v>43</v>
      </c>
      <c r="P101" s="5" t="n">
        <v>3</v>
      </c>
      <c r="Q101" s="6" t="n">
        <v>2165.29</v>
      </c>
      <c r="R101" s="3" t="s">
        <v>66</v>
      </c>
      <c r="S101" s="7" t="n">
        <v>0</v>
      </c>
      <c r="T101" s="3" t="s">
        <v>51</v>
      </c>
      <c r="U101" s="7" t="n">
        <f aca="false">IF(T101="Valid",S101,0)</f>
        <v>0</v>
      </c>
      <c r="V101" s="6" t="n">
        <v>6495.87</v>
      </c>
      <c r="W101" s="6" t="n">
        <v>4700.89</v>
      </c>
      <c r="X101" s="6" t="n">
        <v>1794.98</v>
      </c>
      <c r="Y101" s="6" t="n">
        <f aca="false">P101*Q101*(1-U101)</f>
        <v>6495.87</v>
      </c>
      <c r="Z101" s="6" t="n">
        <f aca="false">Y101-W101</f>
        <v>1794.98</v>
      </c>
      <c r="AA101" s="8" t="n">
        <f aca="false">IF(Y101=0,0,Z101/Y101)</f>
        <v>0.27632634273777</v>
      </c>
      <c r="AB101" s="3" t="str">
        <f aca="false">IF(ABS(V101-Y101)&gt;1,"Mismatch","OK")</f>
        <v>OK</v>
      </c>
      <c r="AC101" s="3" t="str">
        <f aca="false">IF(ABS(X101-Z101)&gt;1,"Mismatch","OK")</f>
        <v>OK</v>
      </c>
      <c r="AD101" s="5" t="n">
        <f aca="false">IF(OR(B101="",C101=""),"",C101-B101)</f>
        <v>0</v>
      </c>
      <c r="AE101" s="3" t="str">
        <f aca="false">IF(AD101="","Unknown",IF(AD101&lt;0,"Invalid - Ship Before Order","OK"))</f>
        <v>OK</v>
      </c>
      <c r="AF101" s="5" t="n">
        <f aca="false">IF(B101="","",MONTH(B101))</f>
        <v>1</v>
      </c>
      <c r="AG101" s="5" t="n">
        <f aca="false">IF(B101="","",YEAR(B101))</f>
        <v>2025</v>
      </c>
      <c r="AH101" s="3" t="s">
        <v>52</v>
      </c>
      <c r="AI101" s="3" t="s">
        <v>53</v>
      </c>
      <c r="AJ101" s="3" t="str">
        <f aca="false">IF(AND(AI101="Completed",AH101="Failed"),"Inconsistent - Completed Order with Failed Payment","OK")</f>
        <v>OK</v>
      </c>
      <c r="AK101" s="3" t="s">
        <v>54</v>
      </c>
      <c r="AL101" s="3" t="str">
        <f aca="false">IF(OR(T101="Negative - Invalid",T101="Above Allowed Range - Invalid",AE101="Invalid - Ship Before Order",AK101&lt;&gt;"Unique",AB101="Mismatch",AC101="Mismatch",AJ101&lt;&gt;"OK"),"Invalid",IF(OR(H101="Yes",O101="Yes",T101="Missing"),"Warning","Clean"))</f>
        <v>Clean</v>
      </c>
    </row>
    <row r="102" customFormat="false" ht="15" hidden="false" customHeight="true" outlineLevel="0" collapsed="false">
      <c r="A102" s="3" t="s">
        <v>446</v>
      </c>
      <c r="B102" s="4" t="n">
        <v>45912</v>
      </c>
      <c r="C102" s="4" t="n">
        <v>45918</v>
      </c>
      <c r="D102" s="3" t="s">
        <v>447</v>
      </c>
      <c r="E102" s="3" t="s">
        <v>155</v>
      </c>
      <c r="F102" s="3" t="s">
        <v>121</v>
      </c>
      <c r="G102" s="3" t="s">
        <v>78</v>
      </c>
      <c r="H102" s="3" t="s">
        <v>43</v>
      </c>
      <c r="I102" s="3" t="s">
        <v>216</v>
      </c>
      <c r="J102" s="3" t="s">
        <v>217</v>
      </c>
      <c r="K102" s="3" t="s">
        <v>46</v>
      </c>
      <c r="L102" s="3" t="s">
        <v>151</v>
      </c>
      <c r="M102" s="3" t="s">
        <v>448</v>
      </c>
      <c r="N102" s="3" t="s">
        <v>83</v>
      </c>
      <c r="O102" s="3" t="s">
        <v>43</v>
      </c>
      <c r="P102" s="5" t="n">
        <v>6</v>
      </c>
      <c r="Q102" s="6" t="n">
        <v>1673.8</v>
      </c>
      <c r="R102" s="3" t="s">
        <v>128</v>
      </c>
      <c r="S102" s="7" t="n">
        <v>0.05</v>
      </c>
      <c r="T102" s="3" t="s">
        <v>51</v>
      </c>
      <c r="U102" s="7" t="n">
        <f aca="false">IF(T102="Valid",S102,0)</f>
        <v>0.05</v>
      </c>
      <c r="V102" s="6" t="n">
        <v>9540.66</v>
      </c>
      <c r="W102" s="6" t="n">
        <v>5561.49</v>
      </c>
      <c r="X102" s="6" t="n">
        <v>3979.17</v>
      </c>
      <c r="Y102" s="6" t="n">
        <f aca="false">P102*Q102*(1-U102)</f>
        <v>9540.66</v>
      </c>
      <c r="Z102" s="6" t="n">
        <f aca="false">Y102-W102</f>
        <v>3979.17</v>
      </c>
      <c r="AA102" s="8" t="n">
        <f aca="false">IF(Y102=0,0,Z102/Y102)</f>
        <v>0.417074919345202</v>
      </c>
      <c r="AB102" s="3" t="str">
        <f aca="false">IF(ABS(V102-Y102)&gt;1,"Mismatch","OK")</f>
        <v>OK</v>
      </c>
      <c r="AC102" s="3" t="str">
        <f aca="false">IF(ABS(X102-Z102)&gt;1,"Mismatch","OK")</f>
        <v>OK</v>
      </c>
      <c r="AD102" s="5" t="n">
        <f aca="false">IF(OR(B102="",C102=""),"",C102-B102)</f>
        <v>6</v>
      </c>
      <c r="AE102" s="3" t="str">
        <f aca="false">IF(AD102="","Unknown",IF(AD102&lt;0,"Invalid - Ship Before Order","OK"))</f>
        <v>OK</v>
      </c>
      <c r="AF102" s="5" t="n">
        <f aca="false">IF(B102="","",MONTH(B102))</f>
        <v>9</v>
      </c>
      <c r="AG102" s="5" t="n">
        <f aca="false">IF(B102="","",YEAR(B102))</f>
        <v>2025</v>
      </c>
      <c r="AH102" s="3" t="s">
        <v>52</v>
      </c>
      <c r="AI102" s="3" t="s">
        <v>53</v>
      </c>
      <c r="AJ102" s="3" t="str">
        <f aca="false">IF(AND(AI102="Completed",AH102="Failed"),"Inconsistent - Completed Order with Failed Payment","OK")</f>
        <v>OK</v>
      </c>
      <c r="AK102" s="3" t="s">
        <v>54</v>
      </c>
      <c r="AL102" s="3" t="str">
        <f aca="false">IF(OR(T102="Negative - Invalid",T102="Above Allowed Range - Invalid",AE102="Invalid - Ship Before Order",AK102&lt;&gt;"Unique",AB102="Mismatch",AC102="Mismatch",AJ102&lt;&gt;"OK"),"Invalid",IF(OR(H102="Yes",O102="Yes",T102="Missing"),"Warning","Clean"))</f>
        <v>Clean</v>
      </c>
    </row>
    <row r="103" customFormat="false" ht="15" hidden="false" customHeight="true" outlineLevel="0" collapsed="false">
      <c r="A103" s="3" t="s">
        <v>449</v>
      </c>
      <c r="B103" s="4" t="n">
        <v>45465</v>
      </c>
      <c r="C103" s="4" t="n">
        <v>45469</v>
      </c>
      <c r="D103" s="3" t="s">
        <v>450</v>
      </c>
      <c r="E103" s="3" t="s">
        <v>168</v>
      </c>
      <c r="F103" s="3" t="s">
        <v>121</v>
      </c>
      <c r="G103" s="3" t="s">
        <v>59</v>
      </c>
      <c r="H103" s="3" t="s">
        <v>43</v>
      </c>
      <c r="I103" s="3" t="s">
        <v>174</v>
      </c>
      <c r="J103" s="3" t="s">
        <v>175</v>
      </c>
      <c r="K103" s="3" t="s">
        <v>62</v>
      </c>
      <c r="L103" s="3" t="s">
        <v>81</v>
      </c>
      <c r="M103" s="3" t="s">
        <v>451</v>
      </c>
      <c r="N103" s="3" t="s">
        <v>72</v>
      </c>
      <c r="O103" s="3" t="s">
        <v>43</v>
      </c>
      <c r="P103" s="5" t="n">
        <v>5</v>
      </c>
      <c r="Q103" s="6" t="n">
        <v>4396.52</v>
      </c>
      <c r="R103" s="3" t="s">
        <v>84</v>
      </c>
      <c r="S103" s="7" t="n">
        <v>0.25</v>
      </c>
      <c r="T103" s="3" t="s">
        <v>51</v>
      </c>
      <c r="U103" s="7" t="n">
        <f aca="false">IF(T103="Valid",S103,0)</f>
        <v>0.25</v>
      </c>
      <c r="V103" s="6" t="n">
        <v>16486.95</v>
      </c>
      <c r="W103" s="6" t="n">
        <v>12054.14</v>
      </c>
      <c r="X103" s="6" t="n">
        <v>4432.81</v>
      </c>
      <c r="Y103" s="6" t="n">
        <f aca="false">P103*Q103*(1-U103)</f>
        <v>16486.95</v>
      </c>
      <c r="Z103" s="6" t="n">
        <f aca="false">Y103-W103</f>
        <v>4432.81</v>
      </c>
      <c r="AA103" s="8" t="n">
        <f aca="false">IF(Y103=0,0,Z103/Y103)</f>
        <v>0.268867801503614</v>
      </c>
      <c r="AB103" s="3" t="str">
        <f aca="false">IF(ABS(V103-Y103)&gt;1,"Mismatch","OK")</f>
        <v>OK</v>
      </c>
      <c r="AC103" s="3" t="str">
        <f aca="false">IF(ABS(X103-Z103)&gt;1,"Mismatch","OK")</f>
        <v>OK</v>
      </c>
      <c r="AD103" s="5" t="n">
        <f aca="false">IF(OR(B103="",C103=""),"",C103-B103)</f>
        <v>4</v>
      </c>
      <c r="AE103" s="3" t="str">
        <f aca="false">IF(AD103="","Unknown",IF(AD103&lt;0,"Invalid - Ship Before Order","OK"))</f>
        <v>OK</v>
      </c>
      <c r="AF103" s="5" t="n">
        <f aca="false">IF(B103="","",MONTH(B103))</f>
        <v>6</v>
      </c>
      <c r="AG103" s="5" t="n">
        <f aca="false">IF(B103="","",YEAR(B103))</f>
        <v>2024</v>
      </c>
      <c r="AH103" s="3" t="s">
        <v>52</v>
      </c>
      <c r="AI103" s="3" t="s">
        <v>53</v>
      </c>
      <c r="AJ103" s="3" t="str">
        <f aca="false">IF(AND(AI103="Completed",AH103="Failed"),"Inconsistent - Completed Order with Failed Payment","OK")</f>
        <v>OK</v>
      </c>
      <c r="AK103" s="3" t="s">
        <v>54</v>
      </c>
      <c r="AL103" s="3" t="str">
        <f aca="false">IF(OR(T103="Negative - Invalid",T103="Above Allowed Range - Invalid",AE103="Invalid - Ship Before Order",AK103&lt;&gt;"Unique",AB103="Mismatch",AC103="Mismatch",AJ103&lt;&gt;"OK"),"Invalid",IF(OR(H103="Yes",O103="Yes",T103="Missing"),"Warning","Clean"))</f>
        <v>Clean</v>
      </c>
    </row>
    <row r="104" customFormat="false" ht="15" hidden="false" customHeight="true" outlineLevel="0" collapsed="false">
      <c r="A104" s="3" t="s">
        <v>452</v>
      </c>
      <c r="B104" s="4" t="n">
        <v>45850</v>
      </c>
      <c r="C104" s="4" t="n">
        <v>45854</v>
      </c>
      <c r="D104" s="3" t="s">
        <v>453</v>
      </c>
      <c r="E104" s="3" t="s">
        <v>96</v>
      </c>
      <c r="F104" s="3" t="s">
        <v>41</v>
      </c>
      <c r="G104" s="3" t="s">
        <v>78</v>
      </c>
      <c r="H104" s="3" t="s">
        <v>43</v>
      </c>
      <c r="I104" s="3" t="s">
        <v>206</v>
      </c>
      <c r="J104" s="3" t="s">
        <v>207</v>
      </c>
      <c r="K104" s="3" t="s">
        <v>62</v>
      </c>
      <c r="L104" s="3" t="s">
        <v>91</v>
      </c>
      <c r="M104" s="3" t="s">
        <v>454</v>
      </c>
      <c r="N104" s="3" t="s">
        <v>72</v>
      </c>
      <c r="O104" s="3" t="s">
        <v>43</v>
      </c>
      <c r="P104" s="5" t="n">
        <v>4</v>
      </c>
      <c r="Q104" s="6" t="n">
        <v>2865.71</v>
      </c>
      <c r="R104" s="3" t="s">
        <v>66</v>
      </c>
      <c r="S104" s="7" t="n">
        <v>0</v>
      </c>
      <c r="T104" s="3" t="s">
        <v>51</v>
      </c>
      <c r="U104" s="7" t="n">
        <f aca="false">IF(T104="Valid",S104,0)</f>
        <v>0</v>
      </c>
      <c r="V104" s="6" t="n">
        <v>11462.84</v>
      </c>
      <c r="W104" s="6" t="n">
        <v>8979.78</v>
      </c>
      <c r="X104" s="6" t="n">
        <v>2483.06</v>
      </c>
      <c r="Y104" s="6" t="n">
        <f aca="false">P104*Q104*(1-U104)</f>
        <v>11462.84</v>
      </c>
      <c r="Z104" s="6" t="n">
        <f aca="false">Y104-W104</f>
        <v>2483.06</v>
      </c>
      <c r="AA104" s="8" t="n">
        <f aca="false">IF(Y104=0,0,Z104/Y104)</f>
        <v>0.216618220266531</v>
      </c>
      <c r="AB104" s="3" t="str">
        <f aca="false">IF(ABS(V104-Y104)&gt;1,"Mismatch","OK")</f>
        <v>OK</v>
      </c>
      <c r="AC104" s="3" t="str">
        <f aca="false">IF(ABS(X104-Z104)&gt;1,"Mismatch","OK")</f>
        <v>OK</v>
      </c>
      <c r="AD104" s="5" t="n">
        <f aca="false">IF(OR(B104="",C104=""),"",C104-B104)</f>
        <v>4</v>
      </c>
      <c r="AE104" s="3" t="str">
        <f aca="false">IF(AD104="","Unknown",IF(AD104&lt;0,"Invalid - Ship Before Order","OK"))</f>
        <v>OK</v>
      </c>
      <c r="AF104" s="5" t="n">
        <f aca="false">IF(B104="","",MONTH(B104))</f>
        <v>7</v>
      </c>
      <c r="AG104" s="5" t="n">
        <f aca="false">IF(B104="","",YEAR(B104))</f>
        <v>2025</v>
      </c>
      <c r="AH104" s="3" t="s">
        <v>129</v>
      </c>
      <c r="AI104" s="3" t="s">
        <v>93</v>
      </c>
      <c r="AJ104" s="3" t="str">
        <f aca="false">IF(AND(AI104="Completed",AH104="Failed"),"Inconsistent - Completed Order with Failed Payment","OK")</f>
        <v>OK</v>
      </c>
      <c r="AK104" s="3" t="s">
        <v>54</v>
      </c>
      <c r="AL104" s="3" t="str">
        <f aca="false">IF(OR(T104="Negative - Invalid",T104="Above Allowed Range - Invalid",AE104="Invalid - Ship Before Order",AK104&lt;&gt;"Unique",AB104="Mismatch",AC104="Mismatch",AJ104&lt;&gt;"OK"),"Invalid",IF(OR(H104="Yes",O104="Yes",T104="Missing"),"Warning","Clean"))</f>
        <v>Clean</v>
      </c>
    </row>
    <row r="105" customFormat="false" ht="15" hidden="false" customHeight="true" outlineLevel="0" collapsed="false">
      <c r="A105" s="3" t="s">
        <v>455</v>
      </c>
      <c r="B105" s="4" t="n">
        <v>45779</v>
      </c>
      <c r="C105" s="4" t="n">
        <v>45787</v>
      </c>
      <c r="D105" s="3" t="s">
        <v>456</v>
      </c>
      <c r="E105" s="3" t="s">
        <v>298</v>
      </c>
      <c r="F105" s="3" t="s">
        <v>116</v>
      </c>
      <c r="G105" s="3" t="s">
        <v>88</v>
      </c>
      <c r="H105" s="3" t="s">
        <v>43</v>
      </c>
      <c r="I105" s="3" t="s">
        <v>89</v>
      </c>
      <c r="J105" s="3" t="s">
        <v>90</v>
      </c>
      <c r="K105" s="3" t="s">
        <v>62</v>
      </c>
      <c r="L105" s="3" t="s">
        <v>63</v>
      </c>
      <c r="M105" s="3" t="s">
        <v>457</v>
      </c>
      <c r="N105" s="3" t="s">
        <v>72</v>
      </c>
      <c r="O105" s="3" t="s">
        <v>43</v>
      </c>
      <c r="P105" s="5" t="n">
        <v>4</v>
      </c>
      <c r="Q105" s="6" t="n">
        <v>2440.34</v>
      </c>
      <c r="R105" s="3" t="s">
        <v>50</v>
      </c>
      <c r="S105" s="7" t="n">
        <v>0.2</v>
      </c>
      <c r="T105" s="3" t="s">
        <v>51</v>
      </c>
      <c r="U105" s="7" t="n">
        <f aca="false">IF(T105="Valid",S105,0)</f>
        <v>0.2</v>
      </c>
      <c r="V105" s="6" t="n">
        <v>7809.09</v>
      </c>
      <c r="W105" s="6" t="n">
        <v>6657.75</v>
      </c>
      <c r="X105" s="6" t="n">
        <v>1151.34</v>
      </c>
      <c r="Y105" s="6" t="n">
        <f aca="false">P105*Q105*(1-U105)</f>
        <v>7809.088</v>
      </c>
      <c r="Z105" s="6" t="n">
        <f aca="false">Y105-W105</f>
        <v>1151.338</v>
      </c>
      <c r="AA105" s="8" t="n">
        <f aca="false">IF(Y105=0,0,Z105/Y105)</f>
        <v>0.147435654457985</v>
      </c>
      <c r="AB105" s="3" t="str">
        <f aca="false">IF(ABS(V105-Y105)&gt;1,"Mismatch","OK")</f>
        <v>OK</v>
      </c>
      <c r="AC105" s="3" t="str">
        <f aca="false">IF(ABS(X105-Z105)&gt;1,"Mismatch","OK")</f>
        <v>OK</v>
      </c>
      <c r="AD105" s="5" t="n">
        <f aca="false">IF(OR(B105="",C105=""),"",C105-B105)</f>
        <v>8</v>
      </c>
      <c r="AE105" s="3" t="str">
        <f aca="false">IF(AD105="","Unknown",IF(AD105&lt;0,"Invalid - Ship Before Order","OK"))</f>
        <v>OK</v>
      </c>
      <c r="AF105" s="5" t="n">
        <f aca="false">IF(B105="","",MONTH(B105))</f>
        <v>5</v>
      </c>
      <c r="AG105" s="5" t="n">
        <f aca="false">IF(B105="","",YEAR(B105))</f>
        <v>2025</v>
      </c>
      <c r="AH105" s="3" t="s">
        <v>52</v>
      </c>
      <c r="AI105" s="3" t="s">
        <v>53</v>
      </c>
      <c r="AJ105" s="3" t="str">
        <f aca="false">IF(AND(AI105="Completed",AH105="Failed"),"Inconsistent - Completed Order with Failed Payment","OK")</f>
        <v>OK</v>
      </c>
      <c r="AK105" s="3" t="s">
        <v>54</v>
      </c>
      <c r="AL105" s="3" t="str">
        <f aca="false">IF(OR(T105="Negative - Invalid",T105="Above Allowed Range - Invalid",AE105="Invalid - Ship Before Order",AK105&lt;&gt;"Unique",AB105="Mismatch",AC105="Mismatch",AJ105&lt;&gt;"OK"),"Invalid",IF(OR(H105="Yes",O105="Yes",T105="Missing"),"Warning","Clean"))</f>
        <v>Clean</v>
      </c>
    </row>
    <row r="106" customFormat="false" ht="15" hidden="false" customHeight="true" outlineLevel="0" collapsed="false">
      <c r="A106" s="3" t="s">
        <v>458</v>
      </c>
      <c r="B106" s="4" t="n">
        <v>45689</v>
      </c>
      <c r="C106" s="4" t="n">
        <v>45696</v>
      </c>
      <c r="D106" s="3" t="s">
        <v>459</v>
      </c>
      <c r="E106" s="3" t="s">
        <v>87</v>
      </c>
      <c r="F106" s="3" t="s">
        <v>41</v>
      </c>
      <c r="G106" s="3" t="s">
        <v>78</v>
      </c>
      <c r="H106" s="3" t="s">
        <v>43</v>
      </c>
      <c r="I106" s="3" t="s">
        <v>206</v>
      </c>
      <c r="J106" s="3" t="s">
        <v>207</v>
      </c>
      <c r="K106" s="3" t="s">
        <v>46</v>
      </c>
      <c r="L106" s="3" t="s">
        <v>117</v>
      </c>
      <c r="M106" s="3" t="s">
        <v>460</v>
      </c>
      <c r="N106" s="3" t="s">
        <v>65</v>
      </c>
      <c r="O106" s="3" t="s">
        <v>43</v>
      </c>
      <c r="P106" s="5" t="n">
        <v>5</v>
      </c>
      <c r="Q106" s="6" t="n">
        <v>2112.54</v>
      </c>
      <c r="R106" s="3" t="s">
        <v>84</v>
      </c>
      <c r="S106" s="7" t="n">
        <v>0.25</v>
      </c>
      <c r="T106" s="3" t="s">
        <v>51</v>
      </c>
      <c r="U106" s="7" t="n">
        <f aca="false">IF(T106="Valid",S106,0)</f>
        <v>0.25</v>
      </c>
      <c r="V106" s="6" t="n">
        <v>8260.46</v>
      </c>
      <c r="W106" s="6" t="n">
        <v>5619.95</v>
      </c>
      <c r="X106" s="6" t="n">
        <v>2302.08</v>
      </c>
      <c r="Y106" s="6" t="n">
        <f aca="false">P106*Q106*(1-U106)</f>
        <v>7922.025</v>
      </c>
      <c r="Z106" s="6" t="n">
        <f aca="false">Y106-W106</f>
        <v>2302.075</v>
      </c>
      <c r="AA106" s="8" t="n">
        <f aca="false">IF(Y106=0,0,Z106/Y106)</f>
        <v>0.290591736330042</v>
      </c>
      <c r="AB106" s="3" t="str">
        <f aca="false">IF(ABS(V106-Y106)&gt;1,"Mismatch","OK")</f>
        <v>Mismatch</v>
      </c>
      <c r="AC106" s="3" t="str">
        <f aca="false">IF(ABS(X106-Z106)&gt;1,"Mismatch","OK")</f>
        <v>OK</v>
      </c>
      <c r="AD106" s="5" t="n">
        <f aca="false">IF(OR(B106="",C106=""),"",C106-B106)</f>
        <v>7</v>
      </c>
      <c r="AE106" s="3" t="str">
        <f aca="false">IF(AD106="","Unknown",IF(AD106&lt;0,"Invalid - Ship Before Order","OK"))</f>
        <v>OK</v>
      </c>
      <c r="AF106" s="5" t="n">
        <f aca="false">IF(B106="","",MONTH(B106))</f>
        <v>2</v>
      </c>
      <c r="AG106" s="5" t="n">
        <f aca="false">IF(B106="","",YEAR(B106))</f>
        <v>2025</v>
      </c>
      <c r="AH106" s="3" t="s">
        <v>52</v>
      </c>
      <c r="AI106" s="3" t="s">
        <v>93</v>
      </c>
      <c r="AJ106" s="3" t="str">
        <f aca="false">IF(AND(AI106="Completed",AH106="Failed"),"Inconsistent - Completed Order with Failed Payment","OK")</f>
        <v>OK</v>
      </c>
      <c r="AK106" s="3" t="s">
        <v>54</v>
      </c>
      <c r="AL106" s="3" t="str">
        <f aca="false">IF(OR(T106="Negative - Invalid",T106="Above Allowed Range - Invalid",AE106="Invalid - Ship Before Order",AK106&lt;&gt;"Unique",AB106="Mismatch",AC106="Mismatch",AJ106&lt;&gt;"OK"),"Invalid",IF(OR(H106="Yes",O106="Yes",T106="Missing"),"Warning","Clean"))</f>
        <v>Invalid</v>
      </c>
    </row>
    <row r="107" customFormat="false" ht="15" hidden="false" customHeight="true" outlineLevel="0" collapsed="false">
      <c r="A107" s="3" t="s">
        <v>461</v>
      </c>
      <c r="B107" s="4" t="n">
        <v>45467</v>
      </c>
      <c r="C107" s="4" t="n">
        <v>45472</v>
      </c>
      <c r="D107" s="3" t="s">
        <v>462</v>
      </c>
      <c r="E107" s="3" t="s">
        <v>57</v>
      </c>
      <c r="F107" s="3" t="s">
        <v>121</v>
      </c>
      <c r="G107" s="3" t="s">
        <v>59</v>
      </c>
      <c r="H107" s="3" t="s">
        <v>43</v>
      </c>
      <c r="I107" s="3" t="s">
        <v>125</v>
      </c>
      <c r="J107" s="3" t="s">
        <v>126</v>
      </c>
      <c r="K107" s="3" t="s">
        <v>62</v>
      </c>
      <c r="L107" s="3" t="s">
        <v>63</v>
      </c>
      <c r="M107" s="3" t="s">
        <v>463</v>
      </c>
      <c r="N107" s="3" t="s">
        <v>49</v>
      </c>
      <c r="O107" s="3" t="s">
        <v>43</v>
      </c>
      <c r="P107" s="5" t="n">
        <v>2</v>
      </c>
      <c r="Q107" s="6" t="n">
        <v>685</v>
      </c>
      <c r="R107" s="3" t="s">
        <v>203</v>
      </c>
      <c r="S107" s="7" t="n">
        <v>0.1</v>
      </c>
      <c r="T107" s="3" t="s">
        <v>51</v>
      </c>
      <c r="U107" s="7" t="n">
        <f aca="false">IF(T107="Valid",S107,0)</f>
        <v>0.1</v>
      </c>
      <c r="V107" s="6" t="n">
        <v>1233</v>
      </c>
      <c r="W107" s="6" t="n">
        <v>1006.9</v>
      </c>
      <c r="X107" s="6" t="n">
        <v>226.1</v>
      </c>
      <c r="Y107" s="6" t="n">
        <f aca="false">P107*Q107*(1-U107)</f>
        <v>1233</v>
      </c>
      <c r="Z107" s="6" t="n">
        <f aca="false">Y107-W107</f>
        <v>226.1</v>
      </c>
      <c r="AA107" s="8" t="n">
        <f aca="false">IF(Y107=0,0,Z107/Y107)</f>
        <v>0.183373884833739</v>
      </c>
      <c r="AB107" s="3" t="str">
        <f aca="false">IF(ABS(V107-Y107)&gt;1,"Mismatch","OK")</f>
        <v>OK</v>
      </c>
      <c r="AC107" s="3" t="str">
        <f aca="false">IF(ABS(X107-Z107)&gt;1,"Mismatch","OK")</f>
        <v>OK</v>
      </c>
      <c r="AD107" s="5" t="n">
        <f aca="false">IF(OR(B107="",C107=""),"",C107-B107)</f>
        <v>5</v>
      </c>
      <c r="AE107" s="3" t="str">
        <f aca="false">IF(AD107="","Unknown",IF(AD107&lt;0,"Invalid - Ship Before Order","OK"))</f>
        <v>OK</v>
      </c>
      <c r="AF107" s="5" t="n">
        <f aca="false">IF(B107="","",MONTH(B107))</f>
        <v>6</v>
      </c>
      <c r="AG107" s="5" t="n">
        <f aca="false">IF(B107="","",YEAR(B107))</f>
        <v>2024</v>
      </c>
      <c r="AH107" s="3" t="s">
        <v>52</v>
      </c>
      <c r="AI107" s="3" t="s">
        <v>53</v>
      </c>
      <c r="AJ107" s="3" t="str">
        <f aca="false">IF(AND(AI107="Completed",AH107="Failed"),"Inconsistent - Completed Order with Failed Payment","OK")</f>
        <v>OK</v>
      </c>
      <c r="AK107" s="3" t="s">
        <v>54</v>
      </c>
      <c r="AL107" s="3" t="str">
        <f aca="false">IF(OR(T107="Negative - Invalid",T107="Above Allowed Range - Invalid",AE107="Invalid - Ship Before Order",AK107&lt;&gt;"Unique",AB107="Mismatch",AC107="Mismatch",AJ107&lt;&gt;"OK"),"Invalid",IF(OR(H107="Yes",O107="Yes",T107="Missing"),"Warning","Clean"))</f>
        <v>Clean</v>
      </c>
    </row>
    <row r="108" customFormat="false" ht="15" hidden="false" customHeight="true" outlineLevel="0" collapsed="false">
      <c r="A108" s="3" t="s">
        <v>464</v>
      </c>
      <c r="B108" s="4" t="n">
        <v>45342</v>
      </c>
      <c r="C108" s="4" t="n">
        <v>45350</v>
      </c>
      <c r="D108" s="3" t="s">
        <v>465</v>
      </c>
      <c r="E108" s="3" t="s">
        <v>77</v>
      </c>
      <c r="F108" s="3" t="s">
        <v>121</v>
      </c>
      <c r="G108" s="3" t="s">
        <v>59</v>
      </c>
      <c r="H108" s="3" t="s">
        <v>43</v>
      </c>
      <c r="I108" s="3" t="s">
        <v>125</v>
      </c>
      <c r="J108" s="3" t="s">
        <v>126</v>
      </c>
      <c r="K108" s="3" t="s">
        <v>46</v>
      </c>
      <c r="L108" s="3" t="s">
        <v>47</v>
      </c>
      <c r="M108" s="3" t="s">
        <v>466</v>
      </c>
      <c r="N108" s="3" t="s">
        <v>83</v>
      </c>
      <c r="O108" s="3" t="s">
        <v>43</v>
      </c>
      <c r="P108" s="5" t="n">
        <v>2</v>
      </c>
      <c r="Q108" s="6" t="n">
        <v>4004.04</v>
      </c>
      <c r="R108" s="3"/>
      <c r="S108" s="7"/>
      <c r="T108" s="3" t="s">
        <v>230</v>
      </c>
      <c r="U108" s="7" t="n">
        <f aca="false">IF(T108="Valid",S108,0)</f>
        <v>0</v>
      </c>
      <c r="V108" s="6" t="n">
        <v>7207.27</v>
      </c>
      <c r="W108" s="6" t="n">
        <v>5709.39</v>
      </c>
      <c r="X108" s="6" t="n">
        <v>1497.88</v>
      </c>
      <c r="Y108" s="6" t="n">
        <f aca="false">P108*Q108*(1-U108)</f>
        <v>8008.08</v>
      </c>
      <c r="Z108" s="6" t="n">
        <f aca="false">Y108-W108</f>
        <v>2298.69</v>
      </c>
      <c r="AA108" s="8" t="n">
        <f aca="false">IF(Y108=0,0,Z108/Y108)</f>
        <v>0.287046333203464</v>
      </c>
      <c r="AB108" s="3" t="str">
        <f aca="false">IF(ABS(V108-Y108)&gt;1,"Mismatch","OK")</f>
        <v>Mismatch</v>
      </c>
      <c r="AC108" s="3" t="str">
        <f aca="false">IF(ABS(X108-Z108)&gt;1,"Mismatch","OK")</f>
        <v>Mismatch</v>
      </c>
      <c r="AD108" s="5" t="n">
        <f aca="false">IF(OR(B108="",C108=""),"",C108-B108)</f>
        <v>8</v>
      </c>
      <c r="AE108" s="3" t="str">
        <f aca="false">IF(AD108="","Unknown",IF(AD108&lt;0,"Invalid - Ship Before Order","OK"))</f>
        <v>OK</v>
      </c>
      <c r="AF108" s="5" t="n">
        <f aca="false">IF(B108="","",MONTH(B108))</f>
        <v>2</v>
      </c>
      <c r="AG108" s="5" t="n">
        <f aca="false">IF(B108="","",YEAR(B108))</f>
        <v>2024</v>
      </c>
      <c r="AH108" s="3" t="s">
        <v>52</v>
      </c>
      <c r="AI108" s="3" t="s">
        <v>93</v>
      </c>
      <c r="AJ108" s="3" t="str">
        <f aca="false">IF(AND(AI108="Completed",AH108="Failed"),"Inconsistent - Completed Order with Failed Payment","OK")</f>
        <v>OK</v>
      </c>
      <c r="AK108" s="3" t="s">
        <v>54</v>
      </c>
      <c r="AL108" s="3" t="str">
        <f aca="false">IF(OR(T108="Negative - Invalid",T108="Above Allowed Range - Invalid",AE108="Invalid - Ship Before Order",AK108&lt;&gt;"Unique",AB108="Mismatch",AC108="Mismatch",AJ108&lt;&gt;"OK"),"Invalid",IF(OR(H108="Yes",O108="Yes",T108="Missing"),"Warning","Clean"))</f>
        <v>Invalid</v>
      </c>
    </row>
    <row r="109" customFormat="false" ht="15" hidden="false" customHeight="true" outlineLevel="0" collapsed="false">
      <c r="A109" s="3" t="s">
        <v>467</v>
      </c>
      <c r="B109" s="4" t="n">
        <v>45594</v>
      </c>
      <c r="C109" s="4" t="n">
        <v>45600</v>
      </c>
      <c r="D109" s="3" t="s">
        <v>468</v>
      </c>
      <c r="E109" s="3" t="s">
        <v>168</v>
      </c>
      <c r="F109" s="3" t="s">
        <v>121</v>
      </c>
      <c r="G109" s="3" t="s">
        <v>59</v>
      </c>
      <c r="H109" s="3" t="s">
        <v>43</v>
      </c>
      <c r="I109" s="3" t="s">
        <v>125</v>
      </c>
      <c r="J109" s="3" t="s">
        <v>126</v>
      </c>
      <c r="K109" s="3" t="s">
        <v>62</v>
      </c>
      <c r="L109" s="3" t="s">
        <v>81</v>
      </c>
      <c r="M109" s="3" t="s">
        <v>469</v>
      </c>
      <c r="N109" s="3" t="s">
        <v>72</v>
      </c>
      <c r="O109" s="3" t="s">
        <v>43</v>
      </c>
      <c r="P109" s="5" t="n">
        <v>3</v>
      </c>
      <c r="Q109" s="6" t="n">
        <v>4302.89</v>
      </c>
      <c r="R109" s="3" t="s">
        <v>128</v>
      </c>
      <c r="S109" s="7" t="n">
        <v>0.05</v>
      </c>
      <c r="T109" s="3" t="s">
        <v>51</v>
      </c>
      <c r="U109" s="7" t="n">
        <f aca="false">IF(T109="Valid",S109,0)</f>
        <v>0.05</v>
      </c>
      <c r="V109" s="6" t="n">
        <v>12263.24</v>
      </c>
      <c r="W109" s="6" t="n">
        <v>8925.57</v>
      </c>
      <c r="X109" s="6" t="n">
        <v>3337.67</v>
      </c>
      <c r="Y109" s="6" t="n">
        <f aca="false">P109*Q109*(1-U109)</f>
        <v>12263.2365</v>
      </c>
      <c r="Z109" s="6" t="n">
        <f aca="false">Y109-W109</f>
        <v>3337.6665</v>
      </c>
      <c r="AA109" s="8" t="n">
        <f aca="false">IF(Y109=0,0,Z109/Y109)</f>
        <v>0.272168485048788</v>
      </c>
      <c r="AB109" s="3" t="str">
        <f aca="false">IF(ABS(V109-Y109)&gt;1,"Mismatch","OK")</f>
        <v>OK</v>
      </c>
      <c r="AC109" s="3" t="str">
        <f aca="false">IF(ABS(X109-Z109)&gt;1,"Mismatch","OK")</f>
        <v>OK</v>
      </c>
      <c r="AD109" s="5" t="n">
        <f aca="false">IF(OR(B109="",C109=""),"",C109-B109)</f>
        <v>6</v>
      </c>
      <c r="AE109" s="3" t="str">
        <f aca="false">IF(AD109="","Unknown",IF(AD109&lt;0,"Invalid - Ship Before Order","OK"))</f>
        <v>OK</v>
      </c>
      <c r="AF109" s="5" t="n">
        <f aca="false">IF(B109="","",MONTH(B109))</f>
        <v>10</v>
      </c>
      <c r="AG109" s="5" t="n">
        <f aca="false">IF(B109="","",YEAR(B109))</f>
        <v>2024</v>
      </c>
      <c r="AH109" s="3" t="s">
        <v>52</v>
      </c>
      <c r="AI109" s="3" t="s">
        <v>53</v>
      </c>
      <c r="AJ109" s="3" t="str">
        <f aca="false">IF(AND(AI109="Completed",AH109="Failed"),"Inconsistent - Completed Order with Failed Payment","OK")</f>
        <v>OK</v>
      </c>
      <c r="AK109" s="3" t="s">
        <v>54</v>
      </c>
      <c r="AL109" s="3" t="str">
        <f aca="false">IF(OR(T109="Negative - Invalid",T109="Above Allowed Range - Invalid",AE109="Invalid - Ship Before Order",AK109&lt;&gt;"Unique",AB109="Mismatch",AC109="Mismatch",AJ109&lt;&gt;"OK"),"Invalid",IF(OR(H109="Yes",O109="Yes",T109="Missing"),"Warning","Clean"))</f>
        <v>Clean</v>
      </c>
    </row>
    <row r="110" customFormat="false" ht="15" hidden="false" customHeight="true" outlineLevel="0" collapsed="false">
      <c r="A110" s="3" t="s">
        <v>470</v>
      </c>
      <c r="B110" s="4" t="n">
        <v>45519</v>
      </c>
      <c r="C110" s="4" t="n">
        <v>45527</v>
      </c>
      <c r="D110" s="3" t="s">
        <v>471</v>
      </c>
      <c r="E110" s="3" t="s">
        <v>115</v>
      </c>
      <c r="F110" s="3" t="s">
        <v>58</v>
      </c>
      <c r="G110" s="3" t="s">
        <v>59</v>
      </c>
      <c r="H110" s="3" t="s">
        <v>43</v>
      </c>
      <c r="I110" s="3" t="s">
        <v>60</v>
      </c>
      <c r="J110" s="3" t="s">
        <v>61</v>
      </c>
      <c r="K110" s="3" t="s">
        <v>62</v>
      </c>
      <c r="L110" s="3" t="s">
        <v>188</v>
      </c>
      <c r="M110" s="3" t="s">
        <v>472</v>
      </c>
      <c r="N110" s="3" t="s">
        <v>65</v>
      </c>
      <c r="O110" s="3" t="s">
        <v>43</v>
      </c>
      <c r="P110" s="5" t="n">
        <v>2</v>
      </c>
      <c r="Q110" s="6" t="n">
        <v>537.54</v>
      </c>
      <c r="R110" s="3" t="s">
        <v>84</v>
      </c>
      <c r="S110" s="7" t="n">
        <v>0.25</v>
      </c>
      <c r="T110" s="3" t="s">
        <v>51</v>
      </c>
      <c r="U110" s="7" t="n">
        <f aca="false">IF(T110="Valid",S110,0)</f>
        <v>0.25</v>
      </c>
      <c r="V110" s="6" t="n">
        <v>806.31</v>
      </c>
      <c r="W110" s="6" t="n">
        <v>498.5</v>
      </c>
      <c r="X110" s="6" t="n">
        <v>307.81</v>
      </c>
      <c r="Y110" s="6" t="n">
        <f aca="false">P110*Q110*(1-U110)</f>
        <v>806.31</v>
      </c>
      <c r="Z110" s="6" t="n">
        <f aca="false">Y110-W110</f>
        <v>307.81</v>
      </c>
      <c r="AA110" s="8" t="n">
        <f aca="false">IF(Y110=0,0,Z110/Y110)</f>
        <v>0.381751435552083</v>
      </c>
      <c r="AB110" s="3" t="str">
        <f aca="false">IF(ABS(V110-Y110)&gt;1,"Mismatch","OK")</f>
        <v>OK</v>
      </c>
      <c r="AC110" s="3" t="str">
        <f aca="false">IF(ABS(X110-Z110)&gt;1,"Mismatch","OK")</f>
        <v>OK</v>
      </c>
      <c r="AD110" s="5" t="n">
        <f aca="false">IF(OR(B110="",C110=""),"",C110-B110)</f>
        <v>8</v>
      </c>
      <c r="AE110" s="3" t="str">
        <f aca="false">IF(AD110="","Unknown",IF(AD110&lt;0,"Invalid - Ship Before Order","OK"))</f>
        <v>OK</v>
      </c>
      <c r="AF110" s="5" t="n">
        <f aca="false">IF(B110="","",MONTH(B110))</f>
        <v>8</v>
      </c>
      <c r="AG110" s="5" t="n">
        <f aca="false">IF(B110="","",YEAR(B110))</f>
        <v>2024</v>
      </c>
      <c r="AH110" s="3" t="s">
        <v>52</v>
      </c>
      <c r="AI110" s="3" t="s">
        <v>53</v>
      </c>
      <c r="AJ110" s="3" t="str">
        <f aca="false">IF(AND(AI110="Completed",AH110="Failed"),"Inconsistent - Completed Order with Failed Payment","OK")</f>
        <v>OK</v>
      </c>
      <c r="AK110" s="3" t="s">
        <v>54</v>
      </c>
      <c r="AL110" s="3" t="str">
        <f aca="false">IF(OR(T110="Negative - Invalid",T110="Above Allowed Range - Invalid",AE110="Invalid - Ship Before Order",AK110&lt;&gt;"Unique",AB110="Mismatch",AC110="Mismatch",AJ110&lt;&gt;"OK"),"Invalid",IF(OR(H110="Yes",O110="Yes",T110="Missing"),"Warning","Clean"))</f>
        <v>Clean</v>
      </c>
    </row>
    <row r="111" customFormat="false" ht="15" hidden="false" customHeight="true" outlineLevel="0" collapsed="false">
      <c r="A111" s="3" t="s">
        <v>473</v>
      </c>
      <c r="B111" s="4" t="n">
        <v>45892</v>
      </c>
      <c r="C111" s="4" t="n">
        <v>45896</v>
      </c>
      <c r="D111" s="3" t="s">
        <v>474</v>
      </c>
      <c r="E111" s="3" t="s">
        <v>159</v>
      </c>
      <c r="F111" s="3" t="s">
        <v>41</v>
      </c>
      <c r="G111" s="3" t="s">
        <v>42</v>
      </c>
      <c r="H111" s="3" t="s">
        <v>43</v>
      </c>
      <c r="I111" s="3" t="s">
        <v>384</v>
      </c>
      <c r="J111" s="3" t="s">
        <v>385</v>
      </c>
      <c r="K111" s="3" t="s">
        <v>46</v>
      </c>
      <c r="L111" s="3" t="s">
        <v>183</v>
      </c>
      <c r="M111" s="3" t="s">
        <v>475</v>
      </c>
      <c r="N111" s="3" t="s">
        <v>49</v>
      </c>
      <c r="O111" s="3" t="s">
        <v>43</v>
      </c>
      <c r="P111" s="5" t="n">
        <v>1</v>
      </c>
      <c r="Q111" s="6" t="n">
        <v>2788.62</v>
      </c>
      <c r="R111" s="3" t="s">
        <v>84</v>
      </c>
      <c r="S111" s="7" t="n">
        <v>0.25</v>
      </c>
      <c r="T111" s="3" t="s">
        <v>51</v>
      </c>
      <c r="U111" s="7" t="n">
        <f aca="false">IF(T111="Valid",S111,0)</f>
        <v>0.25</v>
      </c>
      <c r="V111" s="6" t="n">
        <v>2091.47</v>
      </c>
      <c r="W111" s="6" t="n">
        <v>1317.22</v>
      </c>
      <c r="X111" s="6" t="n">
        <v>774.25</v>
      </c>
      <c r="Y111" s="6" t="n">
        <f aca="false">P111*Q111*(1-U111)</f>
        <v>2091.465</v>
      </c>
      <c r="Z111" s="6" t="n">
        <f aca="false">Y111-W111</f>
        <v>774.245</v>
      </c>
      <c r="AA111" s="8" t="n">
        <f aca="false">IF(Y111=0,0,Z111/Y111)</f>
        <v>0.370192663993899</v>
      </c>
      <c r="AB111" s="3" t="str">
        <f aca="false">IF(ABS(V111-Y111)&gt;1,"Mismatch","OK")</f>
        <v>OK</v>
      </c>
      <c r="AC111" s="3" t="str">
        <f aca="false">IF(ABS(X111-Z111)&gt;1,"Mismatch","OK")</f>
        <v>OK</v>
      </c>
      <c r="AD111" s="5" t="n">
        <f aca="false">IF(OR(B111="",C111=""),"",C111-B111)</f>
        <v>4</v>
      </c>
      <c r="AE111" s="3" t="str">
        <f aca="false">IF(AD111="","Unknown",IF(AD111&lt;0,"Invalid - Ship Before Order","OK"))</f>
        <v>OK</v>
      </c>
      <c r="AF111" s="5" t="n">
        <f aca="false">IF(B111="","",MONTH(B111))</f>
        <v>8</v>
      </c>
      <c r="AG111" s="5" t="n">
        <f aca="false">IF(B111="","",YEAR(B111))</f>
        <v>2025</v>
      </c>
      <c r="AH111" s="3" t="s">
        <v>52</v>
      </c>
      <c r="AI111" s="3" t="s">
        <v>53</v>
      </c>
      <c r="AJ111" s="3" t="str">
        <f aca="false">IF(AND(AI111="Completed",AH111="Failed"),"Inconsistent - Completed Order with Failed Payment","OK")</f>
        <v>OK</v>
      </c>
      <c r="AK111" s="3" t="s">
        <v>54</v>
      </c>
      <c r="AL111" s="3" t="str">
        <f aca="false">IF(OR(T111="Negative - Invalid",T111="Above Allowed Range - Invalid",AE111="Invalid - Ship Before Order",AK111&lt;&gt;"Unique",AB111="Mismatch",AC111="Mismatch",AJ111&lt;&gt;"OK"),"Invalid",IF(OR(H111="Yes",O111="Yes",T111="Missing"),"Warning","Clean"))</f>
        <v>Clean</v>
      </c>
    </row>
    <row r="112" customFormat="false" ht="15" hidden="false" customHeight="true" outlineLevel="0" collapsed="false">
      <c r="A112" s="3" t="s">
        <v>476</v>
      </c>
      <c r="B112" s="4" t="n">
        <v>45583</v>
      </c>
      <c r="C112" s="4" t="n">
        <v>45589</v>
      </c>
      <c r="D112" s="3" t="s">
        <v>477</v>
      </c>
      <c r="E112" s="3" t="s">
        <v>96</v>
      </c>
      <c r="F112" s="3" t="s">
        <v>116</v>
      </c>
      <c r="G112" s="3" t="s">
        <v>78</v>
      </c>
      <c r="H112" s="3" t="s">
        <v>43</v>
      </c>
      <c r="I112" s="3" t="s">
        <v>216</v>
      </c>
      <c r="J112" s="3" t="s">
        <v>217</v>
      </c>
      <c r="K112" s="3" t="s">
        <v>46</v>
      </c>
      <c r="L112" s="3" t="s">
        <v>117</v>
      </c>
      <c r="M112" s="3" t="s">
        <v>478</v>
      </c>
      <c r="N112" s="3" t="s">
        <v>72</v>
      </c>
      <c r="O112" s="3" t="s">
        <v>43</v>
      </c>
      <c r="P112" s="5" t="n">
        <v>2</v>
      </c>
      <c r="Q112" s="6" t="n">
        <v>2250.47</v>
      </c>
      <c r="R112" s="3" t="s">
        <v>66</v>
      </c>
      <c r="S112" s="7" t="n">
        <v>0</v>
      </c>
      <c r="T112" s="3" t="s">
        <v>51</v>
      </c>
      <c r="U112" s="7" t="n">
        <f aca="false">IF(T112="Valid",S112,0)</f>
        <v>0</v>
      </c>
      <c r="V112" s="6" t="n">
        <v>4500.94</v>
      </c>
      <c r="W112" s="6" t="n">
        <v>2607.73</v>
      </c>
      <c r="X112" s="6" t="n">
        <v>1893.21</v>
      </c>
      <c r="Y112" s="6" t="n">
        <f aca="false">P112*Q112*(1-U112)</f>
        <v>4500.94</v>
      </c>
      <c r="Z112" s="6" t="n">
        <f aca="false">Y112-W112</f>
        <v>1893.21</v>
      </c>
      <c r="AA112" s="8" t="n">
        <f aca="false">IF(Y112=0,0,Z112/Y112)</f>
        <v>0.420625469346403</v>
      </c>
      <c r="AB112" s="3" t="str">
        <f aca="false">IF(ABS(V112-Y112)&gt;1,"Mismatch","OK")</f>
        <v>OK</v>
      </c>
      <c r="AC112" s="3" t="str">
        <f aca="false">IF(ABS(X112-Z112)&gt;1,"Mismatch","OK")</f>
        <v>OK</v>
      </c>
      <c r="AD112" s="5" t="n">
        <f aca="false">IF(OR(B112="",C112=""),"",C112-B112)</f>
        <v>6</v>
      </c>
      <c r="AE112" s="3" t="str">
        <f aca="false">IF(AD112="","Unknown",IF(AD112&lt;0,"Invalid - Ship Before Order","OK"))</f>
        <v>OK</v>
      </c>
      <c r="AF112" s="5" t="n">
        <f aca="false">IF(B112="","",MONTH(B112))</f>
        <v>10</v>
      </c>
      <c r="AG112" s="5" t="n">
        <f aca="false">IF(B112="","",YEAR(B112))</f>
        <v>2024</v>
      </c>
      <c r="AH112" s="3" t="s">
        <v>129</v>
      </c>
      <c r="AI112" s="3" t="s">
        <v>93</v>
      </c>
      <c r="AJ112" s="3" t="str">
        <f aca="false">IF(AND(AI112="Completed",AH112="Failed"),"Inconsistent - Completed Order with Failed Payment","OK")</f>
        <v>OK</v>
      </c>
      <c r="AK112" s="3" t="s">
        <v>54</v>
      </c>
      <c r="AL112" s="3" t="str">
        <f aca="false">IF(OR(T112="Negative - Invalid",T112="Above Allowed Range - Invalid",AE112="Invalid - Ship Before Order",AK112&lt;&gt;"Unique",AB112="Mismatch",AC112="Mismatch",AJ112&lt;&gt;"OK"),"Invalid",IF(OR(H112="Yes",O112="Yes",T112="Missing"),"Warning","Clean"))</f>
        <v>Clean</v>
      </c>
    </row>
    <row r="113" customFormat="false" ht="15" hidden="false" customHeight="true" outlineLevel="0" collapsed="false">
      <c r="A113" s="3" t="s">
        <v>479</v>
      </c>
      <c r="B113" s="4" t="n">
        <v>45835</v>
      </c>
      <c r="C113" s="4" t="n">
        <v>45838</v>
      </c>
      <c r="D113" s="3" t="s">
        <v>480</v>
      </c>
      <c r="E113" s="3" t="s">
        <v>104</v>
      </c>
      <c r="F113" s="3" t="s">
        <v>116</v>
      </c>
      <c r="G113" s="3" t="s">
        <v>59</v>
      </c>
      <c r="H113" s="3" t="s">
        <v>43</v>
      </c>
      <c r="I113" s="3" t="s">
        <v>174</v>
      </c>
      <c r="J113" s="3" t="s">
        <v>175</v>
      </c>
      <c r="K113" s="3" t="s">
        <v>99</v>
      </c>
      <c r="L113" s="3" t="s">
        <v>100</v>
      </c>
      <c r="M113" s="3" t="s">
        <v>481</v>
      </c>
      <c r="N113" s="3" t="s">
        <v>72</v>
      </c>
      <c r="O113" s="3" t="s">
        <v>43</v>
      </c>
      <c r="P113" s="5" t="n">
        <v>1</v>
      </c>
      <c r="Q113" s="6" t="n">
        <v>1708.44</v>
      </c>
      <c r="R113" s="3" t="s">
        <v>128</v>
      </c>
      <c r="S113" s="7" t="n">
        <v>0.05</v>
      </c>
      <c r="T113" s="3" t="s">
        <v>51</v>
      </c>
      <c r="U113" s="7" t="n">
        <f aca="false">IF(T113="Valid",S113,0)</f>
        <v>0.05</v>
      </c>
      <c r="V113" s="6" t="n">
        <v>1623.02</v>
      </c>
      <c r="W113" s="6" t="n">
        <v>1077.46</v>
      </c>
      <c r="X113" s="6" t="n">
        <v>545.56</v>
      </c>
      <c r="Y113" s="6" t="n">
        <f aca="false">P113*Q113*(1-U113)</f>
        <v>1623.018</v>
      </c>
      <c r="Z113" s="6" t="n">
        <f aca="false">Y113-W113</f>
        <v>545.558</v>
      </c>
      <c r="AA113" s="8" t="n">
        <f aca="false">IF(Y113=0,0,Z113/Y113)</f>
        <v>0.336137984914523</v>
      </c>
      <c r="AB113" s="3" t="str">
        <f aca="false">IF(ABS(V113-Y113)&gt;1,"Mismatch","OK")</f>
        <v>OK</v>
      </c>
      <c r="AC113" s="3" t="str">
        <f aca="false">IF(ABS(X113-Z113)&gt;1,"Mismatch","OK")</f>
        <v>OK</v>
      </c>
      <c r="AD113" s="5" t="n">
        <f aca="false">IF(OR(B113="",C113=""),"",C113-B113)</f>
        <v>3</v>
      </c>
      <c r="AE113" s="3" t="str">
        <f aca="false">IF(AD113="","Unknown",IF(AD113&lt;0,"Invalid - Ship Before Order","OK"))</f>
        <v>OK</v>
      </c>
      <c r="AF113" s="5" t="n">
        <f aca="false">IF(B113="","",MONTH(B113))</f>
        <v>6</v>
      </c>
      <c r="AG113" s="5" t="n">
        <f aca="false">IF(B113="","",YEAR(B113))</f>
        <v>2025</v>
      </c>
      <c r="AH113" s="3" t="s">
        <v>138</v>
      </c>
      <c r="AI113" s="3" t="s">
        <v>93</v>
      </c>
      <c r="AJ113" s="3" t="str">
        <f aca="false">IF(AND(AI113="Completed",AH113="Failed"),"Inconsistent - Completed Order with Failed Payment","OK")</f>
        <v>OK</v>
      </c>
      <c r="AK113" s="3" t="s">
        <v>54</v>
      </c>
      <c r="AL113" s="3" t="str">
        <f aca="false">IF(OR(T113="Negative - Invalid",T113="Above Allowed Range - Invalid",AE113="Invalid - Ship Before Order",AK113&lt;&gt;"Unique",AB113="Mismatch",AC113="Mismatch",AJ113&lt;&gt;"OK"),"Invalid",IF(OR(H113="Yes",O113="Yes",T113="Missing"),"Warning","Clean"))</f>
        <v>Clean</v>
      </c>
    </row>
    <row r="114" customFormat="false" ht="15" hidden="false" customHeight="true" outlineLevel="0" collapsed="false">
      <c r="A114" s="3" t="s">
        <v>482</v>
      </c>
      <c r="B114" s="4" t="n">
        <v>45301</v>
      </c>
      <c r="C114" s="4" t="n">
        <v>45305</v>
      </c>
      <c r="D114" s="3" t="s">
        <v>483</v>
      </c>
      <c r="E114" s="3" t="s">
        <v>159</v>
      </c>
      <c r="F114" s="3" t="s">
        <v>41</v>
      </c>
      <c r="G114" s="3" t="s">
        <v>237</v>
      </c>
      <c r="H114" s="3" t="s">
        <v>238</v>
      </c>
      <c r="I114" s="3" t="s">
        <v>211</v>
      </c>
      <c r="J114" s="3" t="s">
        <v>212</v>
      </c>
      <c r="K114" s="3" t="s">
        <v>99</v>
      </c>
      <c r="L114" s="3" t="s">
        <v>100</v>
      </c>
      <c r="M114" s="3" t="s">
        <v>484</v>
      </c>
      <c r="N114" s="3" t="s">
        <v>83</v>
      </c>
      <c r="O114" s="3" t="s">
        <v>43</v>
      </c>
      <c r="P114" s="5" t="n">
        <v>3</v>
      </c>
      <c r="Q114" s="6" t="n">
        <v>3829.48</v>
      </c>
      <c r="R114" s="3" t="s">
        <v>128</v>
      </c>
      <c r="S114" s="7" t="n">
        <v>0.05</v>
      </c>
      <c r="T114" s="3" t="s">
        <v>51</v>
      </c>
      <c r="U114" s="7" t="n">
        <f aca="false">IF(T114="Valid",S114,0)</f>
        <v>0.05</v>
      </c>
      <c r="V114" s="6" t="n">
        <v>10914.02</v>
      </c>
      <c r="W114" s="6" t="n">
        <v>6548.74</v>
      </c>
      <c r="X114" s="6" t="n">
        <v>4365.28</v>
      </c>
      <c r="Y114" s="6" t="n">
        <f aca="false">P114*Q114*(1-U114)</f>
        <v>10914.018</v>
      </c>
      <c r="Z114" s="6" t="n">
        <f aca="false">Y114-W114</f>
        <v>4365.278</v>
      </c>
      <c r="AA114" s="8" t="n">
        <f aca="false">IF(Y114=0,0,Z114/Y114)</f>
        <v>0.399969836956472</v>
      </c>
      <c r="AB114" s="3" t="str">
        <f aca="false">IF(ABS(V114-Y114)&gt;1,"Mismatch","OK")</f>
        <v>OK</v>
      </c>
      <c r="AC114" s="3" t="str">
        <f aca="false">IF(ABS(X114-Z114)&gt;1,"Mismatch","OK")</f>
        <v>OK</v>
      </c>
      <c r="AD114" s="5" t="n">
        <f aca="false">IF(OR(B114="",C114=""),"",C114-B114)</f>
        <v>4</v>
      </c>
      <c r="AE114" s="3" t="str">
        <f aca="false">IF(AD114="","Unknown",IF(AD114&lt;0,"Invalid - Ship Before Order","OK"))</f>
        <v>OK</v>
      </c>
      <c r="AF114" s="5" t="n">
        <f aca="false">IF(B114="","",MONTH(B114))</f>
        <v>1</v>
      </c>
      <c r="AG114" s="5" t="n">
        <f aca="false">IF(B114="","",YEAR(B114))</f>
        <v>2024</v>
      </c>
      <c r="AH114" s="3" t="s">
        <v>52</v>
      </c>
      <c r="AI114" s="3" t="s">
        <v>53</v>
      </c>
      <c r="AJ114" s="3" t="str">
        <f aca="false">IF(AND(AI114="Completed",AH114="Failed"),"Inconsistent - Completed Order with Failed Payment","OK")</f>
        <v>OK</v>
      </c>
      <c r="AK114" s="3" t="s">
        <v>54</v>
      </c>
      <c r="AL114" s="3" t="str">
        <f aca="false">IF(OR(T114="Negative - Invalid",T114="Above Allowed Range - Invalid",AE114="Invalid - Ship Before Order",AK114&lt;&gt;"Unique",AB114="Mismatch",AC114="Mismatch",AJ114&lt;&gt;"OK"),"Invalid",IF(OR(H114="Yes",O114="Yes",T114="Missing"),"Warning","Clean"))</f>
        <v>Warning</v>
      </c>
    </row>
    <row r="115" customFormat="false" ht="15" hidden="false" customHeight="true" outlineLevel="0" collapsed="false">
      <c r="A115" s="3" t="s">
        <v>485</v>
      </c>
      <c r="B115" s="4" t="n">
        <v>45334</v>
      </c>
      <c r="C115" s="4" t="n">
        <v>45334</v>
      </c>
      <c r="D115" s="3" t="s">
        <v>394</v>
      </c>
      <c r="E115" s="3" t="s">
        <v>69</v>
      </c>
      <c r="F115" s="3" t="s">
        <v>121</v>
      </c>
      <c r="G115" s="3" t="s">
        <v>78</v>
      </c>
      <c r="H115" s="3" t="s">
        <v>43</v>
      </c>
      <c r="I115" s="3" t="s">
        <v>281</v>
      </c>
      <c r="J115" s="3" t="s">
        <v>282</v>
      </c>
      <c r="K115" s="3" t="s">
        <v>62</v>
      </c>
      <c r="L115" s="3" t="s">
        <v>63</v>
      </c>
      <c r="M115" s="3" t="s">
        <v>486</v>
      </c>
      <c r="N115" s="3" t="s">
        <v>83</v>
      </c>
      <c r="O115" s="3" t="s">
        <v>43</v>
      </c>
      <c r="P115" s="5" t="n">
        <v>3</v>
      </c>
      <c r="Q115" s="6" t="n">
        <v>1089.15</v>
      </c>
      <c r="R115" s="3" t="s">
        <v>84</v>
      </c>
      <c r="S115" s="7" t="n">
        <v>0.25</v>
      </c>
      <c r="T115" s="3" t="s">
        <v>51</v>
      </c>
      <c r="U115" s="7" t="n">
        <f aca="false">IF(T115="Valid",S115,0)</f>
        <v>0.25</v>
      </c>
      <c r="V115" s="6" t="n">
        <v>2450.59</v>
      </c>
      <c r="W115" s="6" t="n">
        <v>1639.89</v>
      </c>
      <c r="X115" s="6" t="n">
        <v>810.7</v>
      </c>
      <c r="Y115" s="6" t="n">
        <f aca="false">P115*Q115*(1-U115)</f>
        <v>2450.5875</v>
      </c>
      <c r="Z115" s="6" t="n">
        <f aca="false">Y115-W115</f>
        <v>810.6975</v>
      </c>
      <c r="AA115" s="8" t="n">
        <f aca="false">IF(Y115=0,0,Z115/Y115)</f>
        <v>0.330817610062893</v>
      </c>
      <c r="AB115" s="3" t="str">
        <f aca="false">IF(ABS(V115-Y115)&gt;1,"Mismatch","OK")</f>
        <v>OK</v>
      </c>
      <c r="AC115" s="3" t="str">
        <f aca="false">IF(ABS(X115-Z115)&gt;1,"Mismatch","OK")</f>
        <v>OK</v>
      </c>
      <c r="AD115" s="5" t="n">
        <f aca="false">IF(OR(B115="",C115=""),"",C115-B115)</f>
        <v>0</v>
      </c>
      <c r="AE115" s="3" t="str">
        <f aca="false">IF(AD115="","Unknown",IF(AD115&lt;0,"Invalid - Ship Before Order","OK"))</f>
        <v>OK</v>
      </c>
      <c r="AF115" s="5" t="n">
        <f aca="false">IF(B115="","",MONTH(B115))</f>
        <v>2</v>
      </c>
      <c r="AG115" s="5" t="n">
        <f aca="false">IF(B115="","",YEAR(B115))</f>
        <v>2024</v>
      </c>
      <c r="AH115" s="3" t="s">
        <v>52</v>
      </c>
      <c r="AI115" s="3" t="s">
        <v>53</v>
      </c>
      <c r="AJ115" s="3" t="str">
        <f aca="false">IF(AND(AI115="Completed",AH115="Failed"),"Inconsistent - Completed Order with Failed Payment","OK")</f>
        <v>OK</v>
      </c>
      <c r="AK115" s="3" t="s">
        <v>54</v>
      </c>
      <c r="AL115" s="3" t="str">
        <f aca="false">IF(OR(T115="Negative - Invalid",T115="Above Allowed Range - Invalid",AE115="Invalid - Ship Before Order",AK115&lt;&gt;"Unique",AB115="Mismatch",AC115="Mismatch",AJ115&lt;&gt;"OK"),"Invalid",IF(OR(H115="Yes",O115="Yes",T115="Missing"),"Warning","Clean"))</f>
        <v>Clean</v>
      </c>
    </row>
    <row r="116" customFormat="false" ht="15" hidden="false" customHeight="true" outlineLevel="0" collapsed="false">
      <c r="A116" s="3" t="s">
        <v>487</v>
      </c>
      <c r="B116" s="4" t="n">
        <v>45560</v>
      </c>
      <c r="C116" s="4" t="n">
        <v>45565</v>
      </c>
      <c r="D116" s="3" t="s">
        <v>488</v>
      </c>
      <c r="E116" s="3" t="s">
        <v>104</v>
      </c>
      <c r="F116" s="3" t="s">
        <v>58</v>
      </c>
      <c r="G116" s="3" t="s">
        <v>42</v>
      </c>
      <c r="H116" s="3" t="s">
        <v>43</v>
      </c>
      <c r="I116" s="3" t="s">
        <v>44</v>
      </c>
      <c r="J116" s="3" t="s">
        <v>45</v>
      </c>
      <c r="K116" s="3" t="s">
        <v>99</v>
      </c>
      <c r="L116" s="3" t="s">
        <v>100</v>
      </c>
      <c r="M116" s="3" t="s">
        <v>489</v>
      </c>
      <c r="N116" s="3" t="s">
        <v>49</v>
      </c>
      <c r="O116" s="3" t="s">
        <v>43</v>
      </c>
      <c r="P116" s="5" t="n">
        <v>1</v>
      </c>
      <c r="Q116" s="6" t="n">
        <v>4388.4</v>
      </c>
      <c r="R116" s="3" t="s">
        <v>203</v>
      </c>
      <c r="S116" s="7" t="n">
        <v>0.1</v>
      </c>
      <c r="T116" s="3" t="s">
        <v>51</v>
      </c>
      <c r="U116" s="7" t="n">
        <f aca="false">IF(T116="Valid",S116,0)</f>
        <v>0.1</v>
      </c>
      <c r="V116" s="6" t="n">
        <v>3949.56</v>
      </c>
      <c r="W116" s="6" t="n">
        <v>3186.73</v>
      </c>
      <c r="X116" s="6" t="n">
        <v>762.83</v>
      </c>
      <c r="Y116" s="6" t="n">
        <f aca="false">P116*Q116*(1-U116)</f>
        <v>3949.56</v>
      </c>
      <c r="Z116" s="6" t="n">
        <f aca="false">Y116-W116</f>
        <v>762.83</v>
      </c>
      <c r="AA116" s="8" t="n">
        <f aca="false">IF(Y116=0,0,Z116/Y116)</f>
        <v>0.193143033654382</v>
      </c>
      <c r="AB116" s="3" t="str">
        <f aca="false">IF(ABS(V116-Y116)&gt;1,"Mismatch","OK")</f>
        <v>OK</v>
      </c>
      <c r="AC116" s="3" t="str">
        <f aca="false">IF(ABS(X116-Z116)&gt;1,"Mismatch","OK")</f>
        <v>OK</v>
      </c>
      <c r="AD116" s="5" t="n">
        <f aca="false">IF(OR(B116="",C116=""),"",C116-B116)</f>
        <v>5</v>
      </c>
      <c r="AE116" s="3" t="str">
        <f aca="false">IF(AD116="","Unknown",IF(AD116&lt;0,"Invalid - Ship Before Order","OK"))</f>
        <v>OK</v>
      </c>
      <c r="AF116" s="5" t="n">
        <f aca="false">IF(B116="","",MONTH(B116))</f>
        <v>9</v>
      </c>
      <c r="AG116" s="5" t="n">
        <f aca="false">IF(B116="","",YEAR(B116))</f>
        <v>2024</v>
      </c>
      <c r="AH116" s="3" t="s">
        <v>138</v>
      </c>
      <c r="AI116" s="3" t="s">
        <v>93</v>
      </c>
      <c r="AJ116" s="3" t="str">
        <f aca="false">IF(AND(AI116="Completed",AH116="Failed"),"Inconsistent - Completed Order with Failed Payment","OK")</f>
        <v>OK</v>
      </c>
      <c r="AK116" s="3" t="s">
        <v>54</v>
      </c>
      <c r="AL116" s="3" t="str">
        <f aca="false">IF(OR(T116="Negative - Invalid",T116="Above Allowed Range - Invalid",AE116="Invalid - Ship Before Order",AK116&lt;&gt;"Unique",AB116="Mismatch",AC116="Mismatch",AJ116&lt;&gt;"OK"),"Invalid",IF(OR(H116="Yes",O116="Yes",T116="Missing"),"Warning","Clean"))</f>
        <v>Clean</v>
      </c>
    </row>
    <row r="117" customFormat="false" ht="15" hidden="false" customHeight="true" outlineLevel="0" collapsed="false">
      <c r="A117" s="3" t="s">
        <v>490</v>
      </c>
      <c r="B117" s="4" t="n">
        <v>45653</v>
      </c>
      <c r="C117" s="4" t="n">
        <v>45658</v>
      </c>
      <c r="D117" s="3" t="s">
        <v>491</v>
      </c>
      <c r="E117" s="3" t="s">
        <v>298</v>
      </c>
      <c r="F117" s="3" t="s">
        <v>116</v>
      </c>
      <c r="G117" s="3" t="s">
        <v>78</v>
      </c>
      <c r="H117" s="3" t="s">
        <v>43</v>
      </c>
      <c r="I117" s="3" t="s">
        <v>281</v>
      </c>
      <c r="J117" s="3" t="s">
        <v>282</v>
      </c>
      <c r="K117" s="3" t="s">
        <v>46</v>
      </c>
      <c r="L117" s="3" t="s">
        <v>183</v>
      </c>
      <c r="M117" s="3" t="s">
        <v>492</v>
      </c>
      <c r="N117" s="3" t="s">
        <v>65</v>
      </c>
      <c r="O117" s="3" t="s">
        <v>43</v>
      </c>
      <c r="P117" s="5" t="n">
        <v>2</v>
      </c>
      <c r="Q117" s="6" t="n">
        <v>446.34</v>
      </c>
      <c r="R117" s="3" t="s">
        <v>107</v>
      </c>
      <c r="S117" s="7" t="n">
        <v>0.15</v>
      </c>
      <c r="T117" s="3" t="s">
        <v>51</v>
      </c>
      <c r="U117" s="7" t="n">
        <f aca="false">IF(T117="Valid",S117,0)</f>
        <v>0.15</v>
      </c>
      <c r="V117" s="6" t="n">
        <v>758.78</v>
      </c>
      <c r="W117" s="6" t="n">
        <v>490.74</v>
      </c>
      <c r="X117" s="6" t="n">
        <v>268.04</v>
      </c>
      <c r="Y117" s="6" t="n">
        <f aca="false">P117*Q117*(1-U117)</f>
        <v>758.778</v>
      </c>
      <c r="Z117" s="6" t="n">
        <f aca="false">Y117-W117</f>
        <v>268.038</v>
      </c>
      <c r="AA117" s="8" t="n">
        <f aca="false">IF(Y117=0,0,Z117/Y117)</f>
        <v>0.353249567067047</v>
      </c>
      <c r="AB117" s="3" t="str">
        <f aca="false">IF(ABS(V117-Y117)&gt;1,"Mismatch","OK")</f>
        <v>OK</v>
      </c>
      <c r="AC117" s="3" t="str">
        <f aca="false">IF(ABS(X117-Z117)&gt;1,"Mismatch","OK")</f>
        <v>OK</v>
      </c>
      <c r="AD117" s="5" t="n">
        <f aca="false">IF(OR(B117="",C117=""),"",C117-B117)</f>
        <v>5</v>
      </c>
      <c r="AE117" s="3" t="str">
        <f aca="false">IF(AD117="","Unknown",IF(AD117&lt;0,"Invalid - Ship Before Order","OK"))</f>
        <v>OK</v>
      </c>
      <c r="AF117" s="5" t="n">
        <f aca="false">IF(B117="","",MONTH(B117))</f>
        <v>12</v>
      </c>
      <c r="AG117" s="5" t="n">
        <f aca="false">IF(B117="","",YEAR(B117))</f>
        <v>2024</v>
      </c>
      <c r="AH117" s="3" t="s">
        <v>52</v>
      </c>
      <c r="AI117" s="3" t="s">
        <v>93</v>
      </c>
      <c r="AJ117" s="3" t="str">
        <f aca="false">IF(AND(AI117="Completed",AH117="Failed"),"Inconsistent - Completed Order with Failed Payment","OK")</f>
        <v>OK</v>
      </c>
      <c r="AK117" s="3" t="s">
        <v>54</v>
      </c>
      <c r="AL117" s="3" t="str">
        <f aca="false">IF(OR(T117="Negative - Invalid",T117="Above Allowed Range - Invalid",AE117="Invalid - Ship Before Order",AK117&lt;&gt;"Unique",AB117="Mismatch",AC117="Mismatch",AJ117&lt;&gt;"OK"),"Invalid",IF(OR(H117="Yes",O117="Yes",T117="Missing"),"Warning","Clean"))</f>
        <v>Clean</v>
      </c>
    </row>
    <row r="118" customFormat="false" ht="15" hidden="false" customHeight="true" outlineLevel="0" collapsed="false">
      <c r="A118" s="3" t="s">
        <v>493</v>
      </c>
      <c r="B118" s="4" t="n">
        <v>45703</v>
      </c>
      <c r="C118" s="4" t="n">
        <v>45707</v>
      </c>
      <c r="D118" s="3" t="s">
        <v>494</v>
      </c>
      <c r="E118" s="3" t="s">
        <v>87</v>
      </c>
      <c r="F118" s="3" t="s">
        <v>58</v>
      </c>
      <c r="G118" s="3" t="s">
        <v>237</v>
      </c>
      <c r="H118" s="3" t="s">
        <v>238</v>
      </c>
      <c r="I118" s="3" t="s">
        <v>97</v>
      </c>
      <c r="J118" s="3" t="s">
        <v>98</v>
      </c>
      <c r="K118" s="3" t="s">
        <v>46</v>
      </c>
      <c r="L118" s="3" t="s">
        <v>183</v>
      </c>
      <c r="M118" s="3" t="s">
        <v>495</v>
      </c>
      <c r="N118" s="3" t="s">
        <v>72</v>
      </c>
      <c r="O118" s="3" t="s">
        <v>43</v>
      </c>
      <c r="P118" s="5" t="n">
        <v>9</v>
      </c>
      <c r="Q118" s="6" t="n">
        <v>531.99</v>
      </c>
      <c r="R118" s="3" t="s">
        <v>84</v>
      </c>
      <c r="S118" s="7" t="n">
        <v>0.25</v>
      </c>
      <c r="T118" s="3" t="s">
        <v>51</v>
      </c>
      <c r="U118" s="7" t="n">
        <f aca="false">IF(T118="Valid",S118,0)</f>
        <v>0.25</v>
      </c>
      <c r="V118" s="6" t="n">
        <v>3590.93</v>
      </c>
      <c r="W118" s="6" t="n">
        <v>3061.39</v>
      </c>
      <c r="X118" s="6" t="n">
        <v>529.54</v>
      </c>
      <c r="Y118" s="6" t="n">
        <f aca="false">P118*Q118*(1-U118)</f>
        <v>3590.9325</v>
      </c>
      <c r="Z118" s="6" t="n">
        <f aca="false">Y118-W118</f>
        <v>529.5425</v>
      </c>
      <c r="AA118" s="8" t="n">
        <f aca="false">IF(Y118=0,0,Z118/Y118)</f>
        <v>0.147466570312864</v>
      </c>
      <c r="AB118" s="3" t="str">
        <f aca="false">IF(ABS(V118-Y118)&gt;1,"Mismatch","OK")</f>
        <v>OK</v>
      </c>
      <c r="AC118" s="3" t="str">
        <f aca="false">IF(ABS(X118-Z118)&gt;1,"Mismatch","OK")</f>
        <v>OK</v>
      </c>
      <c r="AD118" s="5" t="n">
        <f aca="false">IF(OR(B118="",C118=""),"",C118-B118)</f>
        <v>4</v>
      </c>
      <c r="AE118" s="3" t="str">
        <f aca="false">IF(AD118="","Unknown",IF(AD118&lt;0,"Invalid - Ship Before Order","OK"))</f>
        <v>OK</v>
      </c>
      <c r="AF118" s="5" t="n">
        <f aca="false">IF(B118="","",MONTH(B118))</f>
        <v>2</v>
      </c>
      <c r="AG118" s="5" t="n">
        <f aca="false">IF(B118="","",YEAR(B118))</f>
        <v>2025</v>
      </c>
      <c r="AH118" s="3" t="s">
        <v>185</v>
      </c>
      <c r="AI118" s="3" t="s">
        <v>93</v>
      </c>
      <c r="AJ118" s="3" t="str">
        <f aca="false">IF(AND(AI118="Completed",AH118="Failed"),"Inconsistent - Completed Order with Failed Payment","OK")</f>
        <v>OK</v>
      </c>
      <c r="AK118" s="3" t="s">
        <v>54</v>
      </c>
      <c r="AL118" s="3" t="str">
        <f aca="false">IF(OR(T118="Negative - Invalid",T118="Above Allowed Range - Invalid",AE118="Invalid - Ship Before Order",AK118&lt;&gt;"Unique",AB118="Mismatch",AC118="Mismatch",AJ118&lt;&gt;"OK"),"Invalid",IF(OR(H118="Yes",O118="Yes",T118="Missing"),"Warning","Clean"))</f>
        <v>Warning</v>
      </c>
    </row>
    <row r="119" customFormat="false" ht="15" hidden="false" customHeight="true" outlineLevel="0" collapsed="false">
      <c r="A119" s="3" t="s">
        <v>496</v>
      </c>
      <c r="B119" s="4" t="n">
        <v>45337</v>
      </c>
      <c r="C119" s="4" t="n">
        <v>45339</v>
      </c>
      <c r="D119" s="3" t="s">
        <v>497</v>
      </c>
      <c r="E119" s="3" t="s">
        <v>57</v>
      </c>
      <c r="F119" s="3" t="s">
        <v>121</v>
      </c>
      <c r="G119" s="3" t="s">
        <v>78</v>
      </c>
      <c r="H119" s="3" t="s">
        <v>43</v>
      </c>
      <c r="I119" s="3" t="s">
        <v>281</v>
      </c>
      <c r="J119" s="3" t="s">
        <v>282</v>
      </c>
      <c r="K119" s="3" t="s">
        <v>99</v>
      </c>
      <c r="L119" s="3" t="s">
        <v>308</v>
      </c>
      <c r="M119" s="3" t="s">
        <v>498</v>
      </c>
      <c r="N119" s="3" t="s">
        <v>83</v>
      </c>
      <c r="O119" s="3" t="s">
        <v>43</v>
      </c>
      <c r="P119" s="5" t="n">
        <v>9</v>
      </c>
      <c r="Q119" s="6" t="n">
        <v>3324.55</v>
      </c>
      <c r="R119" s="3" t="s">
        <v>499</v>
      </c>
      <c r="S119" s="7" t="n">
        <v>0.7</v>
      </c>
      <c r="T119" s="3" t="s">
        <v>74</v>
      </c>
      <c r="U119" s="7" t="n">
        <f aca="false">IF(T119="Valid",S119,0)</f>
        <v>0</v>
      </c>
      <c r="V119" s="6" t="n">
        <v>25432.81</v>
      </c>
      <c r="W119" s="6" t="n">
        <v>20370.16</v>
      </c>
      <c r="X119" s="6" t="n">
        <v>5062.65</v>
      </c>
      <c r="Y119" s="6" t="n">
        <f aca="false">P119*Q119*(1-U119)</f>
        <v>29920.95</v>
      </c>
      <c r="Z119" s="6" t="n">
        <f aca="false">Y119-W119</f>
        <v>9550.79</v>
      </c>
      <c r="AA119" s="8" t="n">
        <f aca="false">IF(Y119=0,0,Z119/Y119)</f>
        <v>0.319200760671035</v>
      </c>
      <c r="AB119" s="3" t="str">
        <f aca="false">IF(ABS(V119-Y119)&gt;1,"Mismatch","OK")</f>
        <v>Mismatch</v>
      </c>
      <c r="AC119" s="3" t="str">
        <f aca="false">IF(ABS(X119-Z119)&gt;1,"Mismatch","OK")</f>
        <v>Mismatch</v>
      </c>
      <c r="AD119" s="5" t="n">
        <f aca="false">IF(OR(B119="",C119=""),"",C119-B119)</f>
        <v>2</v>
      </c>
      <c r="AE119" s="3" t="str">
        <f aca="false">IF(AD119="","Unknown",IF(AD119&lt;0,"Invalid - Ship Before Order","OK"))</f>
        <v>OK</v>
      </c>
      <c r="AF119" s="5" t="n">
        <f aca="false">IF(B119="","",MONTH(B119))</f>
        <v>2</v>
      </c>
      <c r="AG119" s="5" t="n">
        <f aca="false">IF(B119="","",YEAR(B119))</f>
        <v>2024</v>
      </c>
      <c r="AH119" s="3" t="s">
        <v>52</v>
      </c>
      <c r="AI119" s="3" t="s">
        <v>53</v>
      </c>
      <c r="AJ119" s="3" t="str">
        <f aca="false">IF(AND(AI119="Completed",AH119="Failed"),"Inconsistent - Completed Order with Failed Payment","OK")</f>
        <v>OK</v>
      </c>
      <c r="AK119" s="3" t="s">
        <v>54</v>
      </c>
      <c r="AL119" s="3" t="str">
        <f aca="false">IF(OR(T119="Negative - Invalid",T119="Above Allowed Range - Invalid",AE119="Invalid - Ship Before Order",AK119&lt;&gt;"Unique",AB119="Mismatch",AC119="Mismatch",AJ119&lt;&gt;"OK"),"Invalid",IF(OR(H119="Yes",O119="Yes",T119="Missing"),"Warning","Clean"))</f>
        <v>Invalid</v>
      </c>
    </row>
    <row r="120" customFormat="false" ht="15" hidden="false" customHeight="true" outlineLevel="0" collapsed="false">
      <c r="A120" s="3" t="s">
        <v>500</v>
      </c>
      <c r="B120" s="4" t="n">
        <v>45453</v>
      </c>
      <c r="C120" s="4" t="n">
        <v>45461</v>
      </c>
      <c r="D120" s="3" t="s">
        <v>501</v>
      </c>
      <c r="E120" s="3" t="s">
        <v>96</v>
      </c>
      <c r="F120" s="3" t="s">
        <v>121</v>
      </c>
      <c r="G120" s="3" t="s">
        <v>78</v>
      </c>
      <c r="H120" s="3" t="s">
        <v>43</v>
      </c>
      <c r="I120" s="3" t="s">
        <v>110</v>
      </c>
      <c r="J120" s="3" t="s">
        <v>111</v>
      </c>
      <c r="K120" s="3" t="s">
        <v>99</v>
      </c>
      <c r="L120" s="3" t="s">
        <v>105</v>
      </c>
      <c r="M120" s="3" t="s">
        <v>502</v>
      </c>
      <c r="N120" s="3" t="s">
        <v>65</v>
      </c>
      <c r="O120" s="3" t="s">
        <v>43</v>
      </c>
      <c r="P120" s="5" t="n">
        <v>5</v>
      </c>
      <c r="Q120" s="6" t="n">
        <v>1580.27</v>
      </c>
      <c r="R120" s="3" t="s">
        <v>50</v>
      </c>
      <c r="S120" s="7" t="n">
        <v>0.2</v>
      </c>
      <c r="T120" s="3" t="s">
        <v>51</v>
      </c>
      <c r="U120" s="7" t="n">
        <f aca="false">IF(T120="Valid",S120,0)</f>
        <v>0.2</v>
      </c>
      <c r="V120" s="6" t="n">
        <v>6321.08</v>
      </c>
      <c r="W120" s="6" t="n">
        <v>4407.22</v>
      </c>
      <c r="X120" s="6" t="n">
        <v>1913.86</v>
      </c>
      <c r="Y120" s="6" t="n">
        <f aca="false">P120*Q120*(1-U120)</f>
        <v>6321.08</v>
      </c>
      <c r="Z120" s="6" t="n">
        <f aca="false">Y120-W120</f>
        <v>1913.86</v>
      </c>
      <c r="AA120" s="8" t="n">
        <f aca="false">IF(Y120=0,0,Z120/Y120)</f>
        <v>0.302774209470534</v>
      </c>
      <c r="AB120" s="3" t="str">
        <f aca="false">IF(ABS(V120-Y120)&gt;1,"Mismatch","OK")</f>
        <v>OK</v>
      </c>
      <c r="AC120" s="3" t="str">
        <f aca="false">IF(ABS(X120-Z120)&gt;1,"Mismatch","OK")</f>
        <v>OK</v>
      </c>
      <c r="AD120" s="5" t="n">
        <f aca="false">IF(OR(B120="",C120=""),"",C120-B120)</f>
        <v>8</v>
      </c>
      <c r="AE120" s="3" t="str">
        <f aca="false">IF(AD120="","Unknown",IF(AD120&lt;0,"Invalid - Ship Before Order","OK"))</f>
        <v>OK</v>
      </c>
      <c r="AF120" s="5" t="n">
        <f aca="false">IF(B120="","",MONTH(B120))</f>
        <v>6</v>
      </c>
      <c r="AG120" s="5" t="n">
        <f aca="false">IF(B120="","",YEAR(B120))</f>
        <v>2024</v>
      </c>
      <c r="AH120" s="3" t="s">
        <v>52</v>
      </c>
      <c r="AI120" s="3" t="s">
        <v>53</v>
      </c>
      <c r="AJ120" s="3" t="str">
        <f aca="false">IF(AND(AI120="Completed",AH120="Failed"),"Inconsistent - Completed Order with Failed Payment","OK")</f>
        <v>OK</v>
      </c>
      <c r="AK120" s="3" t="s">
        <v>54</v>
      </c>
      <c r="AL120" s="3" t="str">
        <f aca="false">IF(OR(T120="Negative - Invalid",T120="Above Allowed Range - Invalid",AE120="Invalid - Ship Before Order",AK120&lt;&gt;"Unique",AB120="Mismatch",AC120="Mismatch",AJ120&lt;&gt;"OK"),"Invalid",IF(OR(H120="Yes",O120="Yes",T120="Missing"),"Warning","Clean"))</f>
        <v>Clean</v>
      </c>
    </row>
    <row r="121" customFormat="false" ht="15" hidden="false" customHeight="true" outlineLevel="0" collapsed="false">
      <c r="A121" s="3" t="s">
        <v>503</v>
      </c>
      <c r="B121" s="4" t="n">
        <v>45455</v>
      </c>
      <c r="C121" s="4" t="n">
        <v>45462</v>
      </c>
      <c r="D121" s="3" t="s">
        <v>504</v>
      </c>
      <c r="E121" s="3" t="s">
        <v>115</v>
      </c>
      <c r="F121" s="3" t="s">
        <v>58</v>
      </c>
      <c r="G121" s="3" t="s">
        <v>78</v>
      </c>
      <c r="H121" s="3" t="s">
        <v>43</v>
      </c>
      <c r="I121" s="3" t="s">
        <v>216</v>
      </c>
      <c r="J121" s="3" t="s">
        <v>217</v>
      </c>
      <c r="K121" s="3" t="s">
        <v>62</v>
      </c>
      <c r="L121" s="3" t="s">
        <v>91</v>
      </c>
      <c r="M121" s="3" t="s">
        <v>505</v>
      </c>
      <c r="N121" s="3" t="s">
        <v>83</v>
      </c>
      <c r="O121" s="3" t="s">
        <v>43</v>
      </c>
      <c r="P121" s="5" t="n">
        <v>8</v>
      </c>
      <c r="Q121" s="6" t="n">
        <v>314.05</v>
      </c>
      <c r="R121" s="3" t="s">
        <v>84</v>
      </c>
      <c r="S121" s="7" t="n">
        <v>0.25</v>
      </c>
      <c r="T121" s="3" t="s">
        <v>51</v>
      </c>
      <c r="U121" s="7" t="n">
        <f aca="false">IF(T121="Valid",S121,0)</f>
        <v>0.25</v>
      </c>
      <c r="V121" s="6" t="n">
        <v>1884.3</v>
      </c>
      <c r="W121" s="6" t="n">
        <v>1517.69</v>
      </c>
      <c r="X121" s="6" t="n">
        <v>366.61</v>
      </c>
      <c r="Y121" s="6" t="n">
        <f aca="false">P121*Q121*(1-U121)</f>
        <v>1884.3</v>
      </c>
      <c r="Z121" s="6" t="n">
        <f aca="false">Y121-W121</f>
        <v>366.61</v>
      </c>
      <c r="AA121" s="8" t="n">
        <f aca="false">IF(Y121=0,0,Z121/Y121)</f>
        <v>0.194560314175025</v>
      </c>
      <c r="AB121" s="3" t="str">
        <f aca="false">IF(ABS(V121-Y121)&gt;1,"Mismatch","OK")</f>
        <v>OK</v>
      </c>
      <c r="AC121" s="3" t="str">
        <f aca="false">IF(ABS(X121-Z121)&gt;1,"Mismatch","OK")</f>
        <v>OK</v>
      </c>
      <c r="AD121" s="5" t="n">
        <f aca="false">IF(OR(B121="",C121=""),"",C121-B121)</f>
        <v>7</v>
      </c>
      <c r="AE121" s="3" t="str">
        <f aca="false">IF(AD121="","Unknown",IF(AD121&lt;0,"Invalid - Ship Before Order","OK"))</f>
        <v>OK</v>
      </c>
      <c r="AF121" s="5" t="n">
        <f aca="false">IF(B121="","",MONTH(B121))</f>
        <v>6</v>
      </c>
      <c r="AG121" s="5" t="n">
        <f aca="false">IF(B121="","",YEAR(B121))</f>
        <v>2024</v>
      </c>
      <c r="AH121" s="3" t="s">
        <v>129</v>
      </c>
      <c r="AI121" s="3" t="s">
        <v>130</v>
      </c>
      <c r="AJ121" s="3" t="str">
        <f aca="false">IF(AND(AI121="Completed",AH121="Failed"),"Inconsistent - Completed Order with Failed Payment","OK")</f>
        <v>OK</v>
      </c>
      <c r="AK121" s="3" t="s">
        <v>54</v>
      </c>
      <c r="AL121" s="3" t="str">
        <f aca="false">IF(OR(T121="Negative - Invalid",T121="Above Allowed Range - Invalid",AE121="Invalid - Ship Before Order",AK121&lt;&gt;"Unique",AB121="Mismatch",AC121="Mismatch",AJ121&lt;&gt;"OK"),"Invalid",IF(OR(H121="Yes",O121="Yes",T121="Missing"),"Warning","Clean"))</f>
        <v>Clean</v>
      </c>
    </row>
    <row r="122" customFormat="false" ht="15" hidden="false" customHeight="true" outlineLevel="0" collapsed="false">
      <c r="A122" s="3" t="s">
        <v>506</v>
      </c>
      <c r="B122" s="4" t="n">
        <v>45514</v>
      </c>
      <c r="C122" s="4" t="n">
        <v>45522</v>
      </c>
      <c r="D122" s="3" t="s">
        <v>507</v>
      </c>
      <c r="E122" s="3" t="s">
        <v>159</v>
      </c>
      <c r="F122" s="3" t="s">
        <v>58</v>
      </c>
      <c r="G122" s="3" t="s">
        <v>59</v>
      </c>
      <c r="H122" s="3" t="s">
        <v>43</v>
      </c>
      <c r="I122" s="3" t="s">
        <v>174</v>
      </c>
      <c r="J122" s="3" t="s">
        <v>175</v>
      </c>
      <c r="K122" s="3" t="s">
        <v>99</v>
      </c>
      <c r="L122" s="3" t="s">
        <v>201</v>
      </c>
      <c r="M122" s="3" t="s">
        <v>508</v>
      </c>
      <c r="N122" s="3" t="s">
        <v>83</v>
      </c>
      <c r="O122" s="3" t="s">
        <v>43</v>
      </c>
      <c r="P122" s="5" t="n">
        <v>1</v>
      </c>
      <c r="Q122" s="6" t="n">
        <v>1823.67</v>
      </c>
      <c r="R122" s="3" t="s">
        <v>50</v>
      </c>
      <c r="S122" s="7" t="n">
        <v>0.2</v>
      </c>
      <c r="T122" s="3" t="s">
        <v>51</v>
      </c>
      <c r="U122" s="7" t="n">
        <f aca="false">IF(T122="Valid",S122,0)</f>
        <v>0.2</v>
      </c>
      <c r="V122" s="6" t="n">
        <v>1458.94</v>
      </c>
      <c r="W122" s="6" t="n">
        <v>893.2</v>
      </c>
      <c r="X122" s="6" t="n">
        <v>565.74</v>
      </c>
      <c r="Y122" s="6" t="n">
        <f aca="false">P122*Q122*(1-U122)</f>
        <v>1458.936</v>
      </c>
      <c r="Z122" s="6" t="n">
        <f aca="false">Y122-W122</f>
        <v>565.736</v>
      </c>
      <c r="AA122" s="8" t="n">
        <f aca="false">IF(Y122=0,0,Z122/Y122)</f>
        <v>0.387773007177834</v>
      </c>
      <c r="AB122" s="3" t="str">
        <f aca="false">IF(ABS(V122-Y122)&gt;1,"Mismatch","OK")</f>
        <v>OK</v>
      </c>
      <c r="AC122" s="3" t="str">
        <f aca="false">IF(ABS(X122-Z122)&gt;1,"Mismatch","OK")</f>
        <v>OK</v>
      </c>
      <c r="AD122" s="5" t="n">
        <f aca="false">IF(OR(B122="",C122=""),"",C122-B122)</f>
        <v>8</v>
      </c>
      <c r="AE122" s="3" t="str">
        <f aca="false">IF(AD122="","Unknown",IF(AD122&lt;0,"Invalid - Ship Before Order","OK"))</f>
        <v>OK</v>
      </c>
      <c r="AF122" s="5" t="n">
        <f aca="false">IF(B122="","",MONTH(B122))</f>
        <v>8</v>
      </c>
      <c r="AG122" s="5" t="n">
        <f aca="false">IF(B122="","",YEAR(B122))</f>
        <v>2024</v>
      </c>
      <c r="AH122" s="3" t="s">
        <v>52</v>
      </c>
      <c r="AI122" s="3" t="s">
        <v>130</v>
      </c>
      <c r="AJ122" s="3" t="str">
        <f aca="false">IF(AND(AI122="Completed",AH122="Failed"),"Inconsistent - Completed Order with Failed Payment","OK")</f>
        <v>OK</v>
      </c>
      <c r="AK122" s="3" t="s">
        <v>54</v>
      </c>
      <c r="AL122" s="3" t="str">
        <f aca="false">IF(OR(T122="Negative - Invalid",T122="Above Allowed Range - Invalid",AE122="Invalid - Ship Before Order",AK122&lt;&gt;"Unique",AB122="Mismatch",AC122="Mismatch",AJ122&lt;&gt;"OK"),"Invalid",IF(OR(H122="Yes",O122="Yes",T122="Missing"),"Warning","Clean"))</f>
        <v>Clean</v>
      </c>
    </row>
    <row r="123" customFormat="false" ht="15" hidden="false" customHeight="true" outlineLevel="0" collapsed="false">
      <c r="A123" s="3" t="s">
        <v>509</v>
      </c>
      <c r="B123" s="4" t="n">
        <v>45891</v>
      </c>
      <c r="C123" s="4" t="n">
        <v>45895</v>
      </c>
      <c r="D123" s="3" t="s">
        <v>510</v>
      </c>
      <c r="E123" s="3" t="s">
        <v>298</v>
      </c>
      <c r="F123" s="3" t="s">
        <v>58</v>
      </c>
      <c r="G123" s="3" t="s">
        <v>78</v>
      </c>
      <c r="H123" s="3" t="s">
        <v>43</v>
      </c>
      <c r="I123" s="3" t="s">
        <v>110</v>
      </c>
      <c r="J123" s="3" t="s">
        <v>111</v>
      </c>
      <c r="K123" s="3" t="s">
        <v>99</v>
      </c>
      <c r="L123" s="3" t="s">
        <v>308</v>
      </c>
      <c r="M123" s="3" t="s">
        <v>511</v>
      </c>
      <c r="N123" s="3" t="s">
        <v>49</v>
      </c>
      <c r="O123" s="3" t="s">
        <v>43</v>
      </c>
      <c r="P123" s="5" t="n">
        <v>5</v>
      </c>
      <c r="Q123" s="6" t="n">
        <v>3482.92</v>
      </c>
      <c r="R123" s="3" t="s">
        <v>66</v>
      </c>
      <c r="S123" s="7" t="n">
        <v>0</v>
      </c>
      <c r="T123" s="3" t="s">
        <v>51</v>
      </c>
      <c r="U123" s="7" t="n">
        <f aca="false">IF(T123="Valid",S123,0)</f>
        <v>0</v>
      </c>
      <c r="V123" s="6" t="n">
        <v>17414.6</v>
      </c>
      <c r="W123" s="6" t="n">
        <v>11760.91</v>
      </c>
      <c r="X123" s="6" t="n">
        <v>5653.69</v>
      </c>
      <c r="Y123" s="6" t="n">
        <f aca="false">P123*Q123*(1-U123)</f>
        <v>17414.6</v>
      </c>
      <c r="Z123" s="6" t="n">
        <f aca="false">Y123-W123</f>
        <v>5653.69</v>
      </c>
      <c r="AA123" s="8" t="n">
        <f aca="false">IF(Y123=0,0,Z123/Y123)</f>
        <v>0.32465230323981</v>
      </c>
      <c r="AB123" s="3" t="str">
        <f aca="false">IF(ABS(V123-Y123)&gt;1,"Mismatch","OK")</f>
        <v>OK</v>
      </c>
      <c r="AC123" s="3" t="str">
        <f aca="false">IF(ABS(X123-Z123)&gt;1,"Mismatch","OK")</f>
        <v>OK</v>
      </c>
      <c r="AD123" s="5" t="n">
        <f aca="false">IF(OR(B123="",C123=""),"",C123-B123)</f>
        <v>4</v>
      </c>
      <c r="AE123" s="3" t="str">
        <f aca="false">IF(AD123="","Unknown",IF(AD123&lt;0,"Invalid - Ship Before Order","OK"))</f>
        <v>OK</v>
      </c>
      <c r="AF123" s="5" t="n">
        <f aca="false">IF(B123="","",MONTH(B123))</f>
        <v>8</v>
      </c>
      <c r="AG123" s="5" t="n">
        <f aca="false">IF(B123="","",YEAR(B123))</f>
        <v>2025</v>
      </c>
      <c r="AH123" s="3" t="s">
        <v>129</v>
      </c>
      <c r="AI123" s="3" t="s">
        <v>93</v>
      </c>
      <c r="AJ123" s="3" t="str">
        <f aca="false">IF(AND(AI123="Completed",AH123="Failed"),"Inconsistent - Completed Order with Failed Payment","OK")</f>
        <v>OK</v>
      </c>
      <c r="AK123" s="3" t="s">
        <v>54</v>
      </c>
      <c r="AL123" s="3" t="str">
        <f aca="false">IF(OR(T123="Negative - Invalid",T123="Above Allowed Range - Invalid",AE123="Invalid - Ship Before Order",AK123&lt;&gt;"Unique",AB123="Mismatch",AC123="Mismatch",AJ123&lt;&gt;"OK"),"Invalid",IF(OR(H123="Yes",O123="Yes",T123="Missing"),"Warning","Clean"))</f>
        <v>Clean</v>
      </c>
    </row>
    <row r="124" customFormat="false" ht="15" hidden="false" customHeight="true" outlineLevel="0" collapsed="false">
      <c r="A124" s="3" t="s">
        <v>512</v>
      </c>
      <c r="B124" s="4" t="n">
        <v>45626</v>
      </c>
      <c r="C124" s="4" t="n">
        <v>45630</v>
      </c>
      <c r="D124" s="3" t="s">
        <v>513</v>
      </c>
      <c r="E124" s="3" t="s">
        <v>87</v>
      </c>
      <c r="F124" s="3" t="s">
        <v>58</v>
      </c>
      <c r="G124" s="3" t="s">
        <v>59</v>
      </c>
      <c r="H124" s="3" t="s">
        <v>43</v>
      </c>
      <c r="I124" s="3" t="s">
        <v>196</v>
      </c>
      <c r="J124" s="3" t="s">
        <v>197</v>
      </c>
      <c r="K124" s="3" t="s">
        <v>62</v>
      </c>
      <c r="L124" s="3" t="s">
        <v>91</v>
      </c>
      <c r="M124" s="3" t="s">
        <v>514</v>
      </c>
      <c r="N124" s="3" t="s">
        <v>49</v>
      </c>
      <c r="O124" s="3" t="s">
        <v>43</v>
      </c>
      <c r="P124" s="5" t="n">
        <v>3</v>
      </c>
      <c r="Q124" s="6" t="n">
        <v>170.35</v>
      </c>
      <c r="R124" s="3" t="s">
        <v>66</v>
      </c>
      <c r="S124" s="7" t="n">
        <v>0</v>
      </c>
      <c r="T124" s="3" t="s">
        <v>51</v>
      </c>
      <c r="U124" s="7" t="n">
        <f aca="false">IF(T124="Valid",S124,0)</f>
        <v>0</v>
      </c>
      <c r="V124" s="6" t="n">
        <v>511.05</v>
      </c>
      <c r="W124" s="6" t="n">
        <v>367.18</v>
      </c>
      <c r="X124" s="6" t="n">
        <v>143.87</v>
      </c>
      <c r="Y124" s="6" t="n">
        <f aca="false">P124*Q124*(1-U124)</f>
        <v>511.05</v>
      </c>
      <c r="Z124" s="6" t="n">
        <f aca="false">Y124-W124</f>
        <v>143.87</v>
      </c>
      <c r="AA124" s="8" t="n">
        <f aca="false">IF(Y124=0,0,Z124/Y124)</f>
        <v>0.281518442422464</v>
      </c>
      <c r="AB124" s="3" t="str">
        <f aca="false">IF(ABS(V124-Y124)&gt;1,"Mismatch","OK")</f>
        <v>OK</v>
      </c>
      <c r="AC124" s="3" t="str">
        <f aca="false">IF(ABS(X124-Z124)&gt;1,"Mismatch","OK")</f>
        <v>OK</v>
      </c>
      <c r="AD124" s="5" t="n">
        <f aca="false">IF(OR(B124="",C124=""),"",C124-B124)</f>
        <v>4</v>
      </c>
      <c r="AE124" s="3" t="str">
        <f aca="false">IF(AD124="","Unknown",IF(AD124&lt;0,"Invalid - Ship Before Order","OK"))</f>
        <v>OK</v>
      </c>
      <c r="AF124" s="5" t="n">
        <f aca="false">IF(B124="","",MONTH(B124))</f>
        <v>11</v>
      </c>
      <c r="AG124" s="5" t="n">
        <f aca="false">IF(B124="","",YEAR(B124))</f>
        <v>2024</v>
      </c>
      <c r="AH124" s="3" t="s">
        <v>52</v>
      </c>
      <c r="AI124" s="3" t="s">
        <v>53</v>
      </c>
      <c r="AJ124" s="3" t="str">
        <f aca="false">IF(AND(AI124="Completed",AH124="Failed"),"Inconsistent - Completed Order with Failed Payment","OK")</f>
        <v>OK</v>
      </c>
      <c r="AK124" s="3" t="s">
        <v>54</v>
      </c>
      <c r="AL124" s="3" t="str">
        <f aca="false">IF(OR(T124="Negative - Invalid",T124="Above Allowed Range - Invalid",AE124="Invalid - Ship Before Order",AK124&lt;&gt;"Unique",AB124="Mismatch",AC124="Mismatch",AJ124&lt;&gt;"OK"),"Invalid",IF(OR(H124="Yes",O124="Yes",T124="Missing"),"Warning","Clean"))</f>
        <v>Clean</v>
      </c>
    </row>
    <row r="125" customFormat="false" ht="15" hidden="false" customHeight="true" outlineLevel="0" collapsed="false">
      <c r="A125" s="3" t="s">
        <v>515</v>
      </c>
      <c r="B125" s="4" t="n">
        <v>45436</v>
      </c>
      <c r="C125" s="4" t="n">
        <v>45437</v>
      </c>
      <c r="D125" s="3" t="s">
        <v>516</v>
      </c>
      <c r="E125" s="3" t="s">
        <v>159</v>
      </c>
      <c r="F125" s="3" t="s">
        <v>58</v>
      </c>
      <c r="G125" s="3" t="s">
        <v>42</v>
      </c>
      <c r="H125" s="3" t="s">
        <v>43</v>
      </c>
      <c r="I125" s="3" t="s">
        <v>149</v>
      </c>
      <c r="J125" s="3" t="s">
        <v>150</v>
      </c>
      <c r="K125" s="3" t="s">
        <v>99</v>
      </c>
      <c r="L125" s="3" t="s">
        <v>105</v>
      </c>
      <c r="M125" s="3" t="s">
        <v>517</v>
      </c>
      <c r="N125" s="3" t="s">
        <v>65</v>
      </c>
      <c r="O125" s="3" t="s">
        <v>43</v>
      </c>
      <c r="P125" s="5" t="n">
        <v>1</v>
      </c>
      <c r="Q125" s="6" t="n">
        <v>634.13</v>
      </c>
      <c r="R125" s="3" t="s">
        <v>66</v>
      </c>
      <c r="S125" s="7" t="n">
        <v>0</v>
      </c>
      <c r="T125" s="3" t="s">
        <v>51</v>
      </c>
      <c r="U125" s="7" t="n">
        <f aca="false">IF(T125="Valid",S125,0)</f>
        <v>0</v>
      </c>
      <c r="V125" s="6" t="n">
        <v>634.13</v>
      </c>
      <c r="W125" s="6" t="n">
        <v>453.35</v>
      </c>
      <c r="X125" s="6" t="n">
        <v>180.78</v>
      </c>
      <c r="Y125" s="6" t="n">
        <f aca="false">P125*Q125*(1-U125)</f>
        <v>634.13</v>
      </c>
      <c r="Z125" s="6" t="n">
        <f aca="false">Y125-W125</f>
        <v>180.78</v>
      </c>
      <c r="AA125" s="8" t="n">
        <f aca="false">IF(Y125=0,0,Z125/Y125)</f>
        <v>0.28508350022866</v>
      </c>
      <c r="AB125" s="3" t="str">
        <f aca="false">IF(ABS(V125-Y125)&gt;1,"Mismatch","OK")</f>
        <v>OK</v>
      </c>
      <c r="AC125" s="3" t="str">
        <f aca="false">IF(ABS(X125-Z125)&gt;1,"Mismatch","OK")</f>
        <v>OK</v>
      </c>
      <c r="AD125" s="5" t="n">
        <f aca="false">IF(OR(B125="",C125=""),"",C125-B125)</f>
        <v>1</v>
      </c>
      <c r="AE125" s="3" t="str">
        <f aca="false">IF(AD125="","Unknown",IF(AD125&lt;0,"Invalid - Ship Before Order","OK"))</f>
        <v>OK</v>
      </c>
      <c r="AF125" s="5" t="n">
        <f aca="false">IF(B125="","",MONTH(B125))</f>
        <v>5</v>
      </c>
      <c r="AG125" s="5" t="n">
        <f aca="false">IF(B125="","",YEAR(B125))</f>
        <v>2024</v>
      </c>
      <c r="AH125" s="3" t="s">
        <v>129</v>
      </c>
      <c r="AI125" s="3" t="s">
        <v>93</v>
      </c>
      <c r="AJ125" s="3" t="str">
        <f aca="false">IF(AND(AI125="Completed",AH125="Failed"),"Inconsistent - Completed Order with Failed Payment","OK")</f>
        <v>OK</v>
      </c>
      <c r="AK125" s="3" t="s">
        <v>417</v>
      </c>
      <c r="AL125" s="3" t="str">
        <f aca="false">IF(OR(T125="Negative - Invalid",T125="Above Allowed Range - Invalid",AE125="Invalid - Ship Before Order",AK125&lt;&gt;"Unique",AB125="Mismatch",AC125="Mismatch",AJ125&lt;&gt;"OK"),"Invalid",IF(OR(H125="Yes",O125="Yes",T125="Missing"),"Warning","Clean"))</f>
        <v>Invalid</v>
      </c>
    </row>
    <row r="126" customFormat="false" ht="15" hidden="false" customHeight="true" outlineLevel="0" collapsed="false">
      <c r="A126" s="3" t="s">
        <v>518</v>
      </c>
      <c r="B126" s="4" t="n">
        <v>45494</v>
      </c>
      <c r="C126" s="4" t="n">
        <v>45497</v>
      </c>
      <c r="D126" s="3" t="s">
        <v>519</v>
      </c>
      <c r="E126" s="3" t="s">
        <v>69</v>
      </c>
      <c r="F126" s="3" t="s">
        <v>116</v>
      </c>
      <c r="G126" s="3" t="s">
        <v>78</v>
      </c>
      <c r="H126" s="3" t="s">
        <v>43</v>
      </c>
      <c r="I126" s="3" t="s">
        <v>206</v>
      </c>
      <c r="J126" s="3" t="s">
        <v>207</v>
      </c>
      <c r="K126" s="3" t="s">
        <v>99</v>
      </c>
      <c r="L126" s="3" t="s">
        <v>105</v>
      </c>
      <c r="M126" s="3" t="s">
        <v>520</v>
      </c>
      <c r="N126" s="3" t="s">
        <v>83</v>
      </c>
      <c r="O126" s="3" t="s">
        <v>43</v>
      </c>
      <c r="P126" s="5" t="n">
        <v>9</v>
      </c>
      <c r="Q126" s="6" t="n">
        <v>465.06</v>
      </c>
      <c r="R126" s="3" t="s">
        <v>521</v>
      </c>
      <c r="S126" s="7" t="n">
        <v>-0.15</v>
      </c>
      <c r="T126" s="3" t="s">
        <v>171</v>
      </c>
      <c r="U126" s="7" t="n">
        <f aca="false">IF(T126="Valid",S126,0)</f>
        <v>0</v>
      </c>
      <c r="V126" s="6" t="n">
        <v>4185.54</v>
      </c>
      <c r="W126" s="6" t="n">
        <v>3443.74</v>
      </c>
      <c r="X126" s="6" t="n">
        <v>741.8</v>
      </c>
      <c r="Y126" s="6" t="n">
        <f aca="false">P126*Q126*(1-U126)</f>
        <v>4185.54</v>
      </c>
      <c r="Z126" s="6" t="n">
        <f aca="false">Y126-W126</f>
        <v>741.8</v>
      </c>
      <c r="AA126" s="8" t="n">
        <f aca="false">IF(Y126=0,0,Z126/Y126)</f>
        <v>0.177229222513702</v>
      </c>
      <c r="AB126" s="3" t="str">
        <f aca="false">IF(ABS(V126-Y126)&gt;1,"Mismatch","OK")</f>
        <v>OK</v>
      </c>
      <c r="AC126" s="3" t="str">
        <f aca="false">IF(ABS(X126-Z126)&gt;1,"Mismatch","OK")</f>
        <v>OK</v>
      </c>
      <c r="AD126" s="5" t="n">
        <f aca="false">IF(OR(B126="",C126=""),"",C126-B126)</f>
        <v>3</v>
      </c>
      <c r="AE126" s="3" t="str">
        <f aca="false">IF(AD126="","Unknown",IF(AD126&lt;0,"Invalid - Ship Before Order","OK"))</f>
        <v>OK</v>
      </c>
      <c r="AF126" s="5" t="n">
        <f aca="false">IF(B126="","",MONTH(B126))</f>
        <v>7</v>
      </c>
      <c r="AG126" s="5" t="n">
        <f aca="false">IF(B126="","",YEAR(B126))</f>
        <v>2024</v>
      </c>
      <c r="AH126" s="3" t="s">
        <v>52</v>
      </c>
      <c r="AI126" s="3" t="s">
        <v>53</v>
      </c>
      <c r="AJ126" s="3" t="str">
        <f aca="false">IF(AND(AI126="Completed",AH126="Failed"),"Inconsistent - Completed Order with Failed Payment","OK")</f>
        <v>OK</v>
      </c>
      <c r="AK126" s="3" t="s">
        <v>54</v>
      </c>
      <c r="AL126" s="3" t="str">
        <f aca="false">IF(OR(T126="Negative - Invalid",T126="Above Allowed Range - Invalid",AE126="Invalid - Ship Before Order",AK126&lt;&gt;"Unique",AB126="Mismatch",AC126="Mismatch",AJ126&lt;&gt;"OK"),"Invalid",IF(OR(H126="Yes",O126="Yes",T126="Missing"),"Warning","Clean"))</f>
        <v>Invalid</v>
      </c>
    </row>
    <row r="127" customFormat="false" ht="15" hidden="false" customHeight="true" outlineLevel="0" collapsed="false">
      <c r="A127" s="3" t="s">
        <v>522</v>
      </c>
      <c r="B127" s="4" t="n">
        <v>45855</v>
      </c>
      <c r="C127" s="4" t="n">
        <v>45856</v>
      </c>
      <c r="D127" s="3" t="s">
        <v>523</v>
      </c>
      <c r="E127" s="3" t="s">
        <v>104</v>
      </c>
      <c r="F127" s="3" t="s">
        <v>58</v>
      </c>
      <c r="G127" s="3" t="s">
        <v>88</v>
      </c>
      <c r="H127" s="3" t="s">
        <v>43</v>
      </c>
      <c r="I127" s="3" t="s">
        <v>44</v>
      </c>
      <c r="J127" s="3" t="s">
        <v>136</v>
      </c>
      <c r="K127" s="3" t="s">
        <v>62</v>
      </c>
      <c r="L127" s="3" t="s">
        <v>63</v>
      </c>
      <c r="M127" s="3" t="s">
        <v>524</v>
      </c>
      <c r="N127" s="3" t="s">
        <v>65</v>
      </c>
      <c r="O127" s="3" t="s">
        <v>43</v>
      </c>
      <c r="P127" s="5" t="n">
        <v>6</v>
      </c>
      <c r="Q127" s="6" t="n">
        <v>3235.27</v>
      </c>
      <c r="R127" s="3" t="s">
        <v>84</v>
      </c>
      <c r="S127" s="7" t="n">
        <v>0.25</v>
      </c>
      <c r="T127" s="3" t="s">
        <v>51</v>
      </c>
      <c r="U127" s="7" t="n">
        <f aca="false">IF(T127="Valid",S127,0)</f>
        <v>0.25</v>
      </c>
      <c r="V127" s="6" t="n">
        <v>14558.72</v>
      </c>
      <c r="W127" s="6" t="n">
        <v>9591.48</v>
      </c>
      <c r="X127" s="6" t="n">
        <v>4967.24</v>
      </c>
      <c r="Y127" s="6" t="n">
        <f aca="false">P127*Q127*(1-U127)</f>
        <v>14558.715</v>
      </c>
      <c r="Z127" s="6" t="n">
        <f aca="false">Y127-W127</f>
        <v>4967.235</v>
      </c>
      <c r="AA127" s="8" t="n">
        <f aca="false">IF(Y127=0,0,Z127/Y127)</f>
        <v>0.341186361571059</v>
      </c>
      <c r="AB127" s="3" t="str">
        <f aca="false">IF(ABS(V127-Y127)&gt;1,"Mismatch","OK")</f>
        <v>OK</v>
      </c>
      <c r="AC127" s="3" t="str">
        <f aca="false">IF(ABS(X127-Z127)&gt;1,"Mismatch","OK")</f>
        <v>OK</v>
      </c>
      <c r="AD127" s="5" t="n">
        <f aca="false">IF(OR(B127="",C127=""),"",C127-B127)</f>
        <v>1</v>
      </c>
      <c r="AE127" s="3" t="str">
        <f aca="false">IF(AD127="","Unknown",IF(AD127&lt;0,"Invalid - Ship Before Order","OK"))</f>
        <v>OK</v>
      </c>
      <c r="AF127" s="5" t="n">
        <f aca="false">IF(B127="","",MONTH(B127))</f>
        <v>7</v>
      </c>
      <c r="AG127" s="5" t="n">
        <f aca="false">IF(B127="","",YEAR(B127))</f>
        <v>2025</v>
      </c>
      <c r="AH127" s="3" t="s">
        <v>129</v>
      </c>
      <c r="AI127" s="3" t="s">
        <v>130</v>
      </c>
      <c r="AJ127" s="3" t="str">
        <f aca="false">IF(AND(AI127="Completed",AH127="Failed"),"Inconsistent - Completed Order with Failed Payment","OK")</f>
        <v>OK</v>
      </c>
      <c r="AK127" s="3" t="s">
        <v>54</v>
      </c>
      <c r="AL127" s="3" t="str">
        <f aca="false">IF(OR(T127="Negative - Invalid",T127="Above Allowed Range - Invalid",AE127="Invalid - Ship Before Order",AK127&lt;&gt;"Unique",AB127="Mismatch",AC127="Mismatch",AJ127&lt;&gt;"OK"),"Invalid",IF(OR(H127="Yes",O127="Yes",T127="Missing"),"Warning","Clean"))</f>
        <v>Clean</v>
      </c>
    </row>
    <row r="128" customFormat="false" ht="15" hidden="false" customHeight="true" outlineLevel="0" collapsed="false">
      <c r="A128" s="3" t="s">
        <v>525</v>
      </c>
      <c r="B128" s="4" t="n">
        <v>45924</v>
      </c>
      <c r="C128" s="4" t="n">
        <v>45926</v>
      </c>
      <c r="D128" s="3" t="s">
        <v>526</v>
      </c>
      <c r="E128" s="3" t="s">
        <v>141</v>
      </c>
      <c r="F128" s="3" t="s">
        <v>116</v>
      </c>
      <c r="G128" s="3" t="s">
        <v>42</v>
      </c>
      <c r="H128" s="3" t="s">
        <v>43</v>
      </c>
      <c r="I128" s="3" t="s">
        <v>384</v>
      </c>
      <c r="J128" s="3" t="s">
        <v>385</v>
      </c>
      <c r="K128" s="3" t="s">
        <v>99</v>
      </c>
      <c r="L128" s="3" t="s">
        <v>105</v>
      </c>
      <c r="M128" s="3" t="s">
        <v>527</v>
      </c>
      <c r="N128" s="3" t="s">
        <v>83</v>
      </c>
      <c r="O128" s="3" t="s">
        <v>43</v>
      </c>
      <c r="P128" s="5" t="n">
        <v>3</v>
      </c>
      <c r="Q128" s="6" t="n">
        <v>1593.86</v>
      </c>
      <c r="R128" s="3" t="s">
        <v>203</v>
      </c>
      <c r="S128" s="7" t="n">
        <v>0.1</v>
      </c>
      <c r="T128" s="3" t="s">
        <v>51</v>
      </c>
      <c r="U128" s="7" t="n">
        <f aca="false">IF(T128="Valid",S128,0)</f>
        <v>0.1</v>
      </c>
      <c r="V128" s="6" t="n">
        <v>4303.42</v>
      </c>
      <c r="W128" s="6" t="n">
        <v>2568.57</v>
      </c>
      <c r="X128" s="6" t="n">
        <v>1734.85</v>
      </c>
      <c r="Y128" s="6" t="n">
        <f aca="false">P128*Q128*(1-U128)</f>
        <v>4303.422</v>
      </c>
      <c r="Z128" s="6" t="n">
        <f aca="false">Y128-W128</f>
        <v>1734.852</v>
      </c>
      <c r="AA128" s="8" t="n">
        <f aca="false">IF(Y128=0,0,Z128/Y128)</f>
        <v>0.403133134514812</v>
      </c>
      <c r="AB128" s="3" t="str">
        <f aca="false">IF(ABS(V128-Y128)&gt;1,"Mismatch","OK")</f>
        <v>OK</v>
      </c>
      <c r="AC128" s="3" t="str">
        <f aca="false">IF(ABS(X128-Z128)&gt;1,"Mismatch","OK")</f>
        <v>OK</v>
      </c>
      <c r="AD128" s="5" t="n">
        <f aca="false">IF(OR(B128="",C128=""),"",C128-B128)</f>
        <v>2</v>
      </c>
      <c r="AE128" s="3" t="str">
        <f aca="false">IF(AD128="","Unknown",IF(AD128&lt;0,"Invalid - Ship Before Order","OK"))</f>
        <v>OK</v>
      </c>
      <c r="AF128" s="5" t="n">
        <f aca="false">IF(B128="","",MONTH(B128))</f>
        <v>9</v>
      </c>
      <c r="AG128" s="5" t="n">
        <f aca="false">IF(B128="","",YEAR(B128))</f>
        <v>2025</v>
      </c>
      <c r="AH128" s="3" t="s">
        <v>52</v>
      </c>
      <c r="AI128" s="3" t="s">
        <v>53</v>
      </c>
      <c r="AJ128" s="3" t="str">
        <f aca="false">IF(AND(AI128="Completed",AH128="Failed"),"Inconsistent - Completed Order with Failed Payment","OK")</f>
        <v>OK</v>
      </c>
      <c r="AK128" s="3" t="s">
        <v>54</v>
      </c>
      <c r="AL128" s="3" t="str">
        <f aca="false">IF(OR(T128="Negative - Invalid",T128="Above Allowed Range - Invalid",AE128="Invalid - Ship Before Order",AK128&lt;&gt;"Unique",AB128="Mismatch",AC128="Mismatch",AJ128&lt;&gt;"OK"),"Invalid",IF(OR(H128="Yes",O128="Yes",T128="Missing"),"Warning","Clean"))</f>
        <v>Clean</v>
      </c>
    </row>
    <row r="129" customFormat="false" ht="15" hidden="false" customHeight="true" outlineLevel="0" collapsed="false">
      <c r="A129" s="3" t="s">
        <v>528</v>
      </c>
      <c r="B129" s="4" t="n">
        <v>45687</v>
      </c>
      <c r="C129" s="4" t="n">
        <v>45683</v>
      </c>
      <c r="D129" s="3" t="s">
        <v>529</v>
      </c>
      <c r="E129" s="3" t="s">
        <v>141</v>
      </c>
      <c r="F129" s="3" t="s">
        <v>116</v>
      </c>
      <c r="G129" s="3" t="s">
        <v>88</v>
      </c>
      <c r="H129" s="3" t="s">
        <v>43</v>
      </c>
      <c r="I129" s="3" t="s">
        <v>97</v>
      </c>
      <c r="J129" s="3" t="s">
        <v>98</v>
      </c>
      <c r="K129" s="3" t="s">
        <v>46</v>
      </c>
      <c r="L129" s="3" t="s">
        <v>151</v>
      </c>
      <c r="M129" s="3" t="s">
        <v>530</v>
      </c>
      <c r="N129" s="3" t="s">
        <v>49</v>
      </c>
      <c r="O129" s="3" t="s">
        <v>43</v>
      </c>
      <c r="P129" s="5" t="n">
        <v>2</v>
      </c>
      <c r="Q129" s="6" t="n">
        <v>3039.3</v>
      </c>
      <c r="R129" s="3" t="s">
        <v>128</v>
      </c>
      <c r="S129" s="7" t="n">
        <v>0.05</v>
      </c>
      <c r="T129" s="3" t="s">
        <v>51</v>
      </c>
      <c r="U129" s="7" t="n">
        <f aca="false">IF(T129="Valid",S129,0)</f>
        <v>0.05</v>
      </c>
      <c r="V129" s="6" t="n">
        <v>5774.67</v>
      </c>
      <c r="W129" s="6" t="n">
        <v>3518.36</v>
      </c>
      <c r="X129" s="6" t="n">
        <v>2256.31</v>
      </c>
      <c r="Y129" s="6" t="n">
        <f aca="false">P129*Q129*(1-U129)</f>
        <v>5774.67</v>
      </c>
      <c r="Z129" s="6" t="n">
        <f aca="false">Y129-W129</f>
        <v>2256.31</v>
      </c>
      <c r="AA129" s="8" t="n">
        <f aca="false">IF(Y129=0,0,Z129/Y129)</f>
        <v>0.390725357466314</v>
      </c>
      <c r="AB129" s="3" t="str">
        <f aca="false">IF(ABS(V129-Y129)&gt;1,"Mismatch","OK")</f>
        <v>OK</v>
      </c>
      <c r="AC129" s="3" t="str">
        <f aca="false">IF(ABS(X129-Z129)&gt;1,"Mismatch","OK")</f>
        <v>OK</v>
      </c>
      <c r="AD129" s="5" t="n">
        <f aca="false">IF(OR(B129="",C129=""),"",C129-B129)</f>
        <v>-4</v>
      </c>
      <c r="AE129" s="3" t="str">
        <f aca="false">IF(AD129="","Unknown",IF(AD129&lt;0,"Invalid - Ship Before Order","OK"))</f>
        <v>Invalid - Ship Before Order</v>
      </c>
      <c r="AF129" s="5" t="n">
        <f aca="false">IF(B129="","",MONTH(B129))</f>
        <v>1</v>
      </c>
      <c r="AG129" s="5" t="n">
        <f aca="false">IF(B129="","",YEAR(B129))</f>
        <v>2025</v>
      </c>
      <c r="AH129" s="3" t="s">
        <v>52</v>
      </c>
      <c r="AI129" s="3" t="s">
        <v>53</v>
      </c>
      <c r="AJ129" s="3" t="str">
        <f aca="false">IF(AND(AI129="Completed",AH129="Failed"),"Inconsistent - Completed Order with Failed Payment","OK")</f>
        <v>OK</v>
      </c>
      <c r="AK129" s="3" t="s">
        <v>54</v>
      </c>
      <c r="AL129" s="3" t="str">
        <f aca="false">IF(OR(T129="Negative - Invalid",T129="Above Allowed Range - Invalid",AE129="Invalid - Ship Before Order",AK129&lt;&gt;"Unique",AB129="Mismatch",AC129="Mismatch",AJ129&lt;&gt;"OK"),"Invalid",IF(OR(H129="Yes",O129="Yes",T129="Missing"),"Warning","Clean"))</f>
        <v>Invalid</v>
      </c>
    </row>
    <row r="130" customFormat="false" ht="15" hidden="false" customHeight="true" outlineLevel="0" collapsed="false">
      <c r="A130" s="3" t="s">
        <v>531</v>
      </c>
      <c r="B130" s="4" t="n">
        <v>45639</v>
      </c>
      <c r="C130" s="4" t="n">
        <v>45642</v>
      </c>
      <c r="D130" s="3" t="s">
        <v>532</v>
      </c>
      <c r="E130" s="3" t="s">
        <v>104</v>
      </c>
      <c r="F130" s="3" t="s">
        <v>58</v>
      </c>
      <c r="G130" s="3" t="s">
        <v>59</v>
      </c>
      <c r="H130" s="3" t="s">
        <v>43</v>
      </c>
      <c r="I130" s="3" t="s">
        <v>60</v>
      </c>
      <c r="J130" s="3" t="s">
        <v>61</v>
      </c>
      <c r="K130" s="3" t="s">
        <v>62</v>
      </c>
      <c r="L130" s="3" t="s">
        <v>81</v>
      </c>
      <c r="M130" s="3" t="s">
        <v>533</v>
      </c>
      <c r="N130" s="3" t="s">
        <v>83</v>
      </c>
      <c r="O130" s="3" t="s">
        <v>43</v>
      </c>
      <c r="P130" s="5" t="n">
        <v>5</v>
      </c>
      <c r="Q130" s="6" t="n">
        <v>923.45</v>
      </c>
      <c r="R130" s="3" t="s">
        <v>128</v>
      </c>
      <c r="S130" s="7" t="n">
        <v>0.05</v>
      </c>
      <c r="T130" s="3" t="s">
        <v>51</v>
      </c>
      <c r="U130" s="7" t="n">
        <f aca="false">IF(T130="Valid",S130,0)</f>
        <v>0.05</v>
      </c>
      <c r="V130" s="6" t="n">
        <v>4386.39</v>
      </c>
      <c r="W130" s="6" t="n">
        <v>3366.88</v>
      </c>
      <c r="X130" s="6" t="n">
        <v>1019.51</v>
      </c>
      <c r="Y130" s="6" t="n">
        <f aca="false">P130*Q130*(1-U130)</f>
        <v>4386.3875</v>
      </c>
      <c r="Z130" s="6" t="n">
        <f aca="false">Y130-W130</f>
        <v>1019.5075</v>
      </c>
      <c r="AA130" s="8" t="n">
        <f aca="false">IF(Y130=0,0,Z130/Y130)</f>
        <v>0.232425315820821</v>
      </c>
      <c r="AB130" s="3" t="str">
        <f aca="false">IF(ABS(V130-Y130)&gt;1,"Mismatch","OK")</f>
        <v>OK</v>
      </c>
      <c r="AC130" s="3" t="str">
        <f aca="false">IF(ABS(X130-Z130)&gt;1,"Mismatch","OK")</f>
        <v>OK</v>
      </c>
      <c r="AD130" s="5" t="n">
        <f aca="false">IF(OR(B130="",C130=""),"",C130-B130)</f>
        <v>3</v>
      </c>
      <c r="AE130" s="3" t="str">
        <f aca="false">IF(AD130="","Unknown",IF(AD130&lt;0,"Invalid - Ship Before Order","OK"))</f>
        <v>OK</v>
      </c>
      <c r="AF130" s="5" t="n">
        <f aca="false">IF(B130="","",MONTH(B130))</f>
        <v>12</v>
      </c>
      <c r="AG130" s="5" t="n">
        <f aca="false">IF(B130="","",YEAR(B130))</f>
        <v>2024</v>
      </c>
      <c r="AH130" s="3" t="s">
        <v>52</v>
      </c>
      <c r="AI130" s="3" t="s">
        <v>130</v>
      </c>
      <c r="AJ130" s="3" t="str">
        <f aca="false">IF(AND(AI130="Completed",AH130="Failed"),"Inconsistent - Completed Order with Failed Payment","OK")</f>
        <v>OK</v>
      </c>
      <c r="AK130" s="3" t="s">
        <v>54</v>
      </c>
      <c r="AL130" s="3" t="str">
        <f aca="false">IF(OR(T130="Negative - Invalid",T130="Above Allowed Range - Invalid",AE130="Invalid - Ship Before Order",AK130&lt;&gt;"Unique",AB130="Mismatch",AC130="Mismatch",AJ130&lt;&gt;"OK"),"Invalid",IF(OR(H130="Yes",O130="Yes",T130="Missing"),"Warning","Clean"))</f>
        <v>Clean</v>
      </c>
    </row>
    <row r="131" customFormat="false" ht="15" hidden="false" customHeight="true" outlineLevel="0" collapsed="false">
      <c r="A131" s="3" t="s">
        <v>534</v>
      </c>
      <c r="B131" s="4" t="n">
        <v>45492</v>
      </c>
      <c r="C131" s="4" t="n">
        <v>45498</v>
      </c>
      <c r="D131" s="3" t="s">
        <v>535</v>
      </c>
      <c r="E131" s="3" t="s">
        <v>69</v>
      </c>
      <c r="F131" s="3" t="s">
        <v>58</v>
      </c>
      <c r="G131" s="3" t="s">
        <v>88</v>
      </c>
      <c r="H131" s="3" t="s">
        <v>43</v>
      </c>
      <c r="I131" s="3" t="s">
        <v>221</v>
      </c>
      <c r="J131" s="3" t="s">
        <v>222</v>
      </c>
      <c r="K131" s="3" t="s">
        <v>46</v>
      </c>
      <c r="L131" s="3" t="s">
        <v>183</v>
      </c>
      <c r="M131" s="3" t="s">
        <v>536</v>
      </c>
      <c r="N131" s="3" t="s">
        <v>83</v>
      </c>
      <c r="O131" s="3" t="s">
        <v>43</v>
      </c>
      <c r="P131" s="5" t="n">
        <v>7</v>
      </c>
      <c r="Q131" s="6" t="n">
        <v>2741.29</v>
      </c>
      <c r="R131" s="3" t="s">
        <v>128</v>
      </c>
      <c r="S131" s="7" t="n">
        <v>0.05</v>
      </c>
      <c r="T131" s="3" t="s">
        <v>51</v>
      </c>
      <c r="U131" s="7" t="n">
        <f aca="false">IF(T131="Valid",S131,0)</f>
        <v>0.05</v>
      </c>
      <c r="V131" s="6" t="n">
        <v>18229.58</v>
      </c>
      <c r="W131" s="6" t="n">
        <v>15139.15</v>
      </c>
      <c r="X131" s="6" t="n">
        <v>3090.43</v>
      </c>
      <c r="Y131" s="6" t="n">
        <f aca="false">P131*Q131*(1-U131)</f>
        <v>18229.5785</v>
      </c>
      <c r="Z131" s="6" t="n">
        <f aca="false">Y131-W131</f>
        <v>3090.4285</v>
      </c>
      <c r="AA131" s="8" t="n">
        <f aca="false">IF(Y131=0,0,Z131/Y131)</f>
        <v>0.169528247732113</v>
      </c>
      <c r="AB131" s="3" t="str">
        <f aca="false">IF(ABS(V131-Y131)&gt;1,"Mismatch","OK")</f>
        <v>OK</v>
      </c>
      <c r="AC131" s="3" t="str">
        <f aca="false">IF(ABS(X131-Z131)&gt;1,"Mismatch","OK")</f>
        <v>OK</v>
      </c>
      <c r="AD131" s="5" t="n">
        <f aca="false">IF(OR(B131="",C131=""),"",C131-B131)</f>
        <v>6</v>
      </c>
      <c r="AE131" s="3" t="str">
        <f aca="false">IF(AD131="","Unknown",IF(AD131&lt;0,"Invalid - Ship Before Order","OK"))</f>
        <v>OK</v>
      </c>
      <c r="AF131" s="5" t="n">
        <f aca="false">IF(B131="","",MONTH(B131))</f>
        <v>7</v>
      </c>
      <c r="AG131" s="5" t="n">
        <f aca="false">IF(B131="","",YEAR(B131))</f>
        <v>2024</v>
      </c>
      <c r="AH131" s="3" t="s">
        <v>52</v>
      </c>
      <c r="AI131" s="3" t="s">
        <v>53</v>
      </c>
      <c r="AJ131" s="3" t="str">
        <f aca="false">IF(AND(AI131="Completed",AH131="Failed"),"Inconsistent - Completed Order with Failed Payment","OK")</f>
        <v>OK</v>
      </c>
      <c r="AK131" s="3" t="s">
        <v>54</v>
      </c>
      <c r="AL131" s="3" t="str">
        <f aca="false">IF(OR(T131="Negative - Invalid",T131="Above Allowed Range - Invalid",AE131="Invalid - Ship Before Order",AK131&lt;&gt;"Unique",AB131="Mismatch",AC131="Mismatch",AJ131&lt;&gt;"OK"),"Invalid",IF(OR(H131="Yes",O131="Yes",T131="Missing"),"Warning","Clean"))</f>
        <v>Clean</v>
      </c>
    </row>
    <row r="132" customFormat="false" ht="15" hidden="false" customHeight="true" outlineLevel="0" collapsed="false">
      <c r="A132" s="3" t="s">
        <v>537</v>
      </c>
      <c r="B132" s="4" t="n">
        <v>45318</v>
      </c>
      <c r="C132" s="4" t="n">
        <v>45324</v>
      </c>
      <c r="D132" s="3" t="s">
        <v>538</v>
      </c>
      <c r="E132" s="3" t="s">
        <v>77</v>
      </c>
      <c r="F132" s="3" t="s">
        <v>41</v>
      </c>
      <c r="G132" s="3" t="s">
        <v>88</v>
      </c>
      <c r="H132" s="3" t="s">
        <v>43</v>
      </c>
      <c r="I132" s="3" t="s">
        <v>211</v>
      </c>
      <c r="J132" s="3" t="s">
        <v>212</v>
      </c>
      <c r="K132" s="3" t="s">
        <v>46</v>
      </c>
      <c r="L132" s="3" t="s">
        <v>117</v>
      </c>
      <c r="M132" s="3" t="s">
        <v>539</v>
      </c>
      <c r="N132" s="3" t="s">
        <v>65</v>
      </c>
      <c r="O132" s="3" t="s">
        <v>43</v>
      </c>
      <c r="P132" s="5" t="n">
        <v>5</v>
      </c>
      <c r="Q132" s="6" t="n">
        <v>218.42</v>
      </c>
      <c r="R132" s="3" t="s">
        <v>50</v>
      </c>
      <c r="S132" s="7" t="n">
        <v>0.2</v>
      </c>
      <c r="T132" s="3" t="s">
        <v>51</v>
      </c>
      <c r="U132" s="7" t="n">
        <f aca="false">IF(T132="Valid",S132,0)</f>
        <v>0.2</v>
      </c>
      <c r="V132" s="6" t="n">
        <v>873.68</v>
      </c>
      <c r="W132" s="6" t="n">
        <v>661.72</v>
      </c>
      <c r="X132" s="6" t="n">
        <v>211.96</v>
      </c>
      <c r="Y132" s="6" t="n">
        <f aca="false">P132*Q132*(1-U132)</f>
        <v>873.68</v>
      </c>
      <c r="Z132" s="6" t="n">
        <f aca="false">Y132-W132</f>
        <v>211.96</v>
      </c>
      <c r="AA132" s="8" t="n">
        <f aca="false">IF(Y132=0,0,Z132/Y132)</f>
        <v>0.242605988462595</v>
      </c>
      <c r="AB132" s="3" t="str">
        <f aca="false">IF(ABS(V132-Y132)&gt;1,"Mismatch","OK")</f>
        <v>OK</v>
      </c>
      <c r="AC132" s="3" t="str">
        <f aca="false">IF(ABS(X132-Z132)&gt;1,"Mismatch","OK")</f>
        <v>OK</v>
      </c>
      <c r="AD132" s="5" t="n">
        <f aca="false">IF(OR(B132="",C132=""),"",C132-B132)</f>
        <v>6</v>
      </c>
      <c r="AE132" s="3" t="str">
        <f aca="false">IF(AD132="","Unknown",IF(AD132&lt;0,"Invalid - Ship Before Order","OK"))</f>
        <v>OK</v>
      </c>
      <c r="AF132" s="5" t="n">
        <f aca="false">IF(B132="","",MONTH(B132))</f>
        <v>1</v>
      </c>
      <c r="AG132" s="5" t="n">
        <f aca="false">IF(B132="","",YEAR(B132))</f>
        <v>2024</v>
      </c>
      <c r="AH132" s="3" t="s">
        <v>138</v>
      </c>
      <c r="AI132" s="3" t="s">
        <v>93</v>
      </c>
      <c r="AJ132" s="3" t="str">
        <f aca="false">IF(AND(AI132="Completed",AH132="Failed"),"Inconsistent - Completed Order with Failed Payment","OK")</f>
        <v>OK</v>
      </c>
      <c r="AK132" s="3" t="s">
        <v>54</v>
      </c>
      <c r="AL132" s="3" t="str">
        <f aca="false">IF(OR(T132="Negative - Invalid",T132="Above Allowed Range - Invalid",AE132="Invalid - Ship Before Order",AK132&lt;&gt;"Unique",AB132="Mismatch",AC132="Mismatch",AJ132&lt;&gt;"OK"),"Invalid",IF(OR(H132="Yes",O132="Yes",T132="Missing"),"Warning","Clean"))</f>
        <v>Clean</v>
      </c>
    </row>
    <row r="133" customFormat="false" ht="15" hidden="false" customHeight="true" outlineLevel="0" collapsed="false">
      <c r="A133" s="3" t="s">
        <v>540</v>
      </c>
      <c r="B133" s="4" t="n">
        <v>45929</v>
      </c>
      <c r="C133" s="4" t="n">
        <v>45934</v>
      </c>
      <c r="D133" s="3" t="s">
        <v>541</v>
      </c>
      <c r="E133" s="3" t="s">
        <v>87</v>
      </c>
      <c r="F133" s="3" t="s">
        <v>121</v>
      </c>
      <c r="G133" s="3" t="s">
        <v>59</v>
      </c>
      <c r="H133" s="3" t="s">
        <v>43</v>
      </c>
      <c r="I133" s="3" t="s">
        <v>262</v>
      </c>
      <c r="J133" s="3" t="s">
        <v>263</v>
      </c>
      <c r="K133" s="3" t="s">
        <v>46</v>
      </c>
      <c r="L133" s="3" t="s">
        <v>47</v>
      </c>
      <c r="M133" s="3" t="s">
        <v>542</v>
      </c>
      <c r="N133" s="3" t="s">
        <v>65</v>
      </c>
      <c r="O133" s="3" t="s">
        <v>43</v>
      </c>
      <c r="P133" s="5" t="n">
        <v>9</v>
      </c>
      <c r="Q133" s="6" t="n">
        <v>373.91</v>
      </c>
      <c r="R133" s="3" t="s">
        <v>50</v>
      </c>
      <c r="S133" s="7" t="n">
        <v>0.2</v>
      </c>
      <c r="T133" s="3" t="s">
        <v>51</v>
      </c>
      <c r="U133" s="7" t="n">
        <f aca="false">IF(T133="Valid",S133,0)</f>
        <v>0.2</v>
      </c>
      <c r="V133" s="6" t="n">
        <v>2692.15</v>
      </c>
      <c r="W133" s="6" t="n">
        <v>2044.49</v>
      </c>
      <c r="X133" s="6" t="n">
        <v>647.66</v>
      </c>
      <c r="Y133" s="6" t="n">
        <f aca="false">P133*Q133*(1-U133)</f>
        <v>2692.152</v>
      </c>
      <c r="Z133" s="6" t="n">
        <f aca="false">Y133-W133</f>
        <v>647.662</v>
      </c>
      <c r="AA133" s="8" t="n">
        <f aca="false">IF(Y133=0,0,Z133/Y133)</f>
        <v>0.240574083484142</v>
      </c>
      <c r="AB133" s="3" t="str">
        <f aca="false">IF(ABS(V133-Y133)&gt;1,"Mismatch","OK")</f>
        <v>OK</v>
      </c>
      <c r="AC133" s="3" t="str">
        <f aca="false">IF(ABS(X133-Z133)&gt;1,"Mismatch","OK")</f>
        <v>OK</v>
      </c>
      <c r="AD133" s="5" t="n">
        <f aca="false">IF(OR(B133="",C133=""),"",C133-B133)</f>
        <v>5</v>
      </c>
      <c r="AE133" s="3" t="str">
        <f aca="false">IF(AD133="","Unknown",IF(AD133&lt;0,"Invalid - Ship Before Order","OK"))</f>
        <v>OK</v>
      </c>
      <c r="AF133" s="5" t="n">
        <f aca="false">IF(B133="","",MONTH(B133))</f>
        <v>9</v>
      </c>
      <c r="AG133" s="5" t="n">
        <f aca="false">IF(B133="","",YEAR(B133))</f>
        <v>2025</v>
      </c>
      <c r="AH133" s="3" t="s">
        <v>52</v>
      </c>
      <c r="AI133" s="3" t="s">
        <v>53</v>
      </c>
      <c r="AJ133" s="3" t="str">
        <f aca="false">IF(AND(AI133="Completed",AH133="Failed"),"Inconsistent - Completed Order with Failed Payment","OK")</f>
        <v>OK</v>
      </c>
      <c r="AK133" s="3" t="s">
        <v>54</v>
      </c>
      <c r="AL133" s="3" t="str">
        <f aca="false">IF(OR(T133="Negative - Invalid",T133="Above Allowed Range - Invalid",AE133="Invalid - Ship Before Order",AK133&lt;&gt;"Unique",AB133="Mismatch",AC133="Mismatch",AJ133&lt;&gt;"OK"),"Invalid",IF(OR(H133="Yes",O133="Yes",T133="Missing"),"Warning","Clean"))</f>
        <v>Clean</v>
      </c>
    </row>
    <row r="134" customFormat="false" ht="15" hidden="false" customHeight="true" outlineLevel="0" collapsed="false">
      <c r="A134" s="3" t="s">
        <v>543</v>
      </c>
      <c r="B134" s="4" t="n">
        <v>45600</v>
      </c>
      <c r="C134" s="4" t="n">
        <v>45600</v>
      </c>
      <c r="D134" s="3" t="s">
        <v>544</v>
      </c>
      <c r="E134" s="3" t="s">
        <v>298</v>
      </c>
      <c r="F134" s="3" t="s">
        <v>116</v>
      </c>
      <c r="G134" s="3" t="s">
        <v>59</v>
      </c>
      <c r="H134" s="3" t="s">
        <v>43</v>
      </c>
      <c r="I134" s="3" t="s">
        <v>196</v>
      </c>
      <c r="J134" s="3" t="s">
        <v>197</v>
      </c>
      <c r="K134" s="3" t="s">
        <v>99</v>
      </c>
      <c r="L134" s="3" t="s">
        <v>308</v>
      </c>
      <c r="M134" s="3" t="s">
        <v>545</v>
      </c>
      <c r="N134" s="3" t="s">
        <v>72</v>
      </c>
      <c r="O134" s="3" t="s">
        <v>43</v>
      </c>
      <c r="P134" s="5" t="n">
        <v>2</v>
      </c>
      <c r="Q134" s="6" t="n">
        <v>533.08</v>
      </c>
      <c r="R134" s="3" t="s">
        <v>66</v>
      </c>
      <c r="S134" s="7" t="n">
        <v>0</v>
      </c>
      <c r="T134" s="3" t="s">
        <v>51</v>
      </c>
      <c r="U134" s="7" t="n">
        <f aca="false">IF(T134="Valid",S134,0)</f>
        <v>0</v>
      </c>
      <c r="V134" s="6" t="n">
        <v>1066.16</v>
      </c>
      <c r="W134" s="6" t="n">
        <v>656.3</v>
      </c>
      <c r="X134" s="6" t="n">
        <v>409.86</v>
      </c>
      <c r="Y134" s="6" t="n">
        <f aca="false">P134*Q134*(1-U134)</f>
        <v>1066.16</v>
      </c>
      <c r="Z134" s="6" t="n">
        <f aca="false">Y134-W134</f>
        <v>409.86</v>
      </c>
      <c r="AA134" s="8" t="n">
        <f aca="false">IF(Y134=0,0,Z134/Y134)</f>
        <v>0.384426352517446</v>
      </c>
      <c r="AB134" s="3" t="str">
        <f aca="false">IF(ABS(V134-Y134)&gt;1,"Mismatch","OK")</f>
        <v>OK</v>
      </c>
      <c r="AC134" s="3" t="str">
        <f aca="false">IF(ABS(X134-Z134)&gt;1,"Mismatch","OK")</f>
        <v>OK</v>
      </c>
      <c r="AD134" s="5" t="n">
        <f aca="false">IF(OR(B134="",C134=""),"",C134-B134)</f>
        <v>0</v>
      </c>
      <c r="AE134" s="3" t="str">
        <f aca="false">IF(AD134="","Unknown",IF(AD134&lt;0,"Invalid - Ship Before Order","OK"))</f>
        <v>OK</v>
      </c>
      <c r="AF134" s="5" t="n">
        <f aca="false">IF(B134="","",MONTH(B134))</f>
        <v>11</v>
      </c>
      <c r="AG134" s="5" t="n">
        <f aca="false">IF(B134="","",YEAR(B134))</f>
        <v>2024</v>
      </c>
      <c r="AH134" s="3" t="s">
        <v>185</v>
      </c>
      <c r="AI134" s="3" t="s">
        <v>93</v>
      </c>
      <c r="AJ134" s="3" t="str">
        <f aca="false">IF(AND(AI134="Completed",AH134="Failed"),"Inconsistent - Completed Order with Failed Payment","OK")</f>
        <v>OK</v>
      </c>
      <c r="AK134" s="3" t="s">
        <v>54</v>
      </c>
      <c r="AL134" s="3" t="str">
        <f aca="false">IF(OR(T134="Negative - Invalid",T134="Above Allowed Range - Invalid",AE134="Invalid - Ship Before Order",AK134&lt;&gt;"Unique",AB134="Mismatch",AC134="Mismatch",AJ134&lt;&gt;"OK"),"Invalid",IF(OR(H134="Yes",O134="Yes",T134="Missing"),"Warning","Clean"))</f>
        <v>Clean</v>
      </c>
    </row>
    <row r="135" customFormat="false" ht="15" hidden="false" customHeight="true" outlineLevel="0" collapsed="false">
      <c r="A135" s="3" t="s">
        <v>546</v>
      </c>
      <c r="B135" s="4" t="n">
        <v>45639</v>
      </c>
      <c r="C135" s="4" t="n">
        <v>45644</v>
      </c>
      <c r="D135" s="3" t="s">
        <v>547</v>
      </c>
      <c r="E135" s="3" t="s">
        <v>40</v>
      </c>
      <c r="F135" s="3" t="s">
        <v>41</v>
      </c>
      <c r="G135" s="3" t="s">
        <v>88</v>
      </c>
      <c r="H135" s="3" t="s">
        <v>43</v>
      </c>
      <c r="I135" s="3" t="s">
        <v>221</v>
      </c>
      <c r="J135" s="3" t="s">
        <v>222</v>
      </c>
      <c r="K135" s="3" t="s">
        <v>99</v>
      </c>
      <c r="L135" s="3" t="s">
        <v>201</v>
      </c>
      <c r="M135" s="3" t="s">
        <v>548</v>
      </c>
      <c r="N135" s="3" t="s">
        <v>49</v>
      </c>
      <c r="O135" s="3" t="s">
        <v>43</v>
      </c>
      <c r="P135" s="5" t="n">
        <v>8</v>
      </c>
      <c r="Q135" s="6" t="n">
        <v>3372.15</v>
      </c>
      <c r="R135" s="3" t="s">
        <v>107</v>
      </c>
      <c r="S135" s="7" t="n">
        <v>0.15</v>
      </c>
      <c r="T135" s="3" t="s">
        <v>51</v>
      </c>
      <c r="U135" s="7" t="n">
        <f aca="false">IF(T135="Valid",S135,0)</f>
        <v>0.15</v>
      </c>
      <c r="V135" s="6" t="n">
        <v>22930.62</v>
      </c>
      <c r="W135" s="6" t="n">
        <v>16875.55</v>
      </c>
      <c r="X135" s="6" t="n">
        <v>6055.07</v>
      </c>
      <c r="Y135" s="6" t="n">
        <f aca="false">P135*Q135*(1-U135)</f>
        <v>22930.62</v>
      </c>
      <c r="Z135" s="6" t="n">
        <f aca="false">Y135-W135</f>
        <v>6055.07</v>
      </c>
      <c r="AA135" s="8" t="n">
        <f aca="false">IF(Y135=0,0,Z135/Y135)</f>
        <v>0.264060457152925</v>
      </c>
      <c r="AB135" s="3" t="str">
        <f aca="false">IF(ABS(V135-Y135)&gt;1,"Mismatch","OK")</f>
        <v>OK</v>
      </c>
      <c r="AC135" s="3" t="str">
        <f aca="false">IF(ABS(X135-Z135)&gt;1,"Mismatch","OK")</f>
        <v>OK</v>
      </c>
      <c r="AD135" s="5" t="n">
        <f aca="false">IF(OR(B135="",C135=""),"",C135-B135)</f>
        <v>5</v>
      </c>
      <c r="AE135" s="3" t="str">
        <f aca="false">IF(AD135="","Unknown",IF(AD135&lt;0,"Invalid - Ship Before Order","OK"))</f>
        <v>OK</v>
      </c>
      <c r="AF135" s="5" t="n">
        <f aca="false">IF(B135="","",MONTH(B135))</f>
        <v>12</v>
      </c>
      <c r="AG135" s="5" t="n">
        <f aca="false">IF(B135="","",YEAR(B135))</f>
        <v>2024</v>
      </c>
      <c r="AH135" s="3" t="s">
        <v>52</v>
      </c>
      <c r="AI135" s="3" t="s">
        <v>53</v>
      </c>
      <c r="AJ135" s="3" t="str">
        <f aca="false">IF(AND(AI135="Completed",AH135="Failed"),"Inconsistent - Completed Order with Failed Payment","OK")</f>
        <v>OK</v>
      </c>
      <c r="AK135" s="3" t="s">
        <v>54</v>
      </c>
      <c r="AL135" s="3" t="str">
        <f aca="false">IF(OR(T135="Negative - Invalid",T135="Above Allowed Range - Invalid",AE135="Invalid - Ship Before Order",AK135&lt;&gt;"Unique",AB135="Mismatch",AC135="Mismatch",AJ135&lt;&gt;"OK"),"Invalid",IF(OR(H135="Yes",O135="Yes",T135="Missing"),"Warning","Clean"))</f>
        <v>Clean</v>
      </c>
    </row>
    <row r="136" customFormat="false" ht="15" hidden="false" customHeight="true" outlineLevel="0" collapsed="false">
      <c r="A136" s="3" t="s">
        <v>549</v>
      </c>
      <c r="B136" s="4" t="n">
        <v>45852</v>
      </c>
      <c r="C136" s="4" t="n">
        <v>45852</v>
      </c>
      <c r="D136" s="3" t="s">
        <v>550</v>
      </c>
      <c r="E136" s="3" t="s">
        <v>96</v>
      </c>
      <c r="F136" s="3" t="s">
        <v>121</v>
      </c>
      <c r="G136" s="3" t="s">
        <v>59</v>
      </c>
      <c r="H136" s="3" t="s">
        <v>43</v>
      </c>
      <c r="I136" s="3" t="s">
        <v>125</v>
      </c>
      <c r="J136" s="3" t="s">
        <v>126</v>
      </c>
      <c r="K136" s="3" t="s">
        <v>62</v>
      </c>
      <c r="L136" s="3" t="s">
        <v>188</v>
      </c>
      <c r="M136" s="3" t="s">
        <v>551</v>
      </c>
      <c r="N136" s="3" t="s">
        <v>237</v>
      </c>
      <c r="O136" s="3" t="s">
        <v>238</v>
      </c>
      <c r="P136" s="5" t="n">
        <v>5</v>
      </c>
      <c r="Q136" s="6" t="n">
        <v>383.1</v>
      </c>
      <c r="R136" s="3" t="s">
        <v>84</v>
      </c>
      <c r="S136" s="7" t="n">
        <v>0.25</v>
      </c>
      <c r="T136" s="3" t="s">
        <v>51</v>
      </c>
      <c r="U136" s="7" t="n">
        <f aca="false">IF(T136="Valid",S136,0)</f>
        <v>0.25</v>
      </c>
      <c r="V136" s="6" t="n">
        <v>1436.62</v>
      </c>
      <c r="W136" s="6" t="n">
        <v>912.52</v>
      </c>
      <c r="X136" s="6" t="n">
        <v>524.1</v>
      </c>
      <c r="Y136" s="6" t="n">
        <f aca="false">P136*Q136*(1-U136)</f>
        <v>1436.625</v>
      </c>
      <c r="Z136" s="6" t="n">
        <f aca="false">Y136-W136</f>
        <v>524.105</v>
      </c>
      <c r="AA136" s="8" t="n">
        <f aca="false">IF(Y136=0,0,Z136/Y136)</f>
        <v>0.364816845036109</v>
      </c>
      <c r="AB136" s="3" t="str">
        <f aca="false">IF(ABS(V136-Y136)&gt;1,"Mismatch","OK")</f>
        <v>OK</v>
      </c>
      <c r="AC136" s="3" t="str">
        <f aca="false">IF(ABS(X136-Z136)&gt;1,"Mismatch","OK")</f>
        <v>OK</v>
      </c>
      <c r="AD136" s="5" t="n">
        <f aca="false">IF(OR(B136="",C136=""),"",C136-B136)</f>
        <v>0</v>
      </c>
      <c r="AE136" s="3" t="str">
        <f aca="false">IF(AD136="","Unknown",IF(AD136&lt;0,"Invalid - Ship Before Order","OK"))</f>
        <v>OK</v>
      </c>
      <c r="AF136" s="5" t="n">
        <f aca="false">IF(B136="","",MONTH(B136))</f>
        <v>7</v>
      </c>
      <c r="AG136" s="5" t="n">
        <f aca="false">IF(B136="","",YEAR(B136))</f>
        <v>2025</v>
      </c>
      <c r="AH136" s="3" t="s">
        <v>138</v>
      </c>
      <c r="AI136" s="3" t="s">
        <v>93</v>
      </c>
      <c r="AJ136" s="3" t="str">
        <f aca="false">IF(AND(AI136="Completed",AH136="Failed"),"Inconsistent - Completed Order with Failed Payment","OK")</f>
        <v>OK</v>
      </c>
      <c r="AK136" s="3" t="s">
        <v>54</v>
      </c>
      <c r="AL136" s="3" t="str">
        <f aca="false">IF(OR(T136="Negative - Invalid",T136="Above Allowed Range - Invalid",AE136="Invalid - Ship Before Order",AK136&lt;&gt;"Unique",AB136="Mismatch",AC136="Mismatch",AJ136&lt;&gt;"OK"),"Invalid",IF(OR(H136="Yes",O136="Yes",T136="Missing"),"Warning","Clean"))</f>
        <v>Warning</v>
      </c>
    </row>
    <row r="137" customFormat="false" ht="15" hidden="false" customHeight="true" outlineLevel="0" collapsed="false">
      <c r="A137" s="3" t="s">
        <v>552</v>
      </c>
      <c r="B137" s="4" t="n">
        <v>45893</v>
      </c>
      <c r="C137" s="4" t="n">
        <v>45893</v>
      </c>
      <c r="D137" s="3" t="s">
        <v>553</v>
      </c>
      <c r="E137" s="3" t="s">
        <v>192</v>
      </c>
      <c r="F137" s="3" t="s">
        <v>58</v>
      </c>
      <c r="G137" s="3" t="s">
        <v>78</v>
      </c>
      <c r="H137" s="3" t="s">
        <v>43</v>
      </c>
      <c r="I137" s="3" t="s">
        <v>216</v>
      </c>
      <c r="J137" s="3" t="s">
        <v>217</v>
      </c>
      <c r="K137" s="3" t="s">
        <v>62</v>
      </c>
      <c r="L137" s="3" t="s">
        <v>188</v>
      </c>
      <c r="M137" s="3" t="s">
        <v>554</v>
      </c>
      <c r="N137" s="3" t="s">
        <v>83</v>
      </c>
      <c r="O137" s="3" t="s">
        <v>43</v>
      </c>
      <c r="P137" s="5" t="n">
        <v>1</v>
      </c>
      <c r="Q137" s="6" t="n">
        <v>3424.78</v>
      </c>
      <c r="R137" s="3" t="s">
        <v>66</v>
      </c>
      <c r="S137" s="7" t="n">
        <v>0</v>
      </c>
      <c r="T137" s="3" t="s">
        <v>51</v>
      </c>
      <c r="U137" s="7" t="n">
        <f aca="false">IF(T137="Valid",S137,0)</f>
        <v>0</v>
      </c>
      <c r="V137" s="6" t="n">
        <v>3424.78</v>
      </c>
      <c r="W137" s="6" t="n">
        <v>1951.45</v>
      </c>
      <c r="X137" s="6" t="n">
        <v>1473.33</v>
      </c>
      <c r="Y137" s="6" t="n">
        <f aca="false">P137*Q137*(1-U137)</f>
        <v>3424.78</v>
      </c>
      <c r="Z137" s="6" t="n">
        <f aca="false">Y137-W137</f>
        <v>1473.33</v>
      </c>
      <c r="AA137" s="8" t="n">
        <f aca="false">IF(Y137=0,0,Z137/Y137)</f>
        <v>0.430196976156133</v>
      </c>
      <c r="AB137" s="3" t="str">
        <f aca="false">IF(ABS(V137-Y137)&gt;1,"Mismatch","OK")</f>
        <v>OK</v>
      </c>
      <c r="AC137" s="3" t="str">
        <f aca="false">IF(ABS(X137-Z137)&gt;1,"Mismatch","OK")</f>
        <v>OK</v>
      </c>
      <c r="AD137" s="5" t="n">
        <f aca="false">IF(OR(B137="",C137=""),"",C137-B137)</f>
        <v>0</v>
      </c>
      <c r="AE137" s="3" t="str">
        <f aca="false">IF(AD137="","Unknown",IF(AD137&lt;0,"Invalid - Ship Before Order","OK"))</f>
        <v>OK</v>
      </c>
      <c r="AF137" s="5" t="n">
        <f aca="false">IF(B137="","",MONTH(B137))</f>
        <v>8</v>
      </c>
      <c r="AG137" s="5" t="n">
        <f aca="false">IF(B137="","",YEAR(B137))</f>
        <v>2025</v>
      </c>
      <c r="AH137" s="3" t="s">
        <v>52</v>
      </c>
      <c r="AI137" s="3" t="s">
        <v>53</v>
      </c>
      <c r="AJ137" s="3" t="str">
        <f aca="false">IF(AND(AI137="Completed",AH137="Failed"),"Inconsistent - Completed Order with Failed Payment","OK")</f>
        <v>OK</v>
      </c>
      <c r="AK137" s="3" t="s">
        <v>54</v>
      </c>
      <c r="AL137" s="3" t="str">
        <f aca="false">IF(OR(T137="Negative - Invalid",T137="Above Allowed Range - Invalid",AE137="Invalid - Ship Before Order",AK137&lt;&gt;"Unique",AB137="Mismatch",AC137="Mismatch",AJ137&lt;&gt;"OK"),"Invalid",IF(OR(H137="Yes",O137="Yes",T137="Missing"),"Warning","Clean"))</f>
        <v>Clean</v>
      </c>
    </row>
    <row r="138" customFormat="false" ht="15" hidden="false" customHeight="true" outlineLevel="0" collapsed="false">
      <c r="A138" s="3" t="s">
        <v>555</v>
      </c>
      <c r="B138" s="4" t="n">
        <v>45697</v>
      </c>
      <c r="C138" s="4" t="n">
        <v>45703</v>
      </c>
      <c r="D138" s="3" t="s">
        <v>556</v>
      </c>
      <c r="E138" s="3" t="s">
        <v>57</v>
      </c>
      <c r="F138" s="3" t="s">
        <v>121</v>
      </c>
      <c r="G138" s="3" t="s">
        <v>59</v>
      </c>
      <c r="H138" s="3" t="s">
        <v>43</v>
      </c>
      <c r="I138" s="3" t="s">
        <v>262</v>
      </c>
      <c r="J138" s="3" t="s">
        <v>263</v>
      </c>
      <c r="K138" s="3" t="s">
        <v>46</v>
      </c>
      <c r="L138" s="3" t="s">
        <v>183</v>
      </c>
      <c r="M138" s="3" t="s">
        <v>557</v>
      </c>
      <c r="N138" s="3" t="s">
        <v>83</v>
      </c>
      <c r="O138" s="3" t="s">
        <v>43</v>
      </c>
      <c r="P138" s="5" t="n">
        <v>9</v>
      </c>
      <c r="Q138" s="6" t="n">
        <v>4330.33</v>
      </c>
      <c r="R138" s="3" t="s">
        <v>50</v>
      </c>
      <c r="S138" s="7" t="n">
        <v>0.2</v>
      </c>
      <c r="T138" s="3" t="s">
        <v>51</v>
      </c>
      <c r="U138" s="7" t="n">
        <f aca="false">IF(T138="Valid",S138,0)</f>
        <v>0.2</v>
      </c>
      <c r="V138" s="6" t="n">
        <v>31178.38</v>
      </c>
      <c r="W138" s="6" t="n">
        <v>21421.09</v>
      </c>
      <c r="X138" s="6" t="n">
        <v>9757.29</v>
      </c>
      <c r="Y138" s="6" t="n">
        <f aca="false">P138*Q138*(1-U138)</f>
        <v>31178.376</v>
      </c>
      <c r="Z138" s="6" t="n">
        <f aca="false">Y138-W138</f>
        <v>9757.286</v>
      </c>
      <c r="AA138" s="8" t="n">
        <f aca="false">IF(Y138=0,0,Z138/Y138)</f>
        <v>0.312950424358216</v>
      </c>
      <c r="AB138" s="3" t="str">
        <f aca="false">IF(ABS(V138-Y138)&gt;1,"Mismatch","OK")</f>
        <v>OK</v>
      </c>
      <c r="AC138" s="3" t="str">
        <f aca="false">IF(ABS(X138-Z138)&gt;1,"Mismatch","OK")</f>
        <v>OK</v>
      </c>
      <c r="AD138" s="5" t="n">
        <f aca="false">IF(OR(B138="",C138=""),"",C138-B138)</f>
        <v>6</v>
      </c>
      <c r="AE138" s="3" t="str">
        <f aca="false">IF(AD138="","Unknown",IF(AD138&lt;0,"Invalid - Ship Before Order","OK"))</f>
        <v>OK</v>
      </c>
      <c r="AF138" s="5" t="n">
        <f aca="false">IF(B138="","",MONTH(B138))</f>
        <v>2</v>
      </c>
      <c r="AG138" s="5" t="n">
        <f aca="false">IF(B138="","",YEAR(B138))</f>
        <v>2025</v>
      </c>
      <c r="AH138" s="3" t="s">
        <v>52</v>
      </c>
      <c r="AI138" s="3" t="s">
        <v>53</v>
      </c>
      <c r="AJ138" s="3" t="str">
        <f aca="false">IF(AND(AI138="Completed",AH138="Failed"),"Inconsistent - Completed Order with Failed Payment","OK")</f>
        <v>OK</v>
      </c>
      <c r="AK138" s="3" t="s">
        <v>54</v>
      </c>
      <c r="AL138" s="3" t="str">
        <f aca="false">IF(OR(T138="Negative - Invalid",T138="Above Allowed Range - Invalid",AE138="Invalid - Ship Before Order",AK138&lt;&gt;"Unique",AB138="Mismatch",AC138="Mismatch",AJ138&lt;&gt;"OK"),"Invalid",IF(OR(H138="Yes",O138="Yes",T138="Missing"),"Warning","Clean"))</f>
        <v>Clean</v>
      </c>
    </row>
    <row r="139" customFormat="false" ht="15" hidden="false" customHeight="true" outlineLevel="0" collapsed="false">
      <c r="A139" s="3" t="s">
        <v>558</v>
      </c>
      <c r="B139" s="4" t="n">
        <v>45666</v>
      </c>
      <c r="C139" s="4" t="n">
        <v>45666</v>
      </c>
      <c r="D139" s="3" t="s">
        <v>559</v>
      </c>
      <c r="E139" s="3" t="s">
        <v>159</v>
      </c>
      <c r="F139" s="3" t="s">
        <v>58</v>
      </c>
      <c r="G139" s="3" t="s">
        <v>42</v>
      </c>
      <c r="H139" s="3" t="s">
        <v>43</v>
      </c>
      <c r="I139" s="3" t="s">
        <v>44</v>
      </c>
      <c r="J139" s="3" t="s">
        <v>45</v>
      </c>
      <c r="K139" s="3" t="s">
        <v>62</v>
      </c>
      <c r="L139" s="3" t="s">
        <v>91</v>
      </c>
      <c r="M139" s="3" t="s">
        <v>560</v>
      </c>
      <c r="N139" s="3" t="s">
        <v>65</v>
      </c>
      <c r="O139" s="3" t="s">
        <v>43</v>
      </c>
      <c r="P139" s="5" t="n">
        <v>8</v>
      </c>
      <c r="Q139" s="6" t="n">
        <v>2667.07</v>
      </c>
      <c r="R139" s="3" t="s">
        <v>203</v>
      </c>
      <c r="S139" s="7" t="n">
        <v>0.1</v>
      </c>
      <c r="T139" s="3" t="s">
        <v>51</v>
      </c>
      <c r="U139" s="7" t="n">
        <f aca="false">IF(T139="Valid",S139,0)</f>
        <v>0.1</v>
      </c>
      <c r="V139" s="6" t="n">
        <v>19202.9</v>
      </c>
      <c r="W139" s="6" t="n">
        <v>15526.62</v>
      </c>
      <c r="X139" s="6" t="n">
        <v>3676.28</v>
      </c>
      <c r="Y139" s="6" t="n">
        <f aca="false">P139*Q139*(1-U139)</f>
        <v>19202.904</v>
      </c>
      <c r="Z139" s="6" t="n">
        <f aca="false">Y139-W139</f>
        <v>3676.284</v>
      </c>
      <c r="AA139" s="8" t="n">
        <f aca="false">IF(Y139=0,0,Z139/Y139)</f>
        <v>0.191444169069428</v>
      </c>
      <c r="AB139" s="3" t="str">
        <f aca="false">IF(ABS(V139-Y139)&gt;1,"Mismatch","OK")</f>
        <v>OK</v>
      </c>
      <c r="AC139" s="3" t="str">
        <f aca="false">IF(ABS(X139-Z139)&gt;1,"Mismatch","OK")</f>
        <v>OK</v>
      </c>
      <c r="AD139" s="5" t="n">
        <f aca="false">IF(OR(B139="",C139=""),"",C139-B139)</f>
        <v>0</v>
      </c>
      <c r="AE139" s="3" t="str">
        <f aca="false">IF(AD139="","Unknown",IF(AD139&lt;0,"Invalid - Ship Before Order","OK"))</f>
        <v>OK</v>
      </c>
      <c r="AF139" s="5" t="n">
        <f aca="false">IF(B139="","",MONTH(B139))</f>
        <v>1</v>
      </c>
      <c r="AG139" s="5" t="n">
        <f aca="false">IF(B139="","",YEAR(B139))</f>
        <v>2025</v>
      </c>
      <c r="AH139" s="3" t="s">
        <v>52</v>
      </c>
      <c r="AI139" s="3" t="s">
        <v>53</v>
      </c>
      <c r="AJ139" s="3" t="str">
        <f aca="false">IF(AND(AI139="Completed",AH139="Failed"),"Inconsistent - Completed Order with Failed Payment","OK")</f>
        <v>OK</v>
      </c>
      <c r="AK139" s="3" t="s">
        <v>54</v>
      </c>
      <c r="AL139" s="3" t="str">
        <f aca="false">IF(OR(T139="Negative - Invalid",T139="Above Allowed Range - Invalid",AE139="Invalid - Ship Before Order",AK139&lt;&gt;"Unique",AB139="Mismatch",AC139="Mismatch",AJ139&lt;&gt;"OK"),"Invalid",IF(OR(H139="Yes",O139="Yes",T139="Missing"),"Warning","Clean"))</f>
        <v>Clean</v>
      </c>
    </row>
    <row r="140" customFormat="false" ht="15" hidden="false" customHeight="true" outlineLevel="0" collapsed="false">
      <c r="A140" s="3" t="s">
        <v>561</v>
      </c>
      <c r="B140" s="4" t="n">
        <v>45311</v>
      </c>
      <c r="C140" s="4" t="n">
        <v>45317</v>
      </c>
      <c r="D140" s="3" t="s">
        <v>562</v>
      </c>
      <c r="E140" s="3" t="s">
        <v>192</v>
      </c>
      <c r="F140" s="3" t="s">
        <v>121</v>
      </c>
      <c r="G140" s="3" t="s">
        <v>59</v>
      </c>
      <c r="H140" s="3" t="s">
        <v>43</v>
      </c>
      <c r="I140" s="3" t="s">
        <v>262</v>
      </c>
      <c r="J140" s="3" t="s">
        <v>263</v>
      </c>
      <c r="K140" s="3" t="s">
        <v>99</v>
      </c>
      <c r="L140" s="3" t="s">
        <v>308</v>
      </c>
      <c r="M140" s="3" t="s">
        <v>563</v>
      </c>
      <c r="N140" s="3" t="s">
        <v>83</v>
      </c>
      <c r="O140" s="3" t="s">
        <v>43</v>
      </c>
      <c r="P140" s="5" t="n">
        <v>8</v>
      </c>
      <c r="Q140" s="6" t="n">
        <v>4003.05</v>
      </c>
      <c r="R140" s="3" t="s">
        <v>84</v>
      </c>
      <c r="S140" s="7" t="n">
        <v>0.25</v>
      </c>
      <c r="T140" s="3" t="s">
        <v>51</v>
      </c>
      <c r="U140" s="7" t="n">
        <f aca="false">IF(T140="Valid",S140,0)</f>
        <v>0.25</v>
      </c>
      <c r="V140" s="6" t="n">
        <v>24018.3</v>
      </c>
      <c r="W140" s="6" t="n">
        <v>14070.78</v>
      </c>
      <c r="X140" s="6" t="n">
        <v>9947.52</v>
      </c>
      <c r="Y140" s="6" t="n">
        <f aca="false">P140*Q140*(1-U140)</f>
        <v>24018.3</v>
      </c>
      <c r="Z140" s="6" t="n">
        <f aca="false">Y140-W140</f>
        <v>9947.52</v>
      </c>
      <c r="AA140" s="8" t="n">
        <f aca="false">IF(Y140=0,0,Z140/Y140)</f>
        <v>0.414164199797654</v>
      </c>
      <c r="AB140" s="3" t="str">
        <f aca="false">IF(ABS(V140-Y140)&gt;1,"Mismatch","OK")</f>
        <v>OK</v>
      </c>
      <c r="AC140" s="3" t="str">
        <f aca="false">IF(ABS(X140-Z140)&gt;1,"Mismatch","OK")</f>
        <v>OK</v>
      </c>
      <c r="AD140" s="5" t="n">
        <f aca="false">IF(OR(B140="",C140=""),"",C140-B140)</f>
        <v>6</v>
      </c>
      <c r="AE140" s="3" t="str">
        <f aca="false">IF(AD140="","Unknown",IF(AD140&lt;0,"Invalid - Ship Before Order","OK"))</f>
        <v>OK</v>
      </c>
      <c r="AF140" s="5" t="n">
        <f aca="false">IF(B140="","",MONTH(B140))</f>
        <v>1</v>
      </c>
      <c r="AG140" s="5" t="n">
        <f aca="false">IF(B140="","",YEAR(B140))</f>
        <v>2024</v>
      </c>
      <c r="AH140" s="3" t="s">
        <v>52</v>
      </c>
      <c r="AI140" s="3" t="s">
        <v>53</v>
      </c>
      <c r="AJ140" s="3" t="str">
        <f aca="false">IF(AND(AI140="Completed",AH140="Failed"),"Inconsistent - Completed Order with Failed Payment","OK")</f>
        <v>OK</v>
      </c>
      <c r="AK140" s="3" t="s">
        <v>54</v>
      </c>
      <c r="AL140" s="3" t="str">
        <f aca="false">IF(OR(T140="Negative - Invalid",T140="Above Allowed Range - Invalid",AE140="Invalid - Ship Before Order",AK140&lt;&gt;"Unique",AB140="Mismatch",AC140="Mismatch",AJ140&lt;&gt;"OK"),"Invalid",IF(OR(H140="Yes",O140="Yes",T140="Missing"),"Warning","Clean"))</f>
        <v>Clean</v>
      </c>
    </row>
    <row r="141" customFormat="false" ht="15" hidden="false" customHeight="true" outlineLevel="0" collapsed="false">
      <c r="A141" s="3" t="s">
        <v>564</v>
      </c>
      <c r="B141" s="4" t="n">
        <v>45718</v>
      </c>
      <c r="C141" s="4" t="n">
        <v>45723</v>
      </c>
      <c r="D141" s="3" t="s">
        <v>565</v>
      </c>
      <c r="E141" s="3" t="s">
        <v>104</v>
      </c>
      <c r="F141" s="3" t="s">
        <v>121</v>
      </c>
      <c r="G141" s="3" t="s">
        <v>78</v>
      </c>
      <c r="H141" s="3" t="s">
        <v>43</v>
      </c>
      <c r="I141" s="3" t="s">
        <v>206</v>
      </c>
      <c r="J141" s="3" t="s">
        <v>207</v>
      </c>
      <c r="K141" s="3" t="s">
        <v>46</v>
      </c>
      <c r="L141" s="3" t="s">
        <v>117</v>
      </c>
      <c r="M141" s="3" t="s">
        <v>566</v>
      </c>
      <c r="N141" s="3" t="s">
        <v>83</v>
      </c>
      <c r="O141" s="3" t="s">
        <v>43</v>
      </c>
      <c r="P141" s="5" t="n">
        <v>8</v>
      </c>
      <c r="Q141" s="6" t="n">
        <v>1287.63</v>
      </c>
      <c r="R141" s="3" t="s">
        <v>66</v>
      </c>
      <c r="S141" s="7" t="n">
        <v>0</v>
      </c>
      <c r="T141" s="3" t="s">
        <v>51</v>
      </c>
      <c r="U141" s="7" t="n">
        <f aca="false">IF(T141="Valid",S141,0)</f>
        <v>0</v>
      </c>
      <c r="V141" s="6" t="n">
        <v>10301.04</v>
      </c>
      <c r="W141" s="6" t="n">
        <v>6564.06</v>
      </c>
      <c r="X141" s="6" t="n">
        <v>3736.98</v>
      </c>
      <c r="Y141" s="6" t="n">
        <f aca="false">P141*Q141*(1-U141)</f>
        <v>10301.04</v>
      </c>
      <c r="Z141" s="6" t="n">
        <f aca="false">Y141-W141</f>
        <v>3736.98</v>
      </c>
      <c r="AA141" s="8" t="n">
        <f aca="false">IF(Y141=0,0,Z141/Y141)</f>
        <v>0.362776962326134</v>
      </c>
      <c r="AB141" s="3" t="str">
        <f aca="false">IF(ABS(V141-Y141)&gt;1,"Mismatch","OK")</f>
        <v>OK</v>
      </c>
      <c r="AC141" s="3" t="str">
        <f aca="false">IF(ABS(X141-Z141)&gt;1,"Mismatch","OK")</f>
        <v>OK</v>
      </c>
      <c r="AD141" s="5" t="n">
        <f aca="false">IF(OR(B141="",C141=""),"",C141-B141)</f>
        <v>5</v>
      </c>
      <c r="AE141" s="3" t="str">
        <f aca="false">IF(AD141="","Unknown",IF(AD141&lt;0,"Invalid - Ship Before Order","OK"))</f>
        <v>OK</v>
      </c>
      <c r="AF141" s="5" t="n">
        <f aca="false">IF(B141="","",MONTH(B141))</f>
        <v>3</v>
      </c>
      <c r="AG141" s="5" t="n">
        <f aca="false">IF(B141="","",YEAR(B141))</f>
        <v>2025</v>
      </c>
      <c r="AH141" s="3" t="s">
        <v>52</v>
      </c>
      <c r="AI141" s="3" t="s">
        <v>53</v>
      </c>
      <c r="AJ141" s="3" t="str">
        <f aca="false">IF(AND(AI141="Completed",AH141="Failed"),"Inconsistent - Completed Order with Failed Payment","OK")</f>
        <v>OK</v>
      </c>
      <c r="AK141" s="3" t="s">
        <v>54</v>
      </c>
      <c r="AL141" s="3" t="str">
        <f aca="false">IF(OR(T141="Negative - Invalid",T141="Above Allowed Range - Invalid",AE141="Invalid - Ship Before Order",AK141&lt;&gt;"Unique",AB141="Mismatch",AC141="Mismatch",AJ141&lt;&gt;"OK"),"Invalid",IF(OR(H141="Yes",O141="Yes",T141="Missing"),"Warning","Clean"))</f>
        <v>Clean</v>
      </c>
    </row>
    <row r="142" customFormat="false" ht="15" hidden="false" customHeight="true" outlineLevel="0" collapsed="false">
      <c r="A142" s="3" t="s">
        <v>567</v>
      </c>
      <c r="B142" s="4" t="n">
        <v>45443</v>
      </c>
      <c r="C142" s="4" t="n">
        <v>45444</v>
      </c>
      <c r="D142" s="3" t="s">
        <v>568</v>
      </c>
      <c r="E142" s="3" t="s">
        <v>57</v>
      </c>
      <c r="F142" s="3" t="s">
        <v>116</v>
      </c>
      <c r="G142" s="3" t="s">
        <v>78</v>
      </c>
      <c r="H142" s="3" t="s">
        <v>43</v>
      </c>
      <c r="I142" s="3" t="s">
        <v>206</v>
      </c>
      <c r="J142" s="3" t="s">
        <v>207</v>
      </c>
      <c r="K142" s="3" t="s">
        <v>62</v>
      </c>
      <c r="L142" s="3" t="s">
        <v>188</v>
      </c>
      <c r="M142" s="3" t="s">
        <v>569</v>
      </c>
      <c r="N142" s="3" t="s">
        <v>65</v>
      </c>
      <c r="O142" s="3" t="s">
        <v>43</v>
      </c>
      <c r="P142" s="5" t="n">
        <v>3</v>
      </c>
      <c r="Q142" s="6" t="n">
        <v>2914.55</v>
      </c>
      <c r="R142" s="3" t="s">
        <v>66</v>
      </c>
      <c r="S142" s="7" t="n">
        <v>0</v>
      </c>
      <c r="T142" s="3" t="s">
        <v>51</v>
      </c>
      <c r="U142" s="7" t="n">
        <f aca="false">IF(T142="Valid",S142,0)</f>
        <v>0</v>
      </c>
      <c r="V142" s="6" t="n">
        <v>8743.65</v>
      </c>
      <c r="W142" s="6" t="n">
        <v>6603.76</v>
      </c>
      <c r="X142" s="6" t="n">
        <v>2139.89</v>
      </c>
      <c r="Y142" s="6" t="n">
        <f aca="false">P142*Q142*(1-U142)</f>
        <v>8743.65</v>
      </c>
      <c r="Z142" s="6" t="n">
        <f aca="false">Y142-W142</f>
        <v>2139.89</v>
      </c>
      <c r="AA142" s="8" t="n">
        <f aca="false">IF(Y142=0,0,Z142/Y142)</f>
        <v>0.244736465892391</v>
      </c>
      <c r="AB142" s="3" t="str">
        <f aca="false">IF(ABS(V142-Y142)&gt;1,"Mismatch","OK")</f>
        <v>OK</v>
      </c>
      <c r="AC142" s="3" t="str">
        <f aca="false">IF(ABS(X142-Z142)&gt;1,"Mismatch","OK")</f>
        <v>OK</v>
      </c>
      <c r="AD142" s="5" t="n">
        <f aca="false">IF(OR(B142="",C142=""),"",C142-B142)</f>
        <v>1</v>
      </c>
      <c r="AE142" s="3" t="str">
        <f aca="false">IF(AD142="","Unknown",IF(AD142&lt;0,"Invalid - Ship Before Order","OK"))</f>
        <v>OK</v>
      </c>
      <c r="AF142" s="5" t="n">
        <f aca="false">IF(B142="","",MONTH(B142))</f>
        <v>5</v>
      </c>
      <c r="AG142" s="5" t="n">
        <f aca="false">IF(B142="","",YEAR(B142))</f>
        <v>2024</v>
      </c>
      <c r="AH142" s="3" t="s">
        <v>52</v>
      </c>
      <c r="AI142" s="3" t="s">
        <v>53</v>
      </c>
      <c r="AJ142" s="3" t="str">
        <f aca="false">IF(AND(AI142="Completed",AH142="Failed"),"Inconsistent - Completed Order with Failed Payment","OK")</f>
        <v>OK</v>
      </c>
      <c r="AK142" s="3" t="s">
        <v>54</v>
      </c>
      <c r="AL142" s="3" t="str">
        <f aca="false">IF(OR(T142="Negative - Invalid",T142="Above Allowed Range - Invalid",AE142="Invalid - Ship Before Order",AK142&lt;&gt;"Unique",AB142="Mismatch",AC142="Mismatch",AJ142&lt;&gt;"OK"),"Invalid",IF(OR(H142="Yes",O142="Yes",T142="Missing"),"Warning","Clean"))</f>
        <v>Clean</v>
      </c>
    </row>
    <row r="143" customFormat="false" ht="15" hidden="false" customHeight="true" outlineLevel="0" collapsed="false">
      <c r="A143" s="3" t="s">
        <v>570</v>
      </c>
      <c r="B143" s="4" t="n">
        <v>45374</v>
      </c>
      <c r="C143" s="4" t="n">
        <v>45380</v>
      </c>
      <c r="D143" s="3" t="s">
        <v>571</v>
      </c>
      <c r="E143" s="3" t="s">
        <v>141</v>
      </c>
      <c r="F143" s="3" t="s">
        <v>116</v>
      </c>
      <c r="G143" s="3" t="s">
        <v>42</v>
      </c>
      <c r="H143" s="3" t="s">
        <v>43</v>
      </c>
      <c r="I143" s="3" t="s">
        <v>384</v>
      </c>
      <c r="J143" s="3" t="s">
        <v>385</v>
      </c>
      <c r="K143" s="3" t="s">
        <v>62</v>
      </c>
      <c r="L143" s="3" t="s">
        <v>188</v>
      </c>
      <c r="M143" s="3" t="s">
        <v>572</v>
      </c>
      <c r="N143" s="3" t="s">
        <v>65</v>
      </c>
      <c r="O143" s="3" t="s">
        <v>43</v>
      </c>
      <c r="P143" s="5" t="n">
        <v>7</v>
      </c>
      <c r="Q143" s="6" t="n">
        <v>634.29</v>
      </c>
      <c r="R143" s="3" t="s">
        <v>203</v>
      </c>
      <c r="S143" s="7" t="n">
        <v>0.1</v>
      </c>
      <c r="T143" s="3" t="s">
        <v>51</v>
      </c>
      <c r="U143" s="7" t="n">
        <f aca="false">IF(T143="Valid",S143,0)</f>
        <v>0.1</v>
      </c>
      <c r="V143" s="6" t="n">
        <v>3996.03</v>
      </c>
      <c r="W143" s="6" t="n">
        <v>2859.51</v>
      </c>
      <c r="X143" s="6" t="n">
        <v>1136.52</v>
      </c>
      <c r="Y143" s="6" t="n">
        <f aca="false">P143*Q143*(1-U143)</f>
        <v>3996.027</v>
      </c>
      <c r="Z143" s="6" t="n">
        <f aca="false">Y143-W143</f>
        <v>1136.517</v>
      </c>
      <c r="AA143" s="8" t="n">
        <f aca="false">IF(Y143=0,0,Z143/Y143)</f>
        <v>0.284411741962704</v>
      </c>
      <c r="AB143" s="3" t="str">
        <f aca="false">IF(ABS(V143-Y143)&gt;1,"Mismatch","OK")</f>
        <v>OK</v>
      </c>
      <c r="AC143" s="3" t="str">
        <f aca="false">IF(ABS(X143-Z143)&gt;1,"Mismatch","OK")</f>
        <v>OK</v>
      </c>
      <c r="AD143" s="5" t="n">
        <f aca="false">IF(OR(B143="",C143=""),"",C143-B143)</f>
        <v>6</v>
      </c>
      <c r="AE143" s="3" t="str">
        <f aca="false">IF(AD143="","Unknown",IF(AD143&lt;0,"Invalid - Ship Before Order","OK"))</f>
        <v>OK</v>
      </c>
      <c r="AF143" s="5" t="n">
        <f aca="false">IF(B143="","",MONTH(B143))</f>
        <v>3</v>
      </c>
      <c r="AG143" s="5" t="n">
        <f aca="false">IF(B143="","",YEAR(B143))</f>
        <v>2024</v>
      </c>
      <c r="AH143" s="3" t="s">
        <v>52</v>
      </c>
      <c r="AI143" s="3" t="s">
        <v>130</v>
      </c>
      <c r="AJ143" s="3" t="str">
        <f aca="false">IF(AND(AI143="Completed",AH143="Failed"),"Inconsistent - Completed Order with Failed Payment","OK")</f>
        <v>OK</v>
      </c>
      <c r="AK143" s="3" t="s">
        <v>54</v>
      </c>
      <c r="AL143" s="3" t="str">
        <f aca="false">IF(OR(T143="Negative - Invalid",T143="Above Allowed Range - Invalid",AE143="Invalid - Ship Before Order",AK143&lt;&gt;"Unique",AB143="Mismatch",AC143="Mismatch",AJ143&lt;&gt;"OK"),"Invalid",IF(OR(H143="Yes",O143="Yes",T143="Missing"),"Warning","Clean"))</f>
        <v>Clean</v>
      </c>
    </row>
    <row r="144" customFormat="false" ht="15" hidden="false" customHeight="true" outlineLevel="0" collapsed="false">
      <c r="A144" s="3" t="s">
        <v>573</v>
      </c>
      <c r="B144" s="4" t="n">
        <v>45381</v>
      </c>
      <c r="C144" s="4" t="n">
        <v>45377</v>
      </c>
      <c r="D144" s="3" t="s">
        <v>574</v>
      </c>
      <c r="E144" s="3" t="s">
        <v>115</v>
      </c>
      <c r="F144" s="3" t="s">
        <v>121</v>
      </c>
      <c r="G144" s="3" t="s">
        <v>42</v>
      </c>
      <c r="H144" s="3" t="s">
        <v>43</v>
      </c>
      <c r="I144" s="3" t="s">
        <v>44</v>
      </c>
      <c r="J144" s="3" t="s">
        <v>45</v>
      </c>
      <c r="K144" s="3" t="s">
        <v>99</v>
      </c>
      <c r="L144" s="3" t="s">
        <v>201</v>
      </c>
      <c r="M144" s="3" t="s">
        <v>575</v>
      </c>
      <c r="N144" s="3" t="s">
        <v>49</v>
      </c>
      <c r="O144" s="3" t="s">
        <v>43</v>
      </c>
      <c r="P144" s="5" t="n">
        <v>5</v>
      </c>
      <c r="Q144" s="6" t="n">
        <v>907.54</v>
      </c>
      <c r="R144" s="3" t="s">
        <v>107</v>
      </c>
      <c r="S144" s="7" t="n">
        <v>0.15</v>
      </c>
      <c r="T144" s="3" t="s">
        <v>51</v>
      </c>
      <c r="U144" s="7" t="n">
        <f aca="false">IF(T144="Valid",S144,0)</f>
        <v>0.15</v>
      </c>
      <c r="V144" s="6" t="n">
        <v>3857.04</v>
      </c>
      <c r="W144" s="6" t="n">
        <v>2769.26</v>
      </c>
      <c r="X144" s="6" t="n">
        <v>1087.78</v>
      </c>
      <c r="Y144" s="6" t="n">
        <f aca="false">P144*Q144*(1-U144)</f>
        <v>3857.045</v>
      </c>
      <c r="Z144" s="6" t="n">
        <f aca="false">Y144-W144</f>
        <v>1087.785</v>
      </c>
      <c r="AA144" s="8" t="n">
        <f aca="false">IF(Y144=0,0,Z144/Y144)</f>
        <v>0.282025488424428</v>
      </c>
      <c r="AB144" s="3" t="str">
        <f aca="false">IF(ABS(V144-Y144)&gt;1,"Mismatch","OK")</f>
        <v>OK</v>
      </c>
      <c r="AC144" s="3" t="str">
        <f aca="false">IF(ABS(X144-Z144)&gt;1,"Mismatch","OK")</f>
        <v>OK</v>
      </c>
      <c r="AD144" s="5" t="n">
        <f aca="false">IF(OR(B144="",C144=""),"",C144-B144)</f>
        <v>-4</v>
      </c>
      <c r="AE144" s="3" t="str">
        <f aca="false">IF(AD144="","Unknown",IF(AD144&lt;0,"Invalid - Ship Before Order","OK"))</f>
        <v>Invalid - Ship Before Order</v>
      </c>
      <c r="AF144" s="5" t="n">
        <f aca="false">IF(B144="","",MONTH(B144))</f>
        <v>3</v>
      </c>
      <c r="AG144" s="5" t="n">
        <f aca="false">IF(B144="","",YEAR(B144))</f>
        <v>2024</v>
      </c>
      <c r="AH144" s="3" t="s">
        <v>52</v>
      </c>
      <c r="AI144" s="3" t="s">
        <v>53</v>
      </c>
      <c r="AJ144" s="3" t="str">
        <f aca="false">IF(AND(AI144="Completed",AH144="Failed"),"Inconsistent - Completed Order with Failed Payment","OK")</f>
        <v>OK</v>
      </c>
      <c r="AK144" s="3" t="s">
        <v>417</v>
      </c>
      <c r="AL144" s="3" t="str">
        <f aca="false">IF(OR(T144="Negative - Invalid",T144="Above Allowed Range - Invalid",AE144="Invalid - Ship Before Order",AK144&lt;&gt;"Unique",AB144="Mismatch",AC144="Mismatch",AJ144&lt;&gt;"OK"),"Invalid",IF(OR(H144="Yes",O144="Yes",T144="Missing"),"Warning","Clean"))</f>
        <v>Invalid</v>
      </c>
    </row>
    <row r="145" customFormat="false" ht="15" hidden="false" customHeight="true" outlineLevel="0" collapsed="false">
      <c r="A145" s="3" t="s">
        <v>576</v>
      </c>
      <c r="B145" s="4" t="n">
        <v>45375</v>
      </c>
      <c r="C145" s="4" t="n">
        <v>45377</v>
      </c>
      <c r="D145" s="3" t="s">
        <v>577</v>
      </c>
      <c r="E145" s="3" t="s">
        <v>141</v>
      </c>
      <c r="F145" s="3" t="s">
        <v>41</v>
      </c>
      <c r="G145" s="3" t="s">
        <v>88</v>
      </c>
      <c r="H145" s="3" t="s">
        <v>43</v>
      </c>
      <c r="I145" s="3" t="s">
        <v>211</v>
      </c>
      <c r="J145" s="3" t="s">
        <v>212</v>
      </c>
      <c r="K145" s="3" t="s">
        <v>46</v>
      </c>
      <c r="L145" s="3" t="s">
        <v>47</v>
      </c>
      <c r="M145" s="3" t="s">
        <v>578</v>
      </c>
      <c r="N145" s="3" t="s">
        <v>49</v>
      </c>
      <c r="O145" s="3" t="s">
        <v>43</v>
      </c>
      <c r="P145" s="5" t="n">
        <v>1</v>
      </c>
      <c r="Q145" s="6" t="n">
        <v>3409.5</v>
      </c>
      <c r="R145" s="3" t="s">
        <v>203</v>
      </c>
      <c r="S145" s="7" t="n">
        <v>0.1</v>
      </c>
      <c r="T145" s="3" t="s">
        <v>51</v>
      </c>
      <c r="U145" s="7" t="n">
        <f aca="false">IF(T145="Valid",S145,0)</f>
        <v>0.1</v>
      </c>
      <c r="V145" s="6" t="n">
        <v>3068.55</v>
      </c>
      <c r="W145" s="6" t="n">
        <v>1916.16</v>
      </c>
      <c r="X145" s="6" t="n">
        <v>1152.39</v>
      </c>
      <c r="Y145" s="6" t="n">
        <f aca="false">P145*Q145*(1-U145)</f>
        <v>3068.55</v>
      </c>
      <c r="Z145" s="6" t="n">
        <f aca="false">Y145-W145</f>
        <v>1152.39</v>
      </c>
      <c r="AA145" s="8" t="n">
        <f aca="false">IF(Y145=0,0,Z145/Y145)</f>
        <v>0.375548711932346</v>
      </c>
      <c r="AB145" s="3" t="str">
        <f aca="false">IF(ABS(V145-Y145)&gt;1,"Mismatch","OK")</f>
        <v>OK</v>
      </c>
      <c r="AC145" s="3" t="str">
        <f aca="false">IF(ABS(X145-Z145)&gt;1,"Mismatch","OK")</f>
        <v>OK</v>
      </c>
      <c r="AD145" s="5" t="n">
        <f aca="false">IF(OR(B145="",C145=""),"",C145-B145)</f>
        <v>2</v>
      </c>
      <c r="AE145" s="3" t="str">
        <f aca="false">IF(AD145="","Unknown",IF(AD145&lt;0,"Invalid - Ship Before Order","OK"))</f>
        <v>OK</v>
      </c>
      <c r="AF145" s="5" t="n">
        <f aca="false">IF(B145="","",MONTH(B145))</f>
        <v>3</v>
      </c>
      <c r="AG145" s="5" t="n">
        <f aca="false">IF(B145="","",YEAR(B145))</f>
        <v>2024</v>
      </c>
      <c r="AH145" s="3" t="s">
        <v>52</v>
      </c>
      <c r="AI145" s="3" t="s">
        <v>130</v>
      </c>
      <c r="AJ145" s="3" t="str">
        <f aca="false">IF(AND(AI145="Completed",AH145="Failed"),"Inconsistent - Completed Order with Failed Payment","OK")</f>
        <v>OK</v>
      </c>
      <c r="AK145" s="3" t="s">
        <v>54</v>
      </c>
      <c r="AL145" s="3" t="str">
        <f aca="false">IF(OR(T145="Negative - Invalid",T145="Above Allowed Range - Invalid",AE145="Invalid - Ship Before Order",AK145&lt;&gt;"Unique",AB145="Mismatch",AC145="Mismatch",AJ145&lt;&gt;"OK"),"Invalid",IF(OR(H145="Yes",O145="Yes",T145="Missing"),"Warning","Clean"))</f>
        <v>Clean</v>
      </c>
    </row>
    <row r="146" customFormat="false" ht="15" hidden="false" customHeight="true" outlineLevel="0" collapsed="false">
      <c r="A146" s="3" t="s">
        <v>579</v>
      </c>
      <c r="B146" s="4" t="n">
        <v>45450</v>
      </c>
      <c r="C146" s="4" t="n">
        <v>45458</v>
      </c>
      <c r="D146" s="3" t="s">
        <v>580</v>
      </c>
      <c r="E146" s="3" t="s">
        <v>298</v>
      </c>
      <c r="F146" s="3" t="s">
        <v>58</v>
      </c>
      <c r="G146" s="3" t="s">
        <v>78</v>
      </c>
      <c r="H146" s="3" t="s">
        <v>43</v>
      </c>
      <c r="I146" s="3" t="s">
        <v>79</v>
      </c>
      <c r="J146" s="3" t="s">
        <v>80</v>
      </c>
      <c r="K146" s="3" t="s">
        <v>99</v>
      </c>
      <c r="L146" s="3" t="s">
        <v>100</v>
      </c>
      <c r="M146" s="3" t="s">
        <v>581</v>
      </c>
      <c r="N146" s="3" t="s">
        <v>72</v>
      </c>
      <c r="O146" s="3" t="s">
        <v>43</v>
      </c>
      <c r="P146" s="5" t="n">
        <v>7</v>
      </c>
      <c r="Q146" s="6" t="n">
        <v>2147.99</v>
      </c>
      <c r="R146" s="3" t="s">
        <v>84</v>
      </c>
      <c r="S146" s="7" t="n">
        <v>0.25</v>
      </c>
      <c r="T146" s="3" t="s">
        <v>51</v>
      </c>
      <c r="U146" s="7" t="n">
        <f aca="false">IF(T146="Valid",S146,0)</f>
        <v>0.25</v>
      </c>
      <c r="V146" s="6" t="n">
        <v>11276.95</v>
      </c>
      <c r="W146" s="6" t="n">
        <v>6908.76</v>
      </c>
      <c r="X146" s="6" t="n">
        <v>4368.19</v>
      </c>
      <c r="Y146" s="6" t="n">
        <f aca="false">P146*Q146*(1-U146)</f>
        <v>11276.9475</v>
      </c>
      <c r="Z146" s="6" t="n">
        <f aca="false">Y146-W146</f>
        <v>4368.1875</v>
      </c>
      <c r="AA146" s="8" t="n">
        <f aca="false">IF(Y146=0,0,Z146/Y146)</f>
        <v>0.387355487821505</v>
      </c>
      <c r="AB146" s="3" t="str">
        <f aca="false">IF(ABS(V146-Y146)&gt;1,"Mismatch","OK")</f>
        <v>OK</v>
      </c>
      <c r="AC146" s="3" t="str">
        <f aca="false">IF(ABS(X146-Z146)&gt;1,"Mismatch","OK")</f>
        <v>OK</v>
      </c>
      <c r="AD146" s="5" t="n">
        <f aca="false">IF(OR(B146="",C146=""),"",C146-B146)</f>
        <v>8</v>
      </c>
      <c r="AE146" s="3" t="str">
        <f aca="false">IF(AD146="","Unknown",IF(AD146&lt;0,"Invalid - Ship Before Order","OK"))</f>
        <v>OK</v>
      </c>
      <c r="AF146" s="5" t="n">
        <f aca="false">IF(B146="","",MONTH(B146))</f>
        <v>6</v>
      </c>
      <c r="AG146" s="5" t="n">
        <f aca="false">IF(B146="","",YEAR(B146))</f>
        <v>2024</v>
      </c>
      <c r="AH146" s="3" t="s">
        <v>129</v>
      </c>
      <c r="AI146" s="3" t="s">
        <v>130</v>
      </c>
      <c r="AJ146" s="3" t="str">
        <f aca="false">IF(AND(AI146="Completed",AH146="Failed"),"Inconsistent - Completed Order with Failed Payment","OK")</f>
        <v>OK</v>
      </c>
      <c r="AK146" s="3" t="s">
        <v>54</v>
      </c>
      <c r="AL146" s="3" t="str">
        <f aca="false">IF(OR(T146="Negative - Invalid",T146="Above Allowed Range - Invalid",AE146="Invalid - Ship Before Order",AK146&lt;&gt;"Unique",AB146="Mismatch",AC146="Mismatch",AJ146&lt;&gt;"OK"),"Invalid",IF(OR(H146="Yes",O146="Yes",T146="Missing"),"Warning","Clean"))</f>
        <v>Clean</v>
      </c>
    </row>
    <row r="147" customFormat="false" ht="15" hidden="false" customHeight="true" outlineLevel="0" collapsed="false">
      <c r="A147" s="3" t="s">
        <v>582</v>
      </c>
      <c r="B147" s="4" t="n">
        <v>45758</v>
      </c>
      <c r="C147" s="4" t="n">
        <v>45760</v>
      </c>
      <c r="D147" s="3" t="s">
        <v>583</v>
      </c>
      <c r="E147" s="3" t="s">
        <v>57</v>
      </c>
      <c r="F147" s="3" t="s">
        <v>58</v>
      </c>
      <c r="G147" s="3" t="s">
        <v>88</v>
      </c>
      <c r="H147" s="3" t="s">
        <v>43</v>
      </c>
      <c r="I147" s="3" t="s">
        <v>221</v>
      </c>
      <c r="J147" s="3" t="s">
        <v>222</v>
      </c>
      <c r="K147" s="3" t="s">
        <v>46</v>
      </c>
      <c r="L147" s="3" t="s">
        <v>47</v>
      </c>
      <c r="M147" s="3" t="s">
        <v>584</v>
      </c>
      <c r="N147" s="3" t="s">
        <v>83</v>
      </c>
      <c r="O147" s="3" t="s">
        <v>43</v>
      </c>
      <c r="P147" s="5" t="n">
        <v>4</v>
      </c>
      <c r="Q147" s="6" t="n">
        <v>4182.15</v>
      </c>
      <c r="R147" s="3" t="s">
        <v>203</v>
      </c>
      <c r="S147" s="7" t="n">
        <v>0.1</v>
      </c>
      <c r="T147" s="3" t="s">
        <v>51</v>
      </c>
      <c r="U147" s="7" t="n">
        <f aca="false">IF(T147="Valid",S147,0)</f>
        <v>0.1</v>
      </c>
      <c r="V147" s="6" t="n">
        <v>15055.74</v>
      </c>
      <c r="W147" s="6" t="n">
        <v>9808.83</v>
      </c>
      <c r="X147" s="6" t="n">
        <v>5246.91</v>
      </c>
      <c r="Y147" s="6" t="n">
        <f aca="false">P147*Q147*(1-U147)</f>
        <v>15055.74</v>
      </c>
      <c r="Z147" s="6" t="n">
        <f aca="false">Y147-W147</f>
        <v>5246.91</v>
      </c>
      <c r="AA147" s="8" t="n">
        <f aca="false">IF(Y147=0,0,Z147/Y147)</f>
        <v>0.348498977798501</v>
      </c>
      <c r="AB147" s="3" t="str">
        <f aca="false">IF(ABS(V147-Y147)&gt;1,"Mismatch","OK")</f>
        <v>OK</v>
      </c>
      <c r="AC147" s="3" t="str">
        <f aca="false">IF(ABS(X147-Z147)&gt;1,"Mismatch","OK")</f>
        <v>OK</v>
      </c>
      <c r="AD147" s="5" t="n">
        <f aca="false">IF(OR(B147="",C147=""),"",C147-B147)</f>
        <v>2</v>
      </c>
      <c r="AE147" s="3" t="str">
        <f aca="false">IF(AD147="","Unknown",IF(AD147&lt;0,"Invalid - Ship Before Order","OK"))</f>
        <v>OK</v>
      </c>
      <c r="AF147" s="5" t="n">
        <f aca="false">IF(B147="","",MONTH(B147))</f>
        <v>4</v>
      </c>
      <c r="AG147" s="5" t="n">
        <f aca="false">IF(B147="","",YEAR(B147))</f>
        <v>2025</v>
      </c>
      <c r="AH147" s="3" t="s">
        <v>52</v>
      </c>
      <c r="AI147" s="3" t="s">
        <v>53</v>
      </c>
      <c r="AJ147" s="3" t="str">
        <f aca="false">IF(AND(AI147="Completed",AH147="Failed"),"Inconsistent - Completed Order with Failed Payment","OK")</f>
        <v>OK</v>
      </c>
      <c r="AK147" s="3" t="s">
        <v>54</v>
      </c>
      <c r="AL147" s="3" t="str">
        <f aca="false">IF(OR(T147="Negative - Invalid",T147="Above Allowed Range - Invalid",AE147="Invalid - Ship Before Order",AK147&lt;&gt;"Unique",AB147="Mismatch",AC147="Mismatch",AJ147&lt;&gt;"OK"),"Invalid",IF(OR(H147="Yes",O147="Yes",T147="Missing"),"Warning","Clean"))</f>
        <v>Clean</v>
      </c>
    </row>
    <row r="148" customFormat="false" ht="15" hidden="false" customHeight="true" outlineLevel="0" collapsed="false">
      <c r="A148" s="3" t="s">
        <v>585</v>
      </c>
      <c r="B148" s="4" t="n">
        <v>45868</v>
      </c>
      <c r="C148" s="4" t="n">
        <v>45870</v>
      </c>
      <c r="D148" s="3" t="s">
        <v>586</v>
      </c>
      <c r="E148" s="3" t="s">
        <v>159</v>
      </c>
      <c r="F148" s="3" t="s">
        <v>58</v>
      </c>
      <c r="G148" s="3" t="s">
        <v>78</v>
      </c>
      <c r="H148" s="3" t="s">
        <v>43</v>
      </c>
      <c r="I148" s="3" t="s">
        <v>281</v>
      </c>
      <c r="J148" s="3" t="s">
        <v>282</v>
      </c>
      <c r="K148" s="3" t="s">
        <v>46</v>
      </c>
      <c r="L148" s="3" t="s">
        <v>151</v>
      </c>
      <c r="M148" s="3" t="s">
        <v>587</v>
      </c>
      <c r="N148" s="3" t="s">
        <v>65</v>
      </c>
      <c r="O148" s="3" t="s">
        <v>43</v>
      </c>
      <c r="P148" s="5" t="n">
        <v>9</v>
      </c>
      <c r="Q148" s="6" t="n">
        <v>3165.43</v>
      </c>
      <c r="R148" s="3" t="s">
        <v>203</v>
      </c>
      <c r="S148" s="7" t="n">
        <v>0.1</v>
      </c>
      <c r="T148" s="3" t="s">
        <v>51</v>
      </c>
      <c r="U148" s="7" t="n">
        <f aca="false">IF(T148="Valid",S148,0)</f>
        <v>0.1</v>
      </c>
      <c r="V148" s="6" t="n">
        <v>25639.98</v>
      </c>
      <c r="W148" s="6" t="n">
        <v>21635.08</v>
      </c>
      <c r="X148" s="6" t="n">
        <v>4004.9</v>
      </c>
      <c r="Y148" s="6" t="n">
        <f aca="false">P148*Q148*(1-U148)</f>
        <v>25639.983</v>
      </c>
      <c r="Z148" s="6" t="n">
        <f aca="false">Y148-W148</f>
        <v>4004.903</v>
      </c>
      <c r="AA148" s="8" t="n">
        <f aca="false">IF(Y148=0,0,Z148/Y148)</f>
        <v>0.156197568461726</v>
      </c>
      <c r="AB148" s="3" t="str">
        <f aca="false">IF(ABS(V148-Y148)&gt;1,"Mismatch","OK")</f>
        <v>OK</v>
      </c>
      <c r="AC148" s="3" t="str">
        <f aca="false">IF(ABS(X148-Z148)&gt;1,"Mismatch","OK")</f>
        <v>OK</v>
      </c>
      <c r="AD148" s="5" t="n">
        <f aca="false">IF(OR(B148="",C148=""),"",C148-B148)</f>
        <v>2</v>
      </c>
      <c r="AE148" s="3" t="str">
        <f aca="false">IF(AD148="","Unknown",IF(AD148&lt;0,"Invalid - Ship Before Order","OK"))</f>
        <v>OK</v>
      </c>
      <c r="AF148" s="5" t="n">
        <f aca="false">IF(B148="","",MONTH(B148))</f>
        <v>7</v>
      </c>
      <c r="AG148" s="5" t="n">
        <f aca="false">IF(B148="","",YEAR(B148))</f>
        <v>2025</v>
      </c>
      <c r="AH148" s="3" t="s">
        <v>52</v>
      </c>
      <c r="AI148" s="3" t="s">
        <v>53</v>
      </c>
      <c r="AJ148" s="3" t="str">
        <f aca="false">IF(AND(AI148="Completed",AH148="Failed"),"Inconsistent - Completed Order with Failed Payment","OK")</f>
        <v>OK</v>
      </c>
      <c r="AK148" s="3" t="s">
        <v>54</v>
      </c>
      <c r="AL148" s="3" t="str">
        <f aca="false">IF(OR(T148="Negative - Invalid",T148="Above Allowed Range - Invalid",AE148="Invalid - Ship Before Order",AK148&lt;&gt;"Unique",AB148="Mismatch",AC148="Mismatch",AJ148&lt;&gt;"OK"),"Invalid",IF(OR(H148="Yes",O148="Yes",T148="Missing"),"Warning","Clean"))</f>
        <v>Clean</v>
      </c>
    </row>
    <row r="149" customFormat="false" ht="15" hidden="false" customHeight="true" outlineLevel="0" collapsed="false">
      <c r="A149" s="3" t="s">
        <v>588</v>
      </c>
      <c r="B149" s="4" t="n">
        <v>45649</v>
      </c>
      <c r="C149" s="4" t="n">
        <v>45656</v>
      </c>
      <c r="D149" s="3" t="s">
        <v>589</v>
      </c>
      <c r="E149" s="3" t="s">
        <v>141</v>
      </c>
      <c r="F149" s="3" t="s">
        <v>121</v>
      </c>
      <c r="G149" s="3" t="s">
        <v>88</v>
      </c>
      <c r="H149" s="3" t="s">
        <v>43</v>
      </c>
      <c r="I149" s="3" t="s">
        <v>221</v>
      </c>
      <c r="J149" s="3" t="s">
        <v>222</v>
      </c>
      <c r="K149" s="3" t="s">
        <v>62</v>
      </c>
      <c r="L149" s="3" t="s">
        <v>81</v>
      </c>
      <c r="M149" s="3" t="s">
        <v>590</v>
      </c>
      <c r="N149" s="3" t="s">
        <v>72</v>
      </c>
      <c r="O149" s="3" t="s">
        <v>43</v>
      </c>
      <c r="P149" s="5" t="n">
        <v>8</v>
      </c>
      <c r="Q149" s="6" t="n">
        <v>386.1</v>
      </c>
      <c r="R149" s="3" t="s">
        <v>203</v>
      </c>
      <c r="S149" s="7" t="n">
        <v>0.1</v>
      </c>
      <c r="T149" s="3" t="s">
        <v>51</v>
      </c>
      <c r="U149" s="7" t="n">
        <f aca="false">IF(T149="Valid",S149,0)</f>
        <v>0.1</v>
      </c>
      <c r="V149" s="6" t="n">
        <v>2779.92</v>
      </c>
      <c r="W149" s="6" t="n">
        <v>1744.05</v>
      </c>
      <c r="X149" s="6" t="n">
        <v>1035.87</v>
      </c>
      <c r="Y149" s="6" t="n">
        <f aca="false">P149*Q149*(1-U149)</f>
        <v>2779.92</v>
      </c>
      <c r="Z149" s="6" t="n">
        <f aca="false">Y149-W149</f>
        <v>1035.87</v>
      </c>
      <c r="AA149" s="8" t="n">
        <f aca="false">IF(Y149=0,0,Z149/Y149)</f>
        <v>0.372625830959164</v>
      </c>
      <c r="AB149" s="3" t="str">
        <f aca="false">IF(ABS(V149-Y149)&gt;1,"Mismatch","OK")</f>
        <v>OK</v>
      </c>
      <c r="AC149" s="3" t="str">
        <f aca="false">IF(ABS(X149-Z149)&gt;1,"Mismatch","OK")</f>
        <v>OK</v>
      </c>
      <c r="AD149" s="5" t="n">
        <f aca="false">IF(OR(B149="",C149=""),"",C149-B149)</f>
        <v>7</v>
      </c>
      <c r="AE149" s="3" t="str">
        <f aca="false">IF(AD149="","Unknown",IF(AD149&lt;0,"Invalid - Ship Before Order","OK"))</f>
        <v>OK</v>
      </c>
      <c r="AF149" s="5" t="n">
        <f aca="false">IF(B149="","",MONTH(B149))</f>
        <v>12</v>
      </c>
      <c r="AG149" s="5" t="n">
        <f aca="false">IF(B149="","",YEAR(B149))</f>
        <v>2024</v>
      </c>
      <c r="AH149" s="3" t="s">
        <v>52</v>
      </c>
      <c r="AI149" s="3" t="s">
        <v>53</v>
      </c>
      <c r="AJ149" s="3" t="str">
        <f aca="false">IF(AND(AI149="Completed",AH149="Failed"),"Inconsistent - Completed Order with Failed Payment","OK")</f>
        <v>OK</v>
      </c>
      <c r="AK149" s="3" t="s">
        <v>54</v>
      </c>
      <c r="AL149" s="3" t="str">
        <f aca="false">IF(OR(T149="Negative - Invalid",T149="Above Allowed Range - Invalid",AE149="Invalid - Ship Before Order",AK149&lt;&gt;"Unique",AB149="Mismatch",AC149="Mismatch",AJ149&lt;&gt;"OK"),"Invalid",IF(OR(H149="Yes",O149="Yes",T149="Missing"),"Warning","Clean"))</f>
        <v>Clean</v>
      </c>
    </row>
    <row r="150" customFormat="false" ht="15" hidden="false" customHeight="true" outlineLevel="0" collapsed="false">
      <c r="A150" s="3" t="s">
        <v>591</v>
      </c>
      <c r="B150" s="4" t="n">
        <v>45697</v>
      </c>
      <c r="C150" s="4" t="n">
        <v>45701</v>
      </c>
      <c r="D150" s="3" t="s">
        <v>592</v>
      </c>
      <c r="E150" s="3" t="s">
        <v>57</v>
      </c>
      <c r="F150" s="3" t="s">
        <v>121</v>
      </c>
      <c r="G150" s="3" t="s">
        <v>88</v>
      </c>
      <c r="H150" s="3" t="s">
        <v>43</v>
      </c>
      <c r="I150" s="3" t="s">
        <v>97</v>
      </c>
      <c r="J150" s="3" t="s">
        <v>98</v>
      </c>
      <c r="K150" s="3" t="s">
        <v>99</v>
      </c>
      <c r="L150" s="3" t="s">
        <v>201</v>
      </c>
      <c r="M150" s="3" t="s">
        <v>593</v>
      </c>
      <c r="N150" s="3" t="s">
        <v>237</v>
      </c>
      <c r="O150" s="3" t="s">
        <v>238</v>
      </c>
      <c r="P150" s="5" t="n">
        <v>8</v>
      </c>
      <c r="Q150" s="6" t="n">
        <v>1696.07</v>
      </c>
      <c r="R150" s="3" t="s">
        <v>84</v>
      </c>
      <c r="S150" s="7" t="n">
        <v>0.25</v>
      </c>
      <c r="T150" s="3" t="s">
        <v>51</v>
      </c>
      <c r="U150" s="7" t="n">
        <f aca="false">IF(T150="Valid",S150,0)</f>
        <v>0.25</v>
      </c>
      <c r="V150" s="6" t="n">
        <v>10176.42</v>
      </c>
      <c r="W150" s="6" t="n">
        <v>7604.47</v>
      </c>
      <c r="X150" s="6" t="n">
        <v>2571.95</v>
      </c>
      <c r="Y150" s="6" t="n">
        <f aca="false">P150*Q150*(1-U150)</f>
        <v>10176.42</v>
      </c>
      <c r="Z150" s="6" t="n">
        <f aca="false">Y150-W150</f>
        <v>2571.95</v>
      </c>
      <c r="AA150" s="8" t="n">
        <f aca="false">IF(Y150=0,0,Z150/Y150)</f>
        <v>0.252736227474888</v>
      </c>
      <c r="AB150" s="3" t="str">
        <f aca="false">IF(ABS(V150-Y150)&gt;1,"Mismatch","OK")</f>
        <v>OK</v>
      </c>
      <c r="AC150" s="3" t="str">
        <f aca="false">IF(ABS(X150-Z150)&gt;1,"Mismatch","OK")</f>
        <v>OK</v>
      </c>
      <c r="AD150" s="5" t="n">
        <f aca="false">IF(OR(B150="",C150=""),"",C150-B150)</f>
        <v>4</v>
      </c>
      <c r="AE150" s="3" t="str">
        <f aca="false">IF(AD150="","Unknown",IF(AD150&lt;0,"Invalid - Ship Before Order","OK"))</f>
        <v>OK</v>
      </c>
      <c r="AF150" s="5" t="n">
        <f aca="false">IF(B150="","",MONTH(B150))</f>
        <v>2</v>
      </c>
      <c r="AG150" s="5" t="n">
        <f aca="false">IF(B150="","",YEAR(B150))</f>
        <v>2025</v>
      </c>
      <c r="AH150" s="3" t="s">
        <v>52</v>
      </c>
      <c r="AI150" s="3" t="s">
        <v>53</v>
      </c>
      <c r="AJ150" s="3" t="str">
        <f aca="false">IF(AND(AI150="Completed",AH150="Failed"),"Inconsistent - Completed Order with Failed Payment","OK")</f>
        <v>OK</v>
      </c>
      <c r="AK150" s="3" t="s">
        <v>54</v>
      </c>
      <c r="AL150" s="3" t="str">
        <f aca="false">IF(OR(T150="Negative - Invalid",T150="Above Allowed Range - Invalid",AE150="Invalid - Ship Before Order",AK150&lt;&gt;"Unique",AB150="Mismatch",AC150="Mismatch",AJ150&lt;&gt;"OK"),"Invalid",IF(OR(H150="Yes",O150="Yes",T150="Missing"),"Warning","Clean"))</f>
        <v>Warning</v>
      </c>
    </row>
    <row r="151" customFormat="false" ht="15" hidden="false" customHeight="true" outlineLevel="0" collapsed="false">
      <c r="A151" s="3" t="s">
        <v>594</v>
      </c>
      <c r="B151" s="4" t="n">
        <v>45321</v>
      </c>
      <c r="C151" s="4" t="n">
        <v>45321</v>
      </c>
      <c r="D151" s="3" t="s">
        <v>595</v>
      </c>
      <c r="E151" s="3" t="s">
        <v>155</v>
      </c>
      <c r="F151" s="3" t="s">
        <v>58</v>
      </c>
      <c r="G151" s="3" t="s">
        <v>88</v>
      </c>
      <c r="H151" s="3" t="s">
        <v>43</v>
      </c>
      <c r="I151" s="3" t="s">
        <v>44</v>
      </c>
      <c r="J151" s="3" t="s">
        <v>136</v>
      </c>
      <c r="K151" s="3" t="s">
        <v>99</v>
      </c>
      <c r="L151" s="3" t="s">
        <v>105</v>
      </c>
      <c r="M151" s="3" t="s">
        <v>596</v>
      </c>
      <c r="N151" s="3" t="s">
        <v>65</v>
      </c>
      <c r="O151" s="3" t="s">
        <v>43</v>
      </c>
      <c r="P151" s="5" t="n">
        <v>7</v>
      </c>
      <c r="Q151" s="6" t="n">
        <v>2527.61</v>
      </c>
      <c r="R151" s="3" t="s">
        <v>84</v>
      </c>
      <c r="S151" s="7" t="n">
        <v>0.25</v>
      </c>
      <c r="T151" s="3" t="s">
        <v>51</v>
      </c>
      <c r="U151" s="7" t="n">
        <f aca="false">IF(T151="Valid",S151,0)</f>
        <v>0.25</v>
      </c>
      <c r="V151" s="6" t="n">
        <v>13269.95</v>
      </c>
      <c r="W151" s="6" t="n">
        <v>8977.1</v>
      </c>
      <c r="X151" s="6" t="n">
        <v>4292.85</v>
      </c>
      <c r="Y151" s="6" t="n">
        <f aca="false">P151*Q151*(1-U151)</f>
        <v>13269.9525</v>
      </c>
      <c r="Z151" s="6" t="n">
        <f aca="false">Y151-W151</f>
        <v>4292.8525</v>
      </c>
      <c r="AA151" s="8" t="n">
        <f aca="false">IF(Y151=0,0,Z151/Y151)</f>
        <v>0.323501723159898</v>
      </c>
      <c r="AB151" s="3" t="str">
        <f aca="false">IF(ABS(V151-Y151)&gt;1,"Mismatch","OK")</f>
        <v>OK</v>
      </c>
      <c r="AC151" s="3" t="str">
        <f aca="false">IF(ABS(X151-Z151)&gt;1,"Mismatch","OK")</f>
        <v>OK</v>
      </c>
      <c r="AD151" s="5" t="n">
        <f aca="false">IF(OR(B151="",C151=""),"",C151-B151)</f>
        <v>0</v>
      </c>
      <c r="AE151" s="3" t="str">
        <f aca="false">IF(AD151="","Unknown",IF(AD151&lt;0,"Invalid - Ship Before Order","OK"))</f>
        <v>OK</v>
      </c>
      <c r="AF151" s="5" t="n">
        <f aca="false">IF(B151="","",MONTH(B151))</f>
        <v>1</v>
      </c>
      <c r="AG151" s="5" t="n">
        <f aca="false">IF(B151="","",YEAR(B151))</f>
        <v>2024</v>
      </c>
      <c r="AH151" s="3" t="s">
        <v>52</v>
      </c>
      <c r="AI151" s="3" t="s">
        <v>53</v>
      </c>
      <c r="AJ151" s="3" t="str">
        <f aca="false">IF(AND(AI151="Completed",AH151="Failed"),"Inconsistent - Completed Order with Failed Payment","OK")</f>
        <v>OK</v>
      </c>
      <c r="AK151" s="3" t="s">
        <v>54</v>
      </c>
      <c r="AL151" s="3" t="str">
        <f aca="false">IF(OR(T151="Negative - Invalid",T151="Above Allowed Range - Invalid",AE151="Invalid - Ship Before Order",AK151&lt;&gt;"Unique",AB151="Mismatch",AC151="Mismatch",AJ151&lt;&gt;"OK"),"Invalid",IF(OR(H151="Yes",O151="Yes",T151="Missing"),"Warning","Clean"))</f>
        <v>Clean</v>
      </c>
    </row>
    <row r="152" customFormat="false" ht="15" hidden="false" customHeight="true" outlineLevel="0" collapsed="false">
      <c r="A152" s="3" t="s">
        <v>597</v>
      </c>
      <c r="B152" s="4" t="n">
        <v>45355</v>
      </c>
      <c r="C152" s="4" t="n">
        <v>45363</v>
      </c>
      <c r="D152" s="3" t="s">
        <v>598</v>
      </c>
      <c r="E152" s="3" t="s">
        <v>77</v>
      </c>
      <c r="F152" s="3" t="s">
        <v>41</v>
      </c>
      <c r="G152" s="3" t="s">
        <v>237</v>
      </c>
      <c r="H152" s="3" t="s">
        <v>238</v>
      </c>
      <c r="I152" s="3" t="s">
        <v>211</v>
      </c>
      <c r="J152" s="3" t="s">
        <v>212</v>
      </c>
      <c r="K152" s="3" t="s">
        <v>62</v>
      </c>
      <c r="L152" s="3" t="s">
        <v>188</v>
      </c>
      <c r="M152" s="3" t="s">
        <v>599</v>
      </c>
      <c r="N152" s="3" t="s">
        <v>72</v>
      </c>
      <c r="O152" s="3" t="s">
        <v>43</v>
      </c>
      <c r="P152" s="5" t="n">
        <v>1</v>
      </c>
      <c r="Q152" s="6" t="n">
        <v>1554.12</v>
      </c>
      <c r="R152" s="3" t="s">
        <v>203</v>
      </c>
      <c r="S152" s="7" t="n">
        <v>0.1</v>
      </c>
      <c r="T152" s="3" t="s">
        <v>51</v>
      </c>
      <c r="U152" s="7" t="n">
        <f aca="false">IF(T152="Valid",S152,0)</f>
        <v>0.1</v>
      </c>
      <c r="V152" s="6" t="n">
        <v>1398.71</v>
      </c>
      <c r="W152" s="6" t="n">
        <v>1056.92</v>
      </c>
      <c r="X152" s="6" t="n">
        <v>341.79</v>
      </c>
      <c r="Y152" s="6" t="n">
        <f aca="false">P152*Q152*(1-U152)</f>
        <v>1398.708</v>
      </c>
      <c r="Z152" s="6" t="n">
        <f aca="false">Y152-W152</f>
        <v>341.788</v>
      </c>
      <c r="AA152" s="8" t="n">
        <f aca="false">IF(Y152=0,0,Z152/Y152)</f>
        <v>0.244359794896433</v>
      </c>
      <c r="AB152" s="3" t="str">
        <f aca="false">IF(ABS(V152-Y152)&gt;1,"Mismatch","OK")</f>
        <v>OK</v>
      </c>
      <c r="AC152" s="3" t="str">
        <f aca="false">IF(ABS(X152-Z152)&gt;1,"Mismatch","OK")</f>
        <v>OK</v>
      </c>
      <c r="AD152" s="5" t="n">
        <f aca="false">IF(OR(B152="",C152=""),"",C152-B152)</f>
        <v>8</v>
      </c>
      <c r="AE152" s="3" t="str">
        <f aca="false">IF(AD152="","Unknown",IF(AD152&lt;0,"Invalid - Ship Before Order","OK"))</f>
        <v>OK</v>
      </c>
      <c r="AF152" s="5" t="n">
        <f aca="false">IF(B152="","",MONTH(B152))</f>
        <v>3</v>
      </c>
      <c r="AG152" s="5" t="n">
        <f aca="false">IF(B152="","",YEAR(B152))</f>
        <v>2024</v>
      </c>
      <c r="AH152" s="3" t="s">
        <v>52</v>
      </c>
      <c r="AI152" s="3" t="s">
        <v>53</v>
      </c>
      <c r="AJ152" s="3" t="str">
        <f aca="false">IF(AND(AI152="Completed",AH152="Failed"),"Inconsistent - Completed Order with Failed Payment","OK")</f>
        <v>OK</v>
      </c>
      <c r="AK152" s="3" t="s">
        <v>54</v>
      </c>
      <c r="AL152" s="3" t="str">
        <f aca="false">IF(OR(T152="Negative - Invalid",T152="Above Allowed Range - Invalid",AE152="Invalid - Ship Before Order",AK152&lt;&gt;"Unique",AB152="Mismatch",AC152="Mismatch",AJ152&lt;&gt;"OK"),"Invalid",IF(OR(H152="Yes",O152="Yes",T152="Missing"),"Warning","Clean"))</f>
        <v>Warning</v>
      </c>
    </row>
    <row r="153" customFormat="false" ht="15" hidden="false" customHeight="true" outlineLevel="0" collapsed="false">
      <c r="A153" s="3" t="s">
        <v>600</v>
      </c>
      <c r="B153" s="4" t="n">
        <v>45470</v>
      </c>
      <c r="C153" s="4" t="n">
        <v>45470</v>
      </c>
      <c r="D153" s="3" t="s">
        <v>601</v>
      </c>
      <c r="E153" s="3" t="s">
        <v>104</v>
      </c>
      <c r="F153" s="3" t="s">
        <v>121</v>
      </c>
      <c r="G153" s="3" t="s">
        <v>237</v>
      </c>
      <c r="H153" s="3" t="s">
        <v>238</v>
      </c>
      <c r="I153" s="3" t="s">
        <v>97</v>
      </c>
      <c r="J153" s="3" t="s">
        <v>98</v>
      </c>
      <c r="K153" s="3" t="s">
        <v>99</v>
      </c>
      <c r="L153" s="3" t="s">
        <v>105</v>
      </c>
      <c r="M153" s="3" t="s">
        <v>602</v>
      </c>
      <c r="N153" s="3" t="s">
        <v>83</v>
      </c>
      <c r="O153" s="3" t="s">
        <v>43</v>
      </c>
      <c r="P153" s="5" t="n">
        <v>2</v>
      </c>
      <c r="Q153" s="6" t="n">
        <v>3859.11</v>
      </c>
      <c r="R153" s="3" t="s">
        <v>66</v>
      </c>
      <c r="S153" s="7" t="n">
        <v>0</v>
      </c>
      <c r="T153" s="3" t="s">
        <v>51</v>
      </c>
      <c r="U153" s="7" t="n">
        <f aca="false">IF(T153="Valid",S153,0)</f>
        <v>0</v>
      </c>
      <c r="V153" s="6" t="n">
        <v>7718.22</v>
      </c>
      <c r="W153" s="6" t="n">
        <v>5355.93</v>
      </c>
      <c r="X153" s="6" t="n">
        <v>2362.29</v>
      </c>
      <c r="Y153" s="6" t="n">
        <f aca="false">P153*Q153*(1-U153)</f>
        <v>7718.22</v>
      </c>
      <c r="Z153" s="6" t="n">
        <f aca="false">Y153-W153</f>
        <v>2362.29</v>
      </c>
      <c r="AA153" s="8" t="n">
        <f aca="false">IF(Y153=0,0,Z153/Y153)</f>
        <v>0.306066683769056</v>
      </c>
      <c r="AB153" s="3" t="str">
        <f aca="false">IF(ABS(V153-Y153)&gt;1,"Mismatch","OK")</f>
        <v>OK</v>
      </c>
      <c r="AC153" s="3" t="str">
        <f aca="false">IF(ABS(X153-Z153)&gt;1,"Mismatch","OK")</f>
        <v>OK</v>
      </c>
      <c r="AD153" s="5" t="n">
        <f aca="false">IF(OR(B153="",C153=""),"",C153-B153)</f>
        <v>0</v>
      </c>
      <c r="AE153" s="3" t="str">
        <f aca="false">IF(AD153="","Unknown",IF(AD153&lt;0,"Invalid - Ship Before Order","OK"))</f>
        <v>OK</v>
      </c>
      <c r="AF153" s="5" t="n">
        <f aca="false">IF(B153="","",MONTH(B153))</f>
        <v>6</v>
      </c>
      <c r="AG153" s="5" t="n">
        <f aca="false">IF(B153="","",YEAR(B153))</f>
        <v>2024</v>
      </c>
      <c r="AH153" s="3" t="s">
        <v>138</v>
      </c>
      <c r="AI153" s="3" t="s">
        <v>130</v>
      </c>
      <c r="AJ153" s="3" t="str">
        <f aca="false">IF(AND(AI153="Completed",AH153="Failed"),"Inconsistent - Completed Order with Failed Payment","OK")</f>
        <v>OK</v>
      </c>
      <c r="AK153" s="3" t="s">
        <v>54</v>
      </c>
      <c r="AL153" s="3" t="str">
        <f aca="false">IF(OR(T153="Negative - Invalid",T153="Above Allowed Range - Invalid",AE153="Invalid - Ship Before Order",AK153&lt;&gt;"Unique",AB153="Mismatch",AC153="Mismatch",AJ153&lt;&gt;"OK"),"Invalid",IF(OR(H153="Yes",O153="Yes",T153="Missing"),"Warning","Clean"))</f>
        <v>Warning</v>
      </c>
    </row>
    <row r="154" customFormat="false" ht="15" hidden="false" customHeight="true" outlineLevel="0" collapsed="false">
      <c r="A154" s="3" t="s">
        <v>603</v>
      </c>
      <c r="B154" s="4" t="n">
        <v>45457</v>
      </c>
      <c r="C154" s="4" t="n">
        <v>45460</v>
      </c>
      <c r="D154" s="3" t="s">
        <v>604</v>
      </c>
      <c r="E154" s="3" t="s">
        <v>298</v>
      </c>
      <c r="F154" s="3" t="s">
        <v>58</v>
      </c>
      <c r="G154" s="3" t="s">
        <v>78</v>
      </c>
      <c r="H154" s="3" t="s">
        <v>43</v>
      </c>
      <c r="I154" s="3" t="s">
        <v>216</v>
      </c>
      <c r="J154" s="3" t="s">
        <v>217</v>
      </c>
      <c r="K154" s="3" t="s">
        <v>62</v>
      </c>
      <c r="L154" s="3" t="s">
        <v>63</v>
      </c>
      <c r="M154" s="3" t="s">
        <v>605</v>
      </c>
      <c r="N154" s="3" t="s">
        <v>49</v>
      </c>
      <c r="O154" s="3" t="s">
        <v>43</v>
      </c>
      <c r="P154" s="5" t="n">
        <v>6</v>
      </c>
      <c r="Q154" s="6" t="n">
        <v>1088.04</v>
      </c>
      <c r="R154" s="3" t="s">
        <v>203</v>
      </c>
      <c r="S154" s="7" t="n">
        <v>0.1</v>
      </c>
      <c r="T154" s="3" t="s">
        <v>51</v>
      </c>
      <c r="U154" s="7" t="n">
        <f aca="false">IF(T154="Valid",S154,0)</f>
        <v>0.1</v>
      </c>
      <c r="V154" s="6" t="n">
        <v>5875.42</v>
      </c>
      <c r="W154" s="6" t="n">
        <v>4380.55</v>
      </c>
      <c r="X154" s="6" t="n">
        <v>1494.87</v>
      </c>
      <c r="Y154" s="6" t="n">
        <f aca="false">P154*Q154*(1-U154)</f>
        <v>5875.416</v>
      </c>
      <c r="Z154" s="6" t="n">
        <f aca="false">Y154-W154</f>
        <v>1494.866</v>
      </c>
      <c r="AA154" s="8" t="n">
        <f aca="false">IF(Y154=0,0,Z154/Y154)</f>
        <v>0.254427260980329</v>
      </c>
      <c r="AB154" s="3" t="str">
        <f aca="false">IF(ABS(V154-Y154)&gt;1,"Mismatch","OK")</f>
        <v>OK</v>
      </c>
      <c r="AC154" s="3" t="str">
        <f aca="false">IF(ABS(X154-Z154)&gt;1,"Mismatch","OK")</f>
        <v>OK</v>
      </c>
      <c r="AD154" s="5" t="n">
        <f aca="false">IF(OR(B154="",C154=""),"",C154-B154)</f>
        <v>3</v>
      </c>
      <c r="AE154" s="3" t="str">
        <f aca="false">IF(AD154="","Unknown",IF(AD154&lt;0,"Invalid - Ship Before Order","OK"))</f>
        <v>OK</v>
      </c>
      <c r="AF154" s="5" t="n">
        <f aca="false">IF(B154="","",MONTH(B154))</f>
        <v>6</v>
      </c>
      <c r="AG154" s="5" t="n">
        <f aca="false">IF(B154="","",YEAR(B154))</f>
        <v>2024</v>
      </c>
      <c r="AH154" s="3" t="s">
        <v>138</v>
      </c>
      <c r="AI154" s="3" t="s">
        <v>130</v>
      </c>
      <c r="AJ154" s="3" t="str">
        <f aca="false">IF(AND(AI154="Completed",AH154="Failed"),"Inconsistent - Completed Order with Failed Payment","OK")</f>
        <v>OK</v>
      </c>
      <c r="AK154" s="3" t="s">
        <v>54</v>
      </c>
      <c r="AL154" s="3" t="str">
        <f aca="false">IF(OR(T154="Negative - Invalid",T154="Above Allowed Range - Invalid",AE154="Invalid - Ship Before Order",AK154&lt;&gt;"Unique",AB154="Mismatch",AC154="Mismatch",AJ154&lt;&gt;"OK"),"Invalid",IF(OR(H154="Yes",O154="Yes",T154="Missing"),"Warning","Clean"))</f>
        <v>Clean</v>
      </c>
    </row>
    <row r="155" customFormat="false" ht="15" hidden="false" customHeight="true" outlineLevel="0" collapsed="false">
      <c r="A155" s="3" t="s">
        <v>606</v>
      </c>
      <c r="B155" s="4" t="n">
        <v>45923</v>
      </c>
      <c r="C155" s="4" t="n">
        <v>45925</v>
      </c>
      <c r="D155" s="3" t="s">
        <v>607</v>
      </c>
      <c r="E155" s="3" t="s">
        <v>115</v>
      </c>
      <c r="F155" s="3" t="s">
        <v>41</v>
      </c>
      <c r="G155" s="3" t="s">
        <v>59</v>
      </c>
      <c r="H155" s="3" t="s">
        <v>43</v>
      </c>
      <c r="I155" s="3" t="s">
        <v>60</v>
      </c>
      <c r="J155" s="3" t="s">
        <v>61</v>
      </c>
      <c r="K155" s="3" t="s">
        <v>46</v>
      </c>
      <c r="L155" s="3" t="s">
        <v>117</v>
      </c>
      <c r="M155" s="3" t="s">
        <v>608</v>
      </c>
      <c r="N155" s="3" t="s">
        <v>83</v>
      </c>
      <c r="O155" s="3" t="s">
        <v>43</v>
      </c>
      <c r="P155" s="5" t="n">
        <v>7</v>
      </c>
      <c r="Q155" s="6" t="n">
        <v>3280.31</v>
      </c>
      <c r="R155" s="3" t="s">
        <v>66</v>
      </c>
      <c r="S155" s="7" t="n">
        <v>0</v>
      </c>
      <c r="T155" s="3" t="s">
        <v>51</v>
      </c>
      <c r="U155" s="7" t="n">
        <f aca="false">IF(T155="Valid",S155,0)</f>
        <v>0</v>
      </c>
      <c r="V155" s="6" t="n">
        <v>22962.17</v>
      </c>
      <c r="W155" s="6" t="n">
        <v>15716.5</v>
      </c>
      <c r="X155" s="6" t="n">
        <v>7245.67</v>
      </c>
      <c r="Y155" s="6" t="n">
        <f aca="false">P155*Q155*(1-U155)</f>
        <v>22962.17</v>
      </c>
      <c r="Z155" s="6" t="n">
        <f aca="false">Y155-W155</f>
        <v>7245.67</v>
      </c>
      <c r="AA155" s="8" t="n">
        <f aca="false">IF(Y155=0,0,Z155/Y155)</f>
        <v>0.315548138525235</v>
      </c>
      <c r="AB155" s="3" t="str">
        <f aca="false">IF(ABS(V155-Y155)&gt;1,"Mismatch","OK")</f>
        <v>OK</v>
      </c>
      <c r="AC155" s="3" t="str">
        <f aca="false">IF(ABS(X155-Z155)&gt;1,"Mismatch","OK")</f>
        <v>OK</v>
      </c>
      <c r="AD155" s="5" t="n">
        <f aca="false">IF(OR(B155="",C155=""),"",C155-B155)</f>
        <v>2</v>
      </c>
      <c r="AE155" s="3" t="str">
        <f aca="false">IF(AD155="","Unknown",IF(AD155&lt;0,"Invalid - Ship Before Order","OK"))</f>
        <v>OK</v>
      </c>
      <c r="AF155" s="5" t="n">
        <f aca="false">IF(B155="","",MONTH(B155))</f>
        <v>9</v>
      </c>
      <c r="AG155" s="5" t="n">
        <f aca="false">IF(B155="","",YEAR(B155))</f>
        <v>2025</v>
      </c>
      <c r="AH155" s="3" t="s">
        <v>129</v>
      </c>
      <c r="AI155" s="3" t="s">
        <v>130</v>
      </c>
      <c r="AJ155" s="3" t="str">
        <f aca="false">IF(AND(AI155="Completed",AH155="Failed"),"Inconsistent - Completed Order with Failed Payment","OK")</f>
        <v>OK</v>
      </c>
      <c r="AK155" s="3" t="s">
        <v>54</v>
      </c>
      <c r="AL155" s="3" t="str">
        <f aca="false">IF(OR(T155="Negative - Invalid",T155="Above Allowed Range - Invalid",AE155="Invalid - Ship Before Order",AK155&lt;&gt;"Unique",AB155="Mismatch",AC155="Mismatch",AJ155&lt;&gt;"OK"),"Invalid",IF(OR(H155="Yes",O155="Yes",T155="Missing"),"Warning","Clean"))</f>
        <v>Clean</v>
      </c>
    </row>
    <row r="156" customFormat="false" ht="15" hidden="false" customHeight="true" outlineLevel="0" collapsed="false">
      <c r="A156" s="3" t="s">
        <v>609</v>
      </c>
      <c r="B156" s="4" t="n">
        <v>45334</v>
      </c>
      <c r="C156" s="4" t="n">
        <v>45333</v>
      </c>
      <c r="D156" s="3" t="s">
        <v>491</v>
      </c>
      <c r="E156" s="3" t="s">
        <v>141</v>
      </c>
      <c r="F156" s="3" t="s">
        <v>41</v>
      </c>
      <c r="G156" s="3" t="s">
        <v>78</v>
      </c>
      <c r="H156" s="3" t="s">
        <v>43</v>
      </c>
      <c r="I156" s="3" t="s">
        <v>281</v>
      </c>
      <c r="J156" s="3" t="s">
        <v>282</v>
      </c>
      <c r="K156" s="3" t="s">
        <v>62</v>
      </c>
      <c r="L156" s="3" t="s">
        <v>188</v>
      </c>
      <c r="M156" s="3" t="s">
        <v>610</v>
      </c>
      <c r="N156" s="3" t="s">
        <v>65</v>
      </c>
      <c r="O156" s="3" t="s">
        <v>43</v>
      </c>
      <c r="P156" s="5" t="n">
        <v>1</v>
      </c>
      <c r="Q156" s="6" t="n">
        <v>2599.12</v>
      </c>
      <c r="R156" s="3" t="s">
        <v>107</v>
      </c>
      <c r="S156" s="7" t="n">
        <v>0.15</v>
      </c>
      <c r="T156" s="3" t="s">
        <v>51</v>
      </c>
      <c r="U156" s="7" t="n">
        <f aca="false">IF(T156="Valid",S156,0)</f>
        <v>0.15</v>
      </c>
      <c r="V156" s="6" t="n">
        <v>2209.25</v>
      </c>
      <c r="W156" s="6" t="n">
        <v>1523.78</v>
      </c>
      <c r="X156" s="6" t="n">
        <v>685.47</v>
      </c>
      <c r="Y156" s="6" t="n">
        <f aca="false">P156*Q156*(1-U156)</f>
        <v>2209.252</v>
      </c>
      <c r="Z156" s="6" t="n">
        <f aca="false">Y156-W156</f>
        <v>685.472</v>
      </c>
      <c r="AA156" s="8" t="n">
        <f aca="false">IF(Y156=0,0,Z156/Y156)</f>
        <v>0.310273341384324</v>
      </c>
      <c r="AB156" s="3" t="str">
        <f aca="false">IF(ABS(V156-Y156)&gt;1,"Mismatch","OK")</f>
        <v>OK</v>
      </c>
      <c r="AC156" s="3" t="str">
        <f aca="false">IF(ABS(X156-Z156)&gt;1,"Mismatch","OK")</f>
        <v>OK</v>
      </c>
      <c r="AD156" s="5" t="n">
        <f aca="false">IF(OR(B156="",C156=""),"",C156-B156)</f>
        <v>-1</v>
      </c>
      <c r="AE156" s="3" t="str">
        <f aca="false">IF(AD156="","Unknown",IF(AD156&lt;0,"Invalid - Ship Before Order","OK"))</f>
        <v>Invalid - Ship Before Order</v>
      </c>
      <c r="AF156" s="5" t="n">
        <f aca="false">IF(B156="","",MONTH(B156))</f>
        <v>2</v>
      </c>
      <c r="AG156" s="5" t="n">
        <f aca="false">IF(B156="","",YEAR(B156))</f>
        <v>2024</v>
      </c>
      <c r="AH156" s="3" t="s">
        <v>52</v>
      </c>
      <c r="AI156" s="3" t="s">
        <v>53</v>
      </c>
      <c r="AJ156" s="3" t="str">
        <f aca="false">IF(AND(AI156="Completed",AH156="Failed"),"Inconsistent - Completed Order with Failed Payment","OK")</f>
        <v>OK</v>
      </c>
      <c r="AK156" s="3" t="s">
        <v>54</v>
      </c>
      <c r="AL156" s="3" t="str">
        <f aca="false">IF(OR(T156="Negative - Invalid",T156="Above Allowed Range - Invalid",AE156="Invalid - Ship Before Order",AK156&lt;&gt;"Unique",AB156="Mismatch",AC156="Mismatch",AJ156&lt;&gt;"OK"),"Invalid",IF(OR(H156="Yes",O156="Yes",T156="Missing"),"Warning","Clean"))</f>
        <v>Invalid</v>
      </c>
    </row>
    <row r="157" customFormat="false" ht="15" hidden="false" customHeight="true" outlineLevel="0" collapsed="false">
      <c r="A157" s="3" t="s">
        <v>611</v>
      </c>
      <c r="B157" s="4" t="n">
        <v>45683</v>
      </c>
      <c r="C157" s="4" t="n">
        <v>45691</v>
      </c>
      <c r="D157" s="3" t="s">
        <v>612</v>
      </c>
      <c r="E157" s="3" t="s">
        <v>40</v>
      </c>
      <c r="F157" s="3" t="s">
        <v>116</v>
      </c>
      <c r="G157" s="3" t="s">
        <v>88</v>
      </c>
      <c r="H157" s="3" t="s">
        <v>43</v>
      </c>
      <c r="I157" s="3" t="s">
        <v>44</v>
      </c>
      <c r="J157" s="3" t="s">
        <v>136</v>
      </c>
      <c r="K157" s="3" t="s">
        <v>62</v>
      </c>
      <c r="L157" s="3" t="s">
        <v>81</v>
      </c>
      <c r="M157" s="3" t="s">
        <v>613</v>
      </c>
      <c r="N157" s="3" t="s">
        <v>65</v>
      </c>
      <c r="O157" s="3" t="s">
        <v>43</v>
      </c>
      <c r="P157" s="5" t="n">
        <v>3</v>
      </c>
      <c r="Q157" s="6" t="n">
        <v>2859.32</v>
      </c>
      <c r="R157" s="3" t="s">
        <v>203</v>
      </c>
      <c r="S157" s="7" t="n">
        <v>0.1</v>
      </c>
      <c r="T157" s="3" t="s">
        <v>51</v>
      </c>
      <c r="U157" s="7" t="n">
        <f aca="false">IF(T157="Valid",S157,0)</f>
        <v>0.1</v>
      </c>
      <c r="V157" s="6" t="n">
        <v>7720.16</v>
      </c>
      <c r="W157" s="6" t="n">
        <v>5881</v>
      </c>
      <c r="X157" s="6" t="n">
        <v>1839.16</v>
      </c>
      <c r="Y157" s="6" t="n">
        <f aca="false">P157*Q157*(1-U157)</f>
        <v>7720.164</v>
      </c>
      <c r="Z157" s="6" t="n">
        <f aca="false">Y157-W157</f>
        <v>1839.164</v>
      </c>
      <c r="AA157" s="8" t="n">
        <f aca="false">IF(Y157=0,0,Z157/Y157)</f>
        <v>0.238228617941277</v>
      </c>
      <c r="AB157" s="3" t="str">
        <f aca="false">IF(ABS(V157-Y157)&gt;1,"Mismatch","OK")</f>
        <v>OK</v>
      </c>
      <c r="AC157" s="3" t="str">
        <f aca="false">IF(ABS(X157-Z157)&gt;1,"Mismatch","OK")</f>
        <v>OK</v>
      </c>
      <c r="AD157" s="5" t="n">
        <f aca="false">IF(OR(B157="",C157=""),"",C157-B157)</f>
        <v>8</v>
      </c>
      <c r="AE157" s="3" t="str">
        <f aca="false">IF(AD157="","Unknown",IF(AD157&lt;0,"Invalid - Ship Before Order","OK"))</f>
        <v>OK</v>
      </c>
      <c r="AF157" s="5" t="n">
        <f aca="false">IF(B157="","",MONTH(B157))</f>
        <v>1</v>
      </c>
      <c r="AG157" s="5" t="n">
        <f aca="false">IF(B157="","",YEAR(B157))</f>
        <v>2025</v>
      </c>
      <c r="AH157" s="3" t="s">
        <v>129</v>
      </c>
      <c r="AI157" s="3" t="s">
        <v>130</v>
      </c>
      <c r="AJ157" s="3" t="str">
        <f aca="false">IF(AND(AI157="Completed",AH157="Failed"),"Inconsistent - Completed Order with Failed Payment","OK")</f>
        <v>OK</v>
      </c>
      <c r="AK157" s="3" t="s">
        <v>54</v>
      </c>
      <c r="AL157" s="3" t="str">
        <f aca="false">IF(OR(T157="Negative - Invalid",T157="Above Allowed Range - Invalid",AE157="Invalid - Ship Before Order",AK157&lt;&gt;"Unique",AB157="Mismatch",AC157="Mismatch",AJ157&lt;&gt;"OK"),"Invalid",IF(OR(H157="Yes",O157="Yes",T157="Missing"),"Warning","Clean"))</f>
        <v>Clean</v>
      </c>
    </row>
    <row r="158" customFormat="false" ht="15" hidden="false" customHeight="true" outlineLevel="0" collapsed="false">
      <c r="A158" s="3" t="s">
        <v>614</v>
      </c>
      <c r="B158" s="4" t="n">
        <v>45743</v>
      </c>
      <c r="C158" s="4" t="n">
        <v>45743</v>
      </c>
      <c r="D158" s="3" t="s">
        <v>615</v>
      </c>
      <c r="E158" s="3" t="s">
        <v>96</v>
      </c>
      <c r="F158" s="3" t="s">
        <v>58</v>
      </c>
      <c r="G158" s="3" t="s">
        <v>59</v>
      </c>
      <c r="H158" s="3" t="s">
        <v>43</v>
      </c>
      <c r="I158" s="3" t="s">
        <v>174</v>
      </c>
      <c r="J158" s="3" t="s">
        <v>175</v>
      </c>
      <c r="K158" s="3" t="s">
        <v>99</v>
      </c>
      <c r="L158" s="3" t="s">
        <v>308</v>
      </c>
      <c r="M158" s="3" t="s">
        <v>616</v>
      </c>
      <c r="N158" s="3" t="s">
        <v>49</v>
      </c>
      <c r="O158" s="3" t="s">
        <v>43</v>
      </c>
      <c r="P158" s="5" t="n">
        <v>7</v>
      </c>
      <c r="Q158" s="6" t="n">
        <v>2305.37</v>
      </c>
      <c r="R158" s="3" t="s">
        <v>84</v>
      </c>
      <c r="S158" s="7" t="n">
        <v>0.25</v>
      </c>
      <c r="T158" s="3" t="s">
        <v>51</v>
      </c>
      <c r="U158" s="7" t="n">
        <f aca="false">IF(T158="Valid",S158,0)</f>
        <v>0.25</v>
      </c>
      <c r="V158" s="6" t="n">
        <v>12103.19</v>
      </c>
      <c r="W158" s="6" t="n">
        <v>6717.87</v>
      </c>
      <c r="X158" s="6" t="n">
        <v>5385.32</v>
      </c>
      <c r="Y158" s="6" t="n">
        <f aca="false">P158*Q158*(1-U158)</f>
        <v>12103.1925</v>
      </c>
      <c r="Z158" s="6" t="n">
        <f aca="false">Y158-W158</f>
        <v>5385.3225</v>
      </c>
      <c r="AA158" s="8" t="n">
        <f aca="false">IF(Y158=0,0,Z158/Y158)</f>
        <v>0.44495057812226</v>
      </c>
      <c r="AB158" s="3" t="str">
        <f aca="false">IF(ABS(V158-Y158)&gt;1,"Mismatch","OK")</f>
        <v>OK</v>
      </c>
      <c r="AC158" s="3" t="str">
        <f aca="false">IF(ABS(X158-Z158)&gt;1,"Mismatch","OK")</f>
        <v>OK</v>
      </c>
      <c r="AD158" s="5" t="n">
        <f aca="false">IF(OR(B158="",C158=""),"",C158-B158)</f>
        <v>0</v>
      </c>
      <c r="AE158" s="3" t="str">
        <f aca="false">IF(AD158="","Unknown",IF(AD158&lt;0,"Invalid - Ship Before Order","OK"))</f>
        <v>OK</v>
      </c>
      <c r="AF158" s="5" t="n">
        <f aca="false">IF(B158="","",MONTH(B158))</f>
        <v>3</v>
      </c>
      <c r="AG158" s="5" t="n">
        <f aca="false">IF(B158="","",YEAR(B158))</f>
        <v>2025</v>
      </c>
      <c r="AH158" s="3" t="s">
        <v>52</v>
      </c>
      <c r="AI158" s="3" t="s">
        <v>53</v>
      </c>
      <c r="AJ158" s="3" t="str">
        <f aca="false">IF(AND(AI158="Completed",AH158="Failed"),"Inconsistent - Completed Order with Failed Payment","OK")</f>
        <v>OK</v>
      </c>
      <c r="AK158" s="3" t="s">
        <v>54</v>
      </c>
      <c r="AL158" s="3" t="str">
        <f aca="false">IF(OR(T158="Negative - Invalid",T158="Above Allowed Range - Invalid",AE158="Invalid - Ship Before Order",AK158&lt;&gt;"Unique",AB158="Mismatch",AC158="Mismatch",AJ158&lt;&gt;"OK"),"Invalid",IF(OR(H158="Yes",O158="Yes",T158="Missing"),"Warning","Clean"))</f>
        <v>Clean</v>
      </c>
    </row>
    <row r="159" customFormat="false" ht="15" hidden="false" customHeight="true" outlineLevel="0" collapsed="false">
      <c r="A159" s="3" t="s">
        <v>617</v>
      </c>
      <c r="B159" s="4" t="n">
        <v>45587</v>
      </c>
      <c r="C159" s="4" t="n">
        <v>45589</v>
      </c>
      <c r="D159" s="3" t="s">
        <v>618</v>
      </c>
      <c r="E159" s="3" t="s">
        <v>168</v>
      </c>
      <c r="F159" s="3" t="s">
        <v>58</v>
      </c>
      <c r="G159" s="3" t="s">
        <v>78</v>
      </c>
      <c r="H159" s="3" t="s">
        <v>43</v>
      </c>
      <c r="I159" s="3" t="s">
        <v>110</v>
      </c>
      <c r="J159" s="3" t="s">
        <v>111</v>
      </c>
      <c r="K159" s="3" t="s">
        <v>62</v>
      </c>
      <c r="L159" s="3" t="s">
        <v>188</v>
      </c>
      <c r="M159" s="3" t="s">
        <v>619</v>
      </c>
      <c r="N159" s="3" t="s">
        <v>83</v>
      </c>
      <c r="O159" s="3" t="s">
        <v>43</v>
      </c>
      <c r="P159" s="5" t="n">
        <v>3</v>
      </c>
      <c r="Q159" s="6" t="n">
        <v>915.84</v>
      </c>
      <c r="R159" s="3" t="s">
        <v>107</v>
      </c>
      <c r="S159" s="7" t="n">
        <v>0.15</v>
      </c>
      <c r="T159" s="3" t="s">
        <v>51</v>
      </c>
      <c r="U159" s="7" t="n">
        <f aca="false">IF(T159="Valid",S159,0)</f>
        <v>0.15</v>
      </c>
      <c r="V159" s="6" t="n">
        <v>2335.39</v>
      </c>
      <c r="W159" s="6" t="n">
        <v>1466.15</v>
      </c>
      <c r="X159" s="6" t="n">
        <v>869.24</v>
      </c>
      <c r="Y159" s="6" t="n">
        <f aca="false">P159*Q159*(1-U159)</f>
        <v>2335.392</v>
      </c>
      <c r="Z159" s="6" t="n">
        <f aca="false">Y159-W159</f>
        <v>869.242</v>
      </c>
      <c r="AA159" s="8" t="n">
        <f aca="false">IF(Y159=0,0,Z159/Y159)</f>
        <v>0.372203895534454</v>
      </c>
      <c r="AB159" s="3" t="str">
        <f aca="false">IF(ABS(V159-Y159)&gt;1,"Mismatch","OK")</f>
        <v>OK</v>
      </c>
      <c r="AC159" s="3" t="str">
        <f aca="false">IF(ABS(X159-Z159)&gt;1,"Mismatch","OK")</f>
        <v>OK</v>
      </c>
      <c r="AD159" s="5" t="n">
        <f aca="false">IF(OR(B159="",C159=""),"",C159-B159)</f>
        <v>2</v>
      </c>
      <c r="AE159" s="3" t="str">
        <f aca="false">IF(AD159="","Unknown",IF(AD159&lt;0,"Invalid - Ship Before Order","OK"))</f>
        <v>OK</v>
      </c>
      <c r="AF159" s="5" t="n">
        <f aca="false">IF(B159="","",MONTH(B159))</f>
        <v>10</v>
      </c>
      <c r="AG159" s="5" t="n">
        <f aca="false">IF(B159="","",YEAR(B159))</f>
        <v>2024</v>
      </c>
      <c r="AH159" s="3" t="s">
        <v>52</v>
      </c>
      <c r="AI159" s="3" t="s">
        <v>53</v>
      </c>
      <c r="AJ159" s="3" t="str">
        <f aca="false">IF(AND(AI159="Completed",AH159="Failed"),"Inconsistent - Completed Order with Failed Payment","OK")</f>
        <v>OK</v>
      </c>
      <c r="AK159" s="3" t="s">
        <v>54</v>
      </c>
      <c r="AL159" s="3" t="str">
        <f aca="false">IF(OR(T159="Negative - Invalid",T159="Above Allowed Range - Invalid",AE159="Invalid - Ship Before Order",AK159&lt;&gt;"Unique",AB159="Mismatch",AC159="Mismatch",AJ159&lt;&gt;"OK"),"Invalid",IF(OR(H159="Yes",O159="Yes",T159="Missing"),"Warning","Clean"))</f>
        <v>Clean</v>
      </c>
    </row>
    <row r="160" customFormat="false" ht="15" hidden="false" customHeight="true" outlineLevel="0" collapsed="false">
      <c r="A160" s="3" t="s">
        <v>620</v>
      </c>
      <c r="B160" s="4" t="n">
        <v>45544</v>
      </c>
      <c r="C160" s="4" t="n">
        <v>45546</v>
      </c>
      <c r="D160" s="3" t="s">
        <v>621</v>
      </c>
      <c r="E160" s="3" t="s">
        <v>104</v>
      </c>
      <c r="F160" s="3" t="s">
        <v>121</v>
      </c>
      <c r="G160" s="3" t="s">
        <v>78</v>
      </c>
      <c r="H160" s="3" t="s">
        <v>43</v>
      </c>
      <c r="I160" s="3" t="s">
        <v>79</v>
      </c>
      <c r="J160" s="3" t="s">
        <v>80</v>
      </c>
      <c r="K160" s="3" t="s">
        <v>62</v>
      </c>
      <c r="L160" s="3" t="s">
        <v>188</v>
      </c>
      <c r="M160" s="3" t="s">
        <v>622</v>
      </c>
      <c r="N160" s="3" t="s">
        <v>72</v>
      </c>
      <c r="O160" s="3" t="s">
        <v>43</v>
      </c>
      <c r="P160" s="5" t="n">
        <v>1</v>
      </c>
      <c r="Q160" s="6" t="n">
        <v>4199.54</v>
      </c>
      <c r="R160" s="3" t="s">
        <v>128</v>
      </c>
      <c r="S160" s="7" t="n">
        <v>0.05</v>
      </c>
      <c r="T160" s="3" t="s">
        <v>51</v>
      </c>
      <c r="U160" s="7" t="n">
        <f aca="false">IF(T160="Valid",S160,0)</f>
        <v>0.05</v>
      </c>
      <c r="V160" s="6" t="n">
        <v>3989.56</v>
      </c>
      <c r="W160" s="6" t="n">
        <v>2381.38</v>
      </c>
      <c r="X160" s="6" t="n">
        <v>1608.18</v>
      </c>
      <c r="Y160" s="6" t="n">
        <f aca="false">P160*Q160*(1-U160)</f>
        <v>3989.563</v>
      </c>
      <c r="Z160" s="6" t="n">
        <f aca="false">Y160-W160</f>
        <v>1608.183</v>
      </c>
      <c r="AA160" s="8" t="n">
        <f aca="false">IF(Y160=0,0,Z160/Y160)</f>
        <v>0.403097532235987</v>
      </c>
      <c r="AB160" s="3" t="str">
        <f aca="false">IF(ABS(V160-Y160)&gt;1,"Mismatch","OK")</f>
        <v>OK</v>
      </c>
      <c r="AC160" s="3" t="str">
        <f aca="false">IF(ABS(X160-Z160)&gt;1,"Mismatch","OK")</f>
        <v>OK</v>
      </c>
      <c r="AD160" s="5" t="n">
        <f aca="false">IF(OR(B160="",C160=""),"",C160-B160)</f>
        <v>2</v>
      </c>
      <c r="AE160" s="3" t="str">
        <f aca="false">IF(AD160="","Unknown",IF(AD160&lt;0,"Invalid - Ship Before Order","OK"))</f>
        <v>OK</v>
      </c>
      <c r="AF160" s="5" t="n">
        <f aca="false">IF(B160="","",MONTH(B160))</f>
        <v>9</v>
      </c>
      <c r="AG160" s="5" t="n">
        <f aca="false">IF(B160="","",YEAR(B160))</f>
        <v>2024</v>
      </c>
      <c r="AH160" s="3" t="s">
        <v>52</v>
      </c>
      <c r="AI160" s="3" t="s">
        <v>53</v>
      </c>
      <c r="AJ160" s="3" t="str">
        <f aca="false">IF(AND(AI160="Completed",AH160="Failed"),"Inconsistent - Completed Order with Failed Payment","OK")</f>
        <v>OK</v>
      </c>
      <c r="AK160" s="3" t="s">
        <v>54</v>
      </c>
      <c r="AL160" s="3" t="str">
        <f aca="false">IF(OR(T160="Negative - Invalid",T160="Above Allowed Range - Invalid",AE160="Invalid - Ship Before Order",AK160&lt;&gt;"Unique",AB160="Mismatch",AC160="Mismatch",AJ160&lt;&gt;"OK"),"Invalid",IF(OR(H160="Yes",O160="Yes",T160="Missing"),"Warning","Clean"))</f>
        <v>Clean</v>
      </c>
    </row>
    <row r="161" customFormat="false" ht="15" hidden="false" customHeight="true" outlineLevel="0" collapsed="false">
      <c r="A161" s="3" t="s">
        <v>623</v>
      </c>
      <c r="B161" s="4" t="n">
        <v>45687</v>
      </c>
      <c r="C161" s="4" t="n">
        <v>45692</v>
      </c>
      <c r="D161" s="3" t="s">
        <v>624</v>
      </c>
      <c r="E161" s="3" t="s">
        <v>141</v>
      </c>
      <c r="F161" s="3" t="s">
        <v>116</v>
      </c>
      <c r="G161" s="3" t="s">
        <v>42</v>
      </c>
      <c r="H161" s="3" t="s">
        <v>43</v>
      </c>
      <c r="I161" s="3" t="s">
        <v>270</v>
      </c>
      <c r="J161" s="3" t="s">
        <v>271</v>
      </c>
      <c r="K161" s="3" t="s">
        <v>62</v>
      </c>
      <c r="L161" s="3" t="s">
        <v>91</v>
      </c>
      <c r="M161" s="3" t="s">
        <v>625</v>
      </c>
      <c r="N161" s="3" t="s">
        <v>65</v>
      </c>
      <c r="O161" s="3" t="s">
        <v>43</v>
      </c>
      <c r="P161" s="5" t="n">
        <v>9</v>
      </c>
      <c r="Q161" s="6" t="n">
        <v>4430.5</v>
      </c>
      <c r="R161" s="3" t="s">
        <v>107</v>
      </c>
      <c r="S161" s="7" t="n">
        <v>0.15</v>
      </c>
      <c r="T161" s="3" t="s">
        <v>51</v>
      </c>
      <c r="U161" s="7" t="n">
        <f aca="false">IF(T161="Valid",S161,0)</f>
        <v>0.15</v>
      </c>
      <c r="V161" s="6" t="n">
        <v>33893.32</v>
      </c>
      <c r="W161" s="6" t="n">
        <v>25750.35</v>
      </c>
      <c r="X161" s="6" t="n">
        <v>8142.97</v>
      </c>
      <c r="Y161" s="6" t="n">
        <f aca="false">P161*Q161*(1-U161)</f>
        <v>33893.325</v>
      </c>
      <c r="Z161" s="6" t="n">
        <f aca="false">Y161-W161</f>
        <v>8142.975</v>
      </c>
      <c r="AA161" s="8" t="n">
        <f aca="false">IF(Y161=0,0,Z161/Y161)</f>
        <v>0.240253058677483</v>
      </c>
      <c r="AB161" s="3" t="str">
        <f aca="false">IF(ABS(V161-Y161)&gt;1,"Mismatch","OK")</f>
        <v>OK</v>
      </c>
      <c r="AC161" s="3" t="str">
        <f aca="false">IF(ABS(X161-Z161)&gt;1,"Mismatch","OK")</f>
        <v>OK</v>
      </c>
      <c r="AD161" s="5" t="n">
        <f aca="false">IF(OR(B161="",C161=""),"",C161-B161)</f>
        <v>5</v>
      </c>
      <c r="AE161" s="3" t="str">
        <f aca="false">IF(AD161="","Unknown",IF(AD161&lt;0,"Invalid - Ship Before Order","OK"))</f>
        <v>OK</v>
      </c>
      <c r="AF161" s="5" t="n">
        <f aca="false">IF(B161="","",MONTH(B161))</f>
        <v>1</v>
      </c>
      <c r="AG161" s="5" t="n">
        <f aca="false">IF(B161="","",YEAR(B161))</f>
        <v>2025</v>
      </c>
      <c r="AH161" s="3" t="s">
        <v>138</v>
      </c>
      <c r="AI161" s="3" t="s">
        <v>93</v>
      </c>
      <c r="AJ161" s="3" t="str">
        <f aca="false">IF(AND(AI161="Completed",AH161="Failed"),"Inconsistent - Completed Order with Failed Payment","OK")</f>
        <v>OK</v>
      </c>
      <c r="AK161" s="3" t="s">
        <v>54</v>
      </c>
      <c r="AL161" s="3" t="str">
        <f aca="false">IF(OR(T161="Negative - Invalid",T161="Above Allowed Range - Invalid",AE161="Invalid - Ship Before Order",AK161&lt;&gt;"Unique",AB161="Mismatch",AC161="Mismatch",AJ161&lt;&gt;"OK"),"Invalid",IF(OR(H161="Yes",O161="Yes",T161="Missing"),"Warning","Clean"))</f>
        <v>Clean</v>
      </c>
    </row>
    <row r="162" customFormat="false" ht="15" hidden="false" customHeight="true" outlineLevel="0" collapsed="false">
      <c r="A162" s="3" t="s">
        <v>626</v>
      </c>
      <c r="B162" s="4" t="n">
        <v>45938</v>
      </c>
      <c r="C162" s="4" t="n">
        <v>45936</v>
      </c>
      <c r="D162" s="3" t="s">
        <v>627</v>
      </c>
      <c r="E162" s="3" t="s">
        <v>96</v>
      </c>
      <c r="F162" s="3" t="s">
        <v>58</v>
      </c>
      <c r="G162" s="3" t="s">
        <v>88</v>
      </c>
      <c r="H162" s="3" t="s">
        <v>43</v>
      </c>
      <c r="I162" s="3" t="s">
        <v>89</v>
      </c>
      <c r="J162" s="3" t="s">
        <v>90</v>
      </c>
      <c r="K162" s="3" t="s">
        <v>46</v>
      </c>
      <c r="L162" s="3" t="s">
        <v>47</v>
      </c>
      <c r="M162" s="3" t="s">
        <v>628</v>
      </c>
      <c r="N162" s="3" t="s">
        <v>49</v>
      </c>
      <c r="O162" s="3" t="s">
        <v>43</v>
      </c>
      <c r="P162" s="5" t="n">
        <v>4</v>
      </c>
      <c r="Q162" s="6" t="n">
        <v>1260.42</v>
      </c>
      <c r="R162" s="3" t="s">
        <v>128</v>
      </c>
      <c r="S162" s="7" t="n">
        <v>0.05</v>
      </c>
      <c r="T162" s="3" t="s">
        <v>51</v>
      </c>
      <c r="U162" s="7" t="n">
        <f aca="false">IF(T162="Valid",S162,0)</f>
        <v>0.05</v>
      </c>
      <c r="V162" s="6" t="n">
        <v>4789.6</v>
      </c>
      <c r="W162" s="6" t="n">
        <v>4037.64</v>
      </c>
      <c r="X162" s="6" t="n">
        <v>751.96</v>
      </c>
      <c r="Y162" s="6" t="n">
        <f aca="false">P162*Q162*(1-U162)</f>
        <v>4789.596</v>
      </c>
      <c r="Z162" s="6" t="n">
        <f aca="false">Y162-W162</f>
        <v>751.956000000001</v>
      </c>
      <c r="AA162" s="8" t="n">
        <f aca="false">IF(Y162=0,0,Z162/Y162)</f>
        <v>0.156997792715711</v>
      </c>
      <c r="AB162" s="3" t="str">
        <f aca="false">IF(ABS(V162-Y162)&gt;1,"Mismatch","OK")</f>
        <v>OK</v>
      </c>
      <c r="AC162" s="3" t="str">
        <f aca="false">IF(ABS(X162-Z162)&gt;1,"Mismatch","OK")</f>
        <v>OK</v>
      </c>
      <c r="AD162" s="5" t="n">
        <f aca="false">IF(OR(B162="",C162=""),"",C162-B162)</f>
        <v>-2</v>
      </c>
      <c r="AE162" s="3" t="str">
        <f aca="false">IF(AD162="","Unknown",IF(AD162&lt;0,"Invalid - Ship Before Order","OK"))</f>
        <v>Invalid - Ship Before Order</v>
      </c>
      <c r="AF162" s="5" t="n">
        <f aca="false">IF(B162="","",MONTH(B162))</f>
        <v>10</v>
      </c>
      <c r="AG162" s="5" t="n">
        <f aca="false">IF(B162="","",YEAR(B162))</f>
        <v>2025</v>
      </c>
      <c r="AH162" s="3" t="s">
        <v>138</v>
      </c>
      <c r="AI162" s="3" t="s">
        <v>93</v>
      </c>
      <c r="AJ162" s="3" t="str">
        <f aca="false">IF(AND(AI162="Completed",AH162="Failed"),"Inconsistent - Completed Order with Failed Payment","OK")</f>
        <v>OK</v>
      </c>
      <c r="AK162" s="3" t="s">
        <v>54</v>
      </c>
      <c r="AL162" s="3" t="str">
        <f aca="false">IF(OR(T162="Negative - Invalid",T162="Above Allowed Range - Invalid",AE162="Invalid - Ship Before Order",AK162&lt;&gt;"Unique",AB162="Mismatch",AC162="Mismatch",AJ162&lt;&gt;"OK"),"Invalid",IF(OR(H162="Yes",O162="Yes",T162="Missing"),"Warning","Clean"))</f>
        <v>Invalid</v>
      </c>
    </row>
    <row r="163" customFormat="false" ht="15" hidden="false" customHeight="true" outlineLevel="0" collapsed="false">
      <c r="A163" s="3" t="s">
        <v>629</v>
      </c>
      <c r="B163" s="4" t="n">
        <v>45862</v>
      </c>
      <c r="C163" s="4" t="n">
        <v>45868</v>
      </c>
      <c r="D163" s="3" t="s">
        <v>630</v>
      </c>
      <c r="E163" s="3" t="s">
        <v>77</v>
      </c>
      <c r="F163" s="3" t="s">
        <v>41</v>
      </c>
      <c r="G163" s="3" t="s">
        <v>88</v>
      </c>
      <c r="H163" s="3" t="s">
        <v>43</v>
      </c>
      <c r="I163" s="3" t="s">
        <v>44</v>
      </c>
      <c r="J163" s="3" t="s">
        <v>136</v>
      </c>
      <c r="K163" s="3" t="s">
        <v>46</v>
      </c>
      <c r="L163" s="3" t="s">
        <v>183</v>
      </c>
      <c r="M163" s="3" t="s">
        <v>631</v>
      </c>
      <c r="N163" s="3" t="s">
        <v>83</v>
      </c>
      <c r="O163" s="3" t="s">
        <v>43</v>
      </c>
      <c r="P163" s="5" t="n">
        <v>1</v>
      </c>
      <c r="Q163" s="6" t="n">
        <v>1643.41</v>
      </c>
      <c r="R163" s="3" t="s">
        <v>66</v>
      </c>
      <c r="S163" s="7" t="n">
        <v>0</v>
      </c>
      <c r="T163" s="3" t="s">
        <v>51</v>
      </c>
      <c r="U163" s="7" t="n">
        <f aca="false">IF(T163="Valid",S163,0)</f>
        <v>0</v>
      </c>
      <c r="V163" s="6" t="n">
        <v>1643.41</v>
      </c>
      <c r="W163" s="6" t="n">
        <v>907.4</v>
      </c>
      <c r="X163" s="6" t="n">
        <v>736.01</v>
      </c>
      <c r="Y163" s="6" t="n">
        <f aca="false">P163*Q163*(1-U163)</f>
        <v>1643.41</v>
      </c>
      <c r="Z163" s="6" t="n">
        <f aca="false">Y163-W163</f>
        <v>736.01</v>
      </c>
      <c r="AA163" s="8" t="n">
        <f aca="false">IF(Y163=0,0,Z163/Y163)</f>
        <v>0.447855373887222</v>
      </c>
      <c r="AB163" s="3" t="str">
        <f aca="false">IF(ABS(V163-Y163)&gt;1,"Mismatch","OK")</f>
        <v>OK</v>
      </c>
      <c r="AC163" s="3" t="str">
        <f aca="false">IF(ABS(X163-Z163)&gt;1,"Mismatch","OK")</f>
        <v>OK</v>
      </c>
      <c r="AD163" s="5" t="n">
        <f aca="false">IF(OR(B163="",C163=""),"",C163-B163)</f>
        <v>6</v>
      </c>
      <c r="AE163" s="3" t="str">
        <f aca="false">IF(AD163="","Unknown",IF(AD163&lt;0,"Invalid - Ship Before Order","OK"))</f>
        <v>OK</v>
      </c>
      <c r="AF163" s="5" t="n">
        <f aca="false">IF(B163="","",MONTH(B163))</f>
        <v>7</v>
      </c>
      <c r="AG163" s="5" t="n">
        <f aca="false">IF(B163="","",YEAR(B163))</f>
        <v>2025</v>
      </c>
      <c r="AH163" s="3" t="s">
        <v>138</v>
      </c>
      <c r="AI163" s="3" t="s">
        <v>93</v>
      </c>
      <c r="AJ163" s="3" t="str">
        <f aca="false">IF(AND(AI163="Completed",AH163="Failed"),"Inconsistent - Completed Order with Failed Payment","OK")</f>
        <v>OK</v>
      </c>
      <c r="AK163" s="3" t="s">
        <v>54</v>
      </c>
      <c r="AL163" s="3" t="str">
        <f aca="false">IF(OR(T163="Negative - Invalid",T163="Above Allowed Range - Invalid",AE163="Invalid - Ship Before Order",AK163&lt;&gt;"Unique",AB163="Mismatch",AC163="Mismatch",AJ163&lt;&gt;"OK"),"Invalid",IF(OR(H163="Yes",O163="Yes",T163="Missing"),"Warning","Clean"))</f>
        <v>Clean</v>
      </c>
    </row>
    <row r="164" customFormat="false" ht="15" hidden="false" customHeight="true" outlineLevel="0" collapsed="false">
      <c r="A164" s="3" t="s">
        <v>632</v>
      </c>
      <c r="B164" s="4" t="n">
        <v>45360</v>
      </c>
      <c r="C164" s="4" t="n">
        <v>45365</v>
      </c>
      <c r="D164" s="3" t="s">
        <v>633</v>
      </c>
      <c r="E164" s="3" t="s">
        <v>104</v>
      </c>
      <c r="F164" s="3" t="s">
        <v>58</v>
      </c>
      <c r="G164" s="3" t="s">
        <v>88</v>
      </c>
      <c r="H164" s="3" t="s">
        <v>43</v>
      </c>
      <c r="I164" s="3" t="s">
        <v>221</v>
      </c>
      <c r="J164" s="3" t="s">
        <v>222</v>
      </c>
      <c r="K164" s="3" t="s">
        <v>62</v>
      </c>
      <c r="L164" s="3" t="s">
        <v>81</v>
      </c>
      <c r="M164" s="3" t="s">
        <v>634</v>
      </c>
      <c r="N164" s="3" t="s">
        <v>49</v>
      </c>
      <c r="O164" s="3" t="s">
        <v>43</v>
      </c>
      <c r="P164" s="5" t="n">
        <v>8</v>
      </c>
      <c r="Q164" s="6" t="n">
        <v>4472.84</v>
      </c>
      <c r="R164" s="3" t="s">
        <v>66</v>
      </c>
      <c r="S164" s="7" t="n">
        <v>0</v>
      </c>
      <c r="T164" s="3" t="s">
        <v>51</v>
      </c>
      <c r="U164" s="7" t="n">
        <f aca="false">IF(T164="Valid",S164,0)</f>
        <v>0</v>
      </c>
      <c r="V164" s="6" t="n">
        <v>35997.62</v>
      </c>
      <c r="W164" s="6" t="n">
        <v>26424.41</v>
      </c>
      <c r="X164" s="6" t="n">
        <v>9358.31</v>
      </c>
      <c r="Y164" s="6" t="n">
        <f aca="false">P164*Q164*(1-U164)</f>
        <v>35782.72</v>
      </c>
      <c r="Z164" s="6" t="n">
        <f aca="false">Y164-W164</f>
        <v>9358.31</v>
      </c>
      <c r="AA164" s="8" t="n">
        <f aca="false">IF(Y164=0,0,Z164/Y164)</f>
        <v>0.261531543717191</v>
      </c>
      <c r="AB164" s="3" t="str">
        <f aca="false">IF(ABS(V164-Y164)&gt;1,"Mismatch","OK")</f>
        <v>Mismatch</v>
      </c>
      <c r="AC164" s="3" t="str">
        <f aca="false">IF(ABS(X164-Z164)&gt;1,"Mismatch","OK")</f>
        <v>OK</v>
      </c>
      <c r="AD164" s="5" t="n">
        <f aca="false">IF(OR(B164="",C164=""),"",C164-B164)</f>
        <v>5</v>
      </c>
      <c r="AE164" s="3" t="str">
        <f aca="false">IF(AD164="","Unknown",IF(AD164&lt;0,"Invalid - Ship Before Order","OK"))</f>
        <v>OK</v>
      </c>
      <c r="AF164" s="5" t="n">
        <f aca="false">IF(B164="","",MONTH(B164))</f>
        <v>3</v>
      </c>
      <c r="AG164" s="5" t="n">
        <f aca="false">IF(B164="","",YEAR(B164))</f>
        <v>2024</v>
      </c>
      <c r="AH164" s="3" t="s">
        <v>138</v>
      </c>
      <c r="AI164" s="3" t="s">
        <v>130</v>
      </c>
      <c r="AJ164" s="3" t="str">
        <f aca="false">IF(AND(AI164="Completed",AH164="Failed"),"Inconsistent - Completed Order with Failed Payment","OK")</f>
        <v>OK</v>
      </c>
      <c r="AK164" s="3" t="s">
        <v>54</v>
      </c>
      <c r="AL164" s="3" t="str">
        <f aca="false">IF(OR(T164="Negative - Invalid",T164="Above Allowed Range - Invalid",AE164="Invalid - Ship Before Order",AK164&lt;&gt;"Unique",AB164="Mismatch",AC164="Mismatch",AJ164&lt;&gt;"OK"),"Invalid",IF(OR(H164="Yes",O164="Yes",T164="Missing"),"Warning","Clean"))</f>
        <v>Invalid</v>
      </c>
    </row>
    <row r="165" customFormat="false" ht="15" hidden="false" customHeight="true" outlineLevel="0" collapsed="false">
      <c r="A165" s="3" t="s">
        <v>635</v>
      </c>
      <c r="B165" s="4" t="n">
        <v>45921</v>
      </c>
      <c r="C165" s="4" t="n">
        <v>45926</v>
      </c>
      <c r="D165" s="3" t="s">
        <v>636</v>
      </c>
      <c r="E165" s="3" t="s">
        <v>168</v>
      </c>
      <c r="F165" s="3" t="s">
        <v>121</v>
      </c>
      <c r="G165" s="3" t="s">
        <v>88</v>
      </c>
      <c r="H165" s="3" t="s">
        <v>43</v>
      </c>
      <c r="I165" s="3" t="s">
        <v>211</v>
      </c>
      <c r="J165" s="3" t="s">
        <v>212</v>
      </c>
      <c r="K165" s="3" t="s">
        <v>62</v>
      </c>
      <c r="L165" s="3" t="s">
        <v>63</v>
      </c>
      <c r="M165" s="3" t="s">
        <v>637</v>
      </c>
      <c r="N165" s="3" t="s">
        <v>237</v>
      </c>
      <c r="O165" s="3" t="s">
        <v>238</v>
      </c>
      <c r="P165" s="5" t="n">
        <v>6</v>
      </c>
      <c r="Q165" s="6" t="n">
        <v>2903.58</v>
      </c>
      <c r="R165" s="3" t="s">
        <v>203</v>
      </c>
      <c r="S165" s="7" t="n">
        <v>0.1</v>
      </c>
      <c r="T165" s="3" t="s">
        <v>51</v>
      </c>
      <c r="U165" s="7" t="n">
        <f aca="false">IF(T165="Valid",S165,0)</f>
        <v>0.1</v>
      </c>
      <c r="V165" s="6" t="n">
        <v>15679.33</v>
      </c>
      <c r="W165" s="6" t="n">
        <v>12477.82</v>
      </c>
      <c r="X165" s="6" t="n">
        <v>3201.51</v>
      </c>
      <c r="Y165" s="6" t="n">
        <f aca="false">P165*Q165*(1-U165)</f>
        <v>15679.332</v>
      </c>
      <c r="Z165" s="6" t="n">
        <f aca="false">Y165-W165</f>
        <v>3201.512</v>
      </c>
      <c r="AA165" s="8" t="n">
        <f aca="false">IF(Y165=0,0,Z165/Y165)</f>
        <v>0.204186759997173</v>
      </c>
      <c r="AB165" s="3" t="str">
        <f aca="false">IF(ABS(V165-Y165)&gt;1,"Mismatch","OK")</f>
        <v>OK</v>
      </c>
      <c r="AC165" s="3" t="str">
        <f aca="false">IF(ABS(X165-Z165)&gt;1,"Mismatch","OK")</f>
        <v>OK</v>
      </c>
      <c r="AD165" s="5" t="n">
        <f aca="false">IF(OR(B165="",C165=""),"",C165-B165)</f>
        <v>5</v>
      </c>
      <c r="AE165" s="3" t="str">
        <f aca="false">IF(AD165="","Unknown",IF(AD165&lt;0,"Invalid - Ship Before Order","OK"))</f>
        <v>OK</v>
      </c>
      <c r="AF165" s="5" t="n">
        <f aca="false">IF(B165="","",MONTH(B165))</f>
        <v>9</v>
      </c>
      <c r="AG165" s="5" t="n">
        <f aca="false">IF(B165="","",YEAR(B165))</f>
        <v>2025</v>
      </c>
      <c r="AH165" s="3" t="s">
        <v>138</v>
      </c>
      <c r="AI165" s="3" t="s">
        <v>130</v>
      </c>
      <c r="AJ165" s="3" t="str">
        <f aca="false">IF(AND(AI165="Completed",AH165="Failed"),"Inconsistent - Completed Order with Failed Payment","OK")</f>
        <v>OK</v>
      </c>
      <c r="AK165" s="3" t="s">
        <v>54</v>
      </c>
      <c r="AL165" s="3" t="str">
        <f aca="false">IF(OR(T165="Negative - Invalid",T165="Above Allowed Range - Invalid",AE165="Invalid - Ship Before Order",AK165&lt;&gt;"Unique",AB165="Mismatch",AC165="Mismatch",AJ165&lt;&gt;"OK"),"Invalid",IF(OR(H165="Yes",O165="Yes",T165="Missing"),"Warning","Clean"))</f>
        <v>Warning</v>
      </c>
    </row>
    <row r="166" customFormat="false" ht="15" hidden="false" customHeight="true" outlineLevel="0" collapsed="false">
      <c r="A166" s="3" t="s">
        <v>638</v>
      </c>
      <c r="B166" s="4" t="n">
        <v>45909</v>
      </c>
      <c r="C166" s="4" t="n">
        <v>45914</v>
      </c>
      <c r="D166" s="3" t="s">
        <v>639</v>
      </c>
      <c r="E166" s="3" t="s">
        <v>145</v>
      </c>
      <c r="F166" s="3" t="s">
        <v>58</v>
      </c>
      <c r="G166" s="3" t="s">
        <v>59</v>
      </c>
      <c r="H166" s="3" t="s">
        <v>43</v>
      </c>
      <c r="I166" s="3" t="s">
        <v>125</v>
      </c>
      <c r="J166" s="3" t="s">
        <v>126</v>
      </c>
      <c r="K166" s="3" t="s">
        <v>62</v>
      </c>
      <c r="L166" s="3" t="s">
        <v>188</v>
      </c>
      <c r="M166" s="3" t="s">
        <v>640</v>
      </c>
      <c r="N166" s="3" t="s">
        <v>49</v>
      </c>
      <c r="O166" s="3" t="s">
        <v>43</v>
      </c>
      <c r="P166" s="5" t="n">
        <v>1</v>
      </c>
      <c r="Q166" s="6" t="n">
        <v>3154.42</v>
      </c>
      <c r="R166" s="3" t="s">
        <v>84</v>
      </c>
      <c r="S166" s="7" t="n">
        <v>0.25</v>
      </c>
      <c r="T166" s="3" t="s">
        <v>51</v>
      </c>
      <c r="U166" s="7" t="n">
        <f aca="false">IF(T166="Valid",S166,0)</f>
        <v>0.25</v>
      </c>
      <c r="V166" s="6" t="n">
        <v>2365.82</v>
      </c>
      <c r="W166" s="6" t="n">
        <v>1547.99</v>
      </c>
      <c r="X166" s="6" t="n">
        <v>817.83</v>
      </c>
      <c r="Y166" s="6" t="n">
        <f aca="false">P166*Q166*(1-U166)</f>
        <v>2365.815</v>
      </c>
      <c r="Z166" s="6" t="n">
        <f aca="false">Y166-W166</f>
        <v>817.825</v>
      </c>
      <c r="AA166" s="8" t="n">
        <f aca="false">IF(Y166=0,0,Z166/Y166)</f>
        <v>0.345684256799454</v>
      </c>
      <c r="AB166" s="3" t="str">
        <f aca="false">IF(ABS(V166-Y166)&gt;1,"Mismatch","OK")</f>
        <v>OK</v>
      </c>
      <c r="AC166" s="3" t="str">
        <f aca="false">IF(ABS(X166-Z166)&gt;1,"Mismatch","OK")</f>
        <v>OK</v>
      </c>
      <c r="AD166" s="5" t="n">
        <f aca="false">IF(OR(B166="",C166=""),"",C166-B166)</f>
        <v>5</v>
      </c>
      <c r="AE166" s="3" t="str">
        <f aca="false">IF(AD166="","Unknown",IF(AD166&lt;0,"Invalid - Ship Before Order","OK"))</f>
        <v>OK</v>
      </c>
      <c r="AF166" s="5" t="n">
        <f aca="false">IF(B166="","",MONTH(B166))</f>
        <v>9</v>
      </c>
      <c r="AG166" s="5" t="n">
        <f aca="false">IF(B166="","",YEAR(B166))</f>
        <v>2025</v>
      </c>
      <c r="AH166" s="3" t="s">
        <v>52</v>
      </c>
      <c r="AI166" s="3" t="s">
        <v>53</v>
      </c>
      <c r="AJ166" s="3" t="str">
        <f aca="false">IF(AND(AI166="Completed",AH166="Failed"),"Inconsistent - Completed Order with Failed Payment","OK")</f>
        <v>OK</v>
      </c>
      <c r="AK166" s="3" t="s">
        <v>54</v>
      </c>
      <c r="AL166" s="3" t="str">
        <f aca="false">IF(OR(T166="Negative - Invalid",T166="Above Allowed Range - Invalid",AE166="Invalid - Ship Before Order",AK166&lt;&gt;"Unique",AB166="Mismatch",AC166="Mismatch",AJ166&lt;&gt;"OK"),"Invalid",IF(OR(H166="Yes",O166="Yes",T166="Missing"),"Warning","Clean"))</f>
        <v>Clean</v>
      </c>
    </row>
    <row r="167" customFormat="false" ht="15" hidden="false" customHeight="true" outlineLevel="0" collapsed="false">
      <c r="A167" s="3" t="s">
        <v>641</v>
      </c>
      <c r="B167" s="4" t="n">
        <v>45618</v>
      </c>
      <c r="C167" s="4" t="n">
        <v>45625</v>
      </c>
      <c r="D167" s="3" t="s">
        <v>642</v>
      </c>
      <c r="E167" s="3" t="s">
        <v>57</v>
      </c>
      <c r="F167" s="3" t="s">
        <v>121</v>
      </c>
      <c r="G167" s="3" t="s">
        <v>59</v>
      </c>
      <c r="H167" s="3" t="s">
        <v>43</v>
      </c>
      <c r="I167" s="3" t="s">
        <v>174</v>
      </c>
      <c r="J167" s="3" t="s">
        <v>175</v>
      </c>
      <c r="K167" s="3" t="s">
        <v>62</v>
      </c>
      <c r="L167" s="3" t="s">
        <v>91</v>
      </c>
      <c r="M167" s="3" t="s">
        <v>643</v>
      </c>
      <c r="N167" s="3" t="s">
        <v>83</v>
      </c>
      <c r="O167" s="3" t="s">
        <v>43</v>
      </c>
      <c r="P167" s="5" t="n">
        <v>4</v>
      </c>
      <c r="Q167" s="6" t="n">
        <v>3422.99</v>
      </c>
      <c r="R167" s="3" t="s">
        <v>84</v>
      </c>
      <c r="S167" s="7" t="n">
        <v>0.25</v>
      </c>
      <c r="T167" s="3" t="s">
        <v>51</v>
      </c>
      <c r="U167" s="7" t="n">
        <f aca="false">IF(T167="Valid",S167,0)</f>
        <v>0.25</v>
      </c>
      <c r="V167" s="6" t="n">
        <v>10268.97</v>
      </c>
      <c r="W167" s="6" t="n">
        <v>6470.92</v>
      </c>
      <c r="X167" s="6" t="n">
        <v>3798.05</v>
      </c>
      <c r="Y167" s="6" t="n">
        <f aca="false">P167*Q167*(1-U167)</f>
        <v>10268.97</v>
      </c>
      <c r="Z167" s="6" t="n">
        <f aca="false">Y167-W167</f>
        <v>3798.05</v>
      </c>
      <c r="AA167" s="8" t="n">
        <f aca="false">IF(Y167=0,0,Z167/Y167)</f>
        <v>0.369856957416372</v>
      </c>
      <c r="AB167" s="3" t="str">
        <f aca="false">IF(ABS(V167-Y167)&gt;1,"Mismatch","OK")</f>
        <v>OK</v>
      </c>
      <c r="AC167" s="3" t="str">
        <f aca="false">IF(ABS(X167-Z167)&gt;1,"Mismatch","OK")</f>
        <v>OK</v>
      </c>
      <c r="AD167" s="5" t="n">
        <f aca="false">IF(OR(B167="",C167=""),"",C167-B167)</f>
        <v>7</v>
      </c>
      <c r="AE167" s="3" t="str">
        <f aca="false">IF(AD167="","Unknown",IF(AD167&lt;0,"Invalid - Ship Before Order","OK"))</f>
        <v>OK</v>
      </c>
      <c r="AF167" s="5" t="n">
        <f aca="false">IF(B167="","",MONTH(B167))</f>
        <v>11</v>
      </c>
      <c r="AG167" s="5" t="n">
        <f aca="false">IF(B167="","",YEAR(B167))</f>
        <v>2024</v>
      </c>
      <c r="AH167" s="3" t="s">
        <v>52</v>
      </c>
      <c r="AI167" s="3" t="s">
        <v>53</v>
      </c>
      <c r="AJ167" s="3" t="str">
        <f aca="false">IF(AND(AI167="Completed",AH167="Failed"),"Inconsistent - Completed Order with Failed Payment","OK")</f>
        <v>OK</v>
      </c>
      <c r="AK167" s="3" t="s">
        <v>54</v>
      </c>
      <c r="AL167" s="3" t="str">
        <f aca="false">IF(OR(T167="Negative - Invalid",T167="Above Allowed Range - Invalid",AE167="Invalid - Ship Before Order",AK167&lt;&gt;"Unique",AB167="Mismatch",AC167="Mismatch",AJ167&lt;&gt;"OK"),"Invalid",IF(OR(H167="Yes",O167="Yes",T167="Missing"),"Warning","Clean"))</f>
        <v>Clean</v>
      </c>
    </row>
    <row r="168" customFormat="false" ht="15" hidden="false" customHeight="true" outlineLevel="0" collapsed="false">
      <c r="A168" s="3" t="s">
        <v>644</v>
      </c>
      <c r="B168" s="4" t="n">
        <v>45708</v>
      </c>
      <c r="C168" s="4" t="n">
        <v>45714</v>
      </c>
      <c r="D168" s="3" t="s">
        <v>645</v>
      </c>
      <c r="E168" s="3" t="s">
        <v>40</v>
      </c>
      <c r="F168" s="3" t="s">
        <v>58</v>
      </c>
      <c r="G168" s="3" t="s">
        <v>88</v>
      </c>
      <c r="H168" s="3" t="s">
        <v>43</v>
      </c>
      <c r="I168" s="3" t="s">
        <v>211</v>
      </c>
      <c r="J168" s="3" t="s">
        <v>212</v>
      </c>
      <c r="K168" s="3" t="s">
        <v>46</v>
      </c>
      <c r="L168" s="3" t="s">
        <v>117</v>
      </c>
      <c r="M168" s="3" t="s">
        <v>646</v>
      </c>
      <c r="N168" s="3" t="s">
        <v>72</v>
      </c>
      <c r="O168" s="3" t="s">
        <v>43</v>
      </c>
      <c r="P168" s="5" t="n">
        <v>1</v>
      </c>
      <c r="Q168" s="6" t="n">
        <v>2557.85</v>
      </c>
      <c r="R168" s="3" t="s">
        <v>50</v>
      </c>
      <c r="S168" s="7" t="n">
        <v>0.2</v>
      </c>
      <c r="T168" s="3" t="s">
        <v>51</v>
      </c>
      <c r="U168" s="7" t="n">
        <f aca="false">IF(T168="Valid",S168,0)</f>
        <v>0.2</v>
      </c>
      <c r="V168" s="6" t="n">
        <v>2046.28</v>
      </c>
      <c r="W168" s="6" t="n">
        <v>1449.54</v>
      </c>
      <c r="X168" s="6" t="n">
        <v>596.74</v>
      </c>
      <c r="Y168" s="6" t="n">
        <f aca="false">P168*Q168*(1-U168)</f>
        <v>2046.28</v>
      </c>
      <c r="Z168" s="6" t="n">
        <f aca="false">Y168-W168</f>
        <v>596.74</v>
      </c>
      <c r="AA168" s="8" t="n">
        <f aca="false">IF(Y168=0,0,Z168/Y168)</f>
        <v>0.291621869929824</v>
      </c>
      <c r="AB168" s="3" t="str">
        <f aca="false">IF(ABS(V168-Y168)&gt;1,"Mismatch","OK")</f>
        <v>OK</v>
      </c>
      <c r="AC168" s="3" t="str">
        <f aca="false">IF(ABS(X168-Z168)&gt;1,"Mismatch","OK")</f>
        <v>OK</v>
      </c>
      <c r="AD168" s="5" t="n">
        <f aca="false">IF(OR(B168="",C168=""),"",C168-B168)</f>
        <v>6</v>
      </c>
      <c r="AE168" s="3" t="str">
        <f aca="false">IF(AD168="","Unknown",IF(AD168&lt;0,"Invalid - Ship Before Order","OK"))</f>
        <v>OK</v>
      </c>
      <c r="AF168" s="5" t="n">
        <f aca="false">IF(B168="","",MONTH(B168))</f>
        <v>2</v>
      </c>
      <c r="AG168" s="5" t="n">
        <f aca="false">IF(B168="","",YEAR(B168))</f>
        <v>2025</v>
      </c>
      <c r="AH168" s="3" t="s">
        <v>52</v>
      </c>
      <c r="AI168" s="3" t="s">
        <v>53</v>
      </c>
      <c r="AJ168" s="3" t="str">
        <f aca="false">IF(AND(AI168="Completed",AH168="Failed"),"Inconsistent - Completed Order with Failed Payment","OK")</f>
        <v>OK</v>
      </c>
      <c r="AK168" s="3" t="s">
        <v>54</v>
      </c>
      <c r="AL168" s="3" t="str">
        <f aca="false">IF(OR(T168="Negative - Invalid",T168="Above Allowed Range - Invalid",AE168="Invalid - Ship Before Order",AK168&lt;&gt;"Unique",AB168="Mismatch",AC168="Mismatch",AJ168&lt;&gt;"OK"),"Invalid",IF(OR(H168="Yes",O168="Yes",T168="Missing"),"Warning","Clean"))</f>
        <v>Clean</v>
      </c>
    </row>
    <row r="169" customFormat="false" ht="15" hidden="false" customHeight="true" outlineLevel="0" collapsed="false">
      <c r="A169" s="3" t="s">
        <v>647</v>
      </c>
      <c r="B169" s="4" t="n">
        <v>45887</v>
      </c>
      <c r="C169" s="4" t="n">
        <v>45887</v>
      </c>
      <c r="D169" s="3" t="s">
        <v>648</v>
      </c>
      <c r="E169" s="3" t="s">
        <v>77</v>
      </c>
      <c r="F169" s="3" t="s">
        <v>121</v>
      </c>
      <c r="G169" s="3" t="s">
        <v>78</v>
      </c>
      <c r="H169" s="3" t="s">
        <v>43</v>
      </c>
      <c r="I169" s="3" t="s">
        <v>206</v>
      </c>
      <c r="J169" s="3" t="s">
        <v>207</v>
      </c>
      <c r="K169" s="3" t="s">
        <v>46</v>
      </c>
      <c r="L169" s="3" t="s">
        <v>151</v>
      </c>
      <c r="M169" s="3" t="s">
        <v>649</v>
      </c>
      <c r="N169" s="3" t="s">
        <v>72</v>
      </c>
      <c r="O169" s="3" t="s">
        <v>43</v>
      </c>
      <c r="P169" s="5" t="n">
        <v>9</v>
      </c>
      <c r="Q169" s="6" t="n">
        <v>3030.93</v>
      </c>
      <c r="R169" s="3" t="s">
        <v>107</v>
      </c>
      <c r="S169" s="7" t="n">
        <v>0.15</v>
      </c>
      <c r="T169" s="3" t="s">
        <v>51</v>
      </c>
      <c r="U169" s="7" t="n">
        <f aca="false">IF(T169="Valid",S169,0)</f>
        <v>0.15</v>
      </c>
      <c r="V169" s="6" t="n">
        <v>23186.61</v>
      </c>
      <c r="W169" s="6" t="n">
        <v>17906.54</v>
      </c>
      <c r="X169" s="6" t="n">
        <v>5280.07</v>
      </c>
      <c r="Y169" s="6" t="n">
        <f aca="false">P169*Q169*(1-U169)</f>
        <v>23186.6145</v>
      </c>
      <c r="Z169" s="6" t="n">
        <f aca="false">Y169-W169</f>
        <v>5280.0745</v>
      </c>
      <c r="AA169" s="8" t="n">
        <f aca="false">IF(Y169=0,0,Z169/Y169)</f>
        <v>0.22772080417346</v>
      </c>
      <c r="AB169" s="3" t="str">
        <f aca="false">IF(ABS(V169-Y169)&gt;1,"Mismatch","OK")</f>
        <v>OK</v>
      </c>
      <c r="AC169" s="3" t="str">
        <f aca="false">IF(ABS(X169-Z169)&gt;1,"Mismatch","OK")</f>
        <v>OK</v>
      </c>
      <c r="AD169" s="5" t="n">
        <f aca="false">IF(OR(B169="",C169=""),"",C169-B169)</f>
        <v>0</v>
      </c>
      <c r="AE169" s="3" t="str">
        <f aca="false">IF(AD169="","Unknown",IF(AD169&lt;0,"Invalid - Ship Before Order","OK"))</f>
        <v>OK</v>
      </c>
      <c r="AF169" s="5" t="n">
        <f aca="false">IF(B169="","",MONTH(B169))</f>
        <v>8</v>
      </c>
      <c r="AG169" s="5" t="n">
        <f aca="false">IF(B169="","",YEAR(B169))</f>
        <v>2025</v>
      </c>
      <c r="AH169" s="3" t="s">
        <v>52</v>
      </c>
      <c r="AI169" s="3" t="s">
        <v>130</v>
      </c>
      <c r="AJ169" s="3" t="str">
        <f aca="false">IF(AND(AI169="Completed",AH169="Failed"),"Inconsistent - Completed Order with Failed Payment","OK")</f>
        <v>OK</v>
      </c>
      <c r="AK169" s="3" t="s">
        <v>54</v>
      </c>
      <c r="AL169" s="3" t="str">
        <f aca="false">IF(OR(T169="Negative - Invalid",T169="Above Allowed Range - Invalid",AE169="Invalid - Ship Before Order",AK169&lt;&gt;"Unique",AB169="Mismatch",AC169="Mismatch",AJ169&lt;&gt;"OK"),"Invalid",IF(OR(H169="Yes",O169="Yes",T169="Missing"),"Warning","Clean"))</f>
        <v>Clean</v>
      </c>
    </row>
    <row r="170" customFormat="false" ht="15" hidden="false" customHeight="true" outlineLevel="0" collapsed="false">
      <c r="A170" s="3" t="s">
        <v>650</v>
      </c>
      <c r="B170" s="4" t="n">
        <v>45677</v>
      </c>
      <c r="C170" s="4" t="n">
        <v>45680</v>
      </c>
      <c r="D170" s="3" t="s">
        <v>651</v>
      </c>
      <c r="E170" s="3" t="s">
        <v>298</v>
      </c>
      <c r="F170" s="3" t="s">
        <v>41</v>
      </c>
      <c r="G170" s="3" t="s">
        <v>88</v>
      </c>
      <c r="H170" s="3" t="s">
        <v>43</v>
      </c>
      <c r="I170" s="3" t="s">
        <v>89</v>
      </c>
      <c r="J170" s="3" t="s">
        <v>90</v>
      </c>
      <c r="K170" s="3" t="s">
        <v>99</v>
      </c>
      <c r="L170" s="3" t="s">
        <v>100</v>
      </c>
      <c r="M170" s="3" t="s">
        <v>652</v>
      </c>
      <c r="N170" s="3" t="s">
        <v>65</v>
      </c>
      <c r="O170" s="3" t="s">
        <v>43</v>
      </c>
      <c r="P170" s="5" t="n">
        <v>5</v>
      </c>
      <c r="Q170" s="6" t="n">
        <v>639.27</v>
      </c>
      <c r="R170" s="3" t="s">
        <v>50</v>
      </c>
      <c r="S170" s="7" t="n">
        <v>0.2</v>
      </c>
      <c r="T170" s="3" t="s">
        <v>51</v>
      </c>
      <c r="U170" s="7" t="n">
        <f aca="false">IF(T170="Valid",S170,0)</f>
        <v>0.2</v>
      </c>
      <c r="V170" s="6" t="n">
        <v>2557.08</v>
      </c>
      <c r="W170" s="6" t="n">
        <v>2025.69</v>
      </c>
      <c r="X170" s="6" t="n">
        <v>531.39</v>
      </c>
      <c r="Y170" s="6" t="n">
        <f aca="false">P170*Q170*(1-U170)</f>
        <v>2557.08</v>
      </c>
      <c r="Z170" s="6" t="n">
        <f aca="false">Y170-W170</f>
        <v>531.39</v>
      </c>
      <c r="AA170" s="8" t="n">
        <f aca="false">IF(Y170=0,0,Z170/Y170)</f>
        <v>0.207811253460979</v>
      </c>
      <c r="AB170" s="3" t="str">
        <f aca="false">IF(ABS(V170-Y170)&gt;1,"Mismatch","OK")</f>
        <v>OK</v>
      </c>
      <c r="AC170" s="3" t="str">
        <f aca="false">IF(ABS(X170-Z170)&gt;1,"Mismatch","OK")</f>
        <v>OK</v>
      </c>
      <c r="AD170" s="5" t="n">
        <f aca="false">IF(OR(B170="",C170=""),"",C170-B170)</f>
        <v>3</v>
      </c>
      <c r="AE170" s="3" t="str">
        <f aca="false">IF(AD170="","Unknown",IF(AD170&lt;0,"Invalid - Ship Before Order","OK"))</f>
        <v>OK</v>
      </c>
      <c r="AF170" s="5" t="n">
        <f aca="false">IF(B170="","",MONTH(B170))</f>
        <v>1</v>
      </c>
      <c r="AG170" s="5" t="n">
        <f aca="false">IF(B170="","",YEAR(B170))</f>
        <v>2025</v>
      </c>
      <c r="AH170" s="3" t="s">
        <v>52</v>
      </c>
      <c r="AI170" s="3" t="s">
        <v>93</v>
      </c>
      <c r="AJ170" s="3" t="str">
        <f aca="false">IF(AND(AI170="Completed",AH170="Failed"),"Inconsistent - Completed Order with Failed Payment","OK")</f>
        <v>OK</v>
      </c>
      <c r="AK170" s="3" t="s">
        <v>54</v>
      </c>
      <c r="AL170" s="3" t="str">
        <f aca="false">IF(OR(T170="Negative - Invalid",T170="Above Allowed Range - Invalid",AE170="Invalid - Ship Before Order",AK170&lt;&gt;"Unique",AB170="Mismatch",AC170="Mismatch",AJ170&lt;&gt;"OK"),"Invalid",IF(OR(H170="Yes",O170="Yes",T170="Missing"),"Warning","Clean"))</f>
        <v>Clean</v>
      </c>
    </row>
    <row r="171" customFormat="false" ht="15" hidden="false" customHeight="true" outlineLevel="0" collapsed="false">
      <c r="A171" s="3" t="s">
        <v>653</v>
      </c>
      <c r="B171" s="4" t="n">
        <v>45913</v>
      </c>
      <c r="C171" s="4" t="n">
        <v>45913</v>
      </c>
      <c r="D171" s="3" t="s">
        <v>654</v>
      </c>
      <c r="E171" s="3" t="s">
        <v>192</v>
      </c>
      <c r="F171" s="3" t="s">
        <v>41</v>
      </c>
      <c r="G171" s="3" t="s">
        <v>59</v>
      </c>
      <c r="H171" s="3" t="s">
        <v>43</v>
      </c>
      <c r="I171" s="3" t="s">
        <v>196</v>
      </c>
      <c r="J171" s="3" t="s">
        <v>197</v>
      </c>
      <c r="K171" s="3" t="s">
        <v>46</v>
      </c>
      <c r="L171" s="3" t="s">
        <v>70</v>
      </c>
      <c r="M171" s="3" t="s">
        <v>655</v>
      </c>
      <c r="N171" s="3" t="s">
        <v>83</v>
      </c>
      <c r="O171" s="3" t="s">
        <v>43</v>
      </c>
      <c r="P171" s="5" t="n">
        <v>8</v>
      </c>
      <c r="Q171" s="6" t="n">
        <v>733.9</v>
      </c>
      <c r="R171" s="3" t="s">
        <v>128</v>
      </c>
      <c r="S171" s="7" t="n">
        <v>0.05</v>
      </c>
      <c r="T171" s="3" t="s">
        <v>51</v>
      </c>
      <c r="U171" s="7" t="n">
        <f aca="false">IF(T171="Valid",S171,0)</f>
        <v>0.05</v>
      </c>
      <c r="V171" s="6" t="n">
        <v>5577.64</v>
      </c>
      <c r="W171" s="6" t="n">
        <v>3541.29</v>
      </c>
      <c r="X171" s="6" t="n">
        <v>2036.35</v>
      </c>
      <c r="Y171" s="6" t="n">
        <f aca="false">P171*Q171*(1-U171)</f>
        <v>5577.64</v>
      </c>
      <c r="Z171" s="6" t="n">
        <f aca="false">Y171-W171</f>
        <v>2036.35</v>
      </c>
      <c r="AA171" s="8" t="n">
        <f aca="false">IF(Y171=0,0,Z171/Y171)</f>
        <v>0.365091687523756</v>
      </c>
      <c r="AB171" s="3" t="str">
        <f aca="false">IF(ABS(V171-Y171)&gt;1,"Mismatch","OK")</f>
        <v>OK</v>
      </c>
      <c r="AC171" s="3" t="str">
        <f aca="false">IF(ABS(X171-Z171)&gt;1,"Mismatch","OK")</f>
        <v>OK</v>
      </c>
      <c r="AD171" s="5" t="n">
        <f aca="false">IF(OR(B171="",C171=""),"",C171-B171)</f>
        <v>0</v>
      </c>
      <c r="AE171" s="3" t="str">
        <f aca="false">IF(AD171="","Unknown",IF(AD171&lt;0,"Invalid - Ship Before Order","OK"))</f>
        <v>OK</v>
      </c>
      <c r="AF171" s="5" t="n">
        <f aca="false">IF(B171="","",MONTH(B171))</f>
        <v>9</v>
      </c>
      <c r="AG171" s="5" t="n">
        <f aca="false">IF(B171="","",YEAR(B171))</f>
        <v>2025</v>
      </c>
      <c r="AH171" s="3" t="s">
        <v>138</v>
      </c>
      <c r="AI171" s="3" t="s">
        <v>130</v>
      </c>
      <c r="AJ171" s="3" t="str">
        <f aca="false">IF(AND(AI171="Completed",AH171="Failed"),"Inconsistent - Completed Order with Failed Payment","OK")</f>
        <v>OK</v>
      </c>
      <c r="AK171" s="3" t="s">
        <v>54</v>
      </c>
      <c r="AL171" s="3" t="str">
        <f aca="false">IF(OR(T171="Negative - Invalid",T171="Above Allowed Range - Invalid",AE171="Invalid - Ship Before Order",AK171&lt;&gt;"Unique",AB171="Mismatch",AC171="Mismatch",AJ171&lt;&gt;"OK"),"Invalid",IF(OR(H171="Yes",O171="Yes",T171="Missing"),"Warning","Clean"))</f>
        <v>Clean</v>
      </c>
    </row>
    <row r="172" customFormat="false" ht="15" hidden="false" customHeight="true" outlineLevel="0" collapsed="false">
      <c r="A172" s="3" t="s">
        <v>656</v>
      </c>
      <c r="B172" s="4" t="n">
        <v>45907</v>
      </c>
      <c r="C172" s="4" t="n">
        <v>45915</v>
      </c>
      <c r="D172" s="3" t="s">
        <v>657</v>
      </c>
      <c r="E172" s="3" t="s">
        <v>168</v>
      </c>
      <c r="F172" s="3" t="s">
        <v>116</v>
      </c>
      <c r="G172" s="3" t="s">
        <v>59</v>
      </c>
      <c r="H172" s="3" t="s">
        <v>43</v>
      </c>
      <c r="I172" s="3" t="s">
        <v>174</v>
      </c>
      <c r="J172" s="3" t="s">
        <v>175</v>
      </c>
      <c r="K172" s="3" t="s">
        <v>99</v>
      </c>
      <c r="L172" s="3" t="s">
        <v>105</v>
      </c>
      <c r="M172" s="3" t="s">
        <v>658</v>
      </c>
      <c r="N172" s="3" t="s">
        <v>83</v>
      </c>
      <c r="O172" s="3" t="s">
        <v>43</v>
      </c>
      <c r="P172" s="5" t="n">
        <v>3</v>
      </c>
      <c r="Q172" s="6" t="n">
        <v>1711.32</v>
      </c>
      <c r="R172" s="3" t="s">
        <v>66</v>
      </c>
      <c r="S172" s="7" t="n">
        <v>0</v>
      </c>
      <c r="T172" s="3" t="s">
        <v>51</v>
      </c>
      <c r="U172" s="7" t="n">
        <f aca="false">IF(T172="Valid",S172,0)</f>
        <v>0</v>
      </c>
      <c r="V172" s="6" t="n">
        <v>5133.96</v>
      </c>
      <c r="W172" s="6" t="n">
        <v>3930</v>
      </c>
      <c r="X172" s="6" t="n">
        <v>1203.96</v>
      </c>
      <c r="Y172" s="6" t="n">
        <f aca="false">P172*Q172*(1-U172)</f>
        <v>5133.96</v>
      </c>
      <c r="Z172" s="6" t="n">
        <f aca="false">Y172-W172</f>
        <v>1203.96</v>
      </c>
      <c r="AA172" s="8" t="n">
        <f aca="false">IF(Y172=0,0,Z172/Y172)</f>
        <v>0.234509033962088</v>
      </c>
      <c r="AB172" s="3" t="str">
        <f aca="false">IF(ABS(V172-Y172)&gt;1,"Mismatch","OK")</f>
        <v>OK</v>
      </c>
      <c r="AC172" s="3" t="str">
        <f aca="false">IF(ABS(X172-Z172)&gt;1,"Mismatch","OK")</f>
        <v>OK</v>
      </c>
      <c r="AD172" s="5" t="n">
        <f aca="false">IF(OR(B172="",C172=""),"",C172-B172)</f>
        <v>8</v>
      </c>
      <c r="AE172" s="3" t="str">
        <f aca="false">IF(AD172="","Unknown",IF(AD172&lt;0,"Invalid - Ship Before Order","OK"))</f>
        <v>OK</v>
      </c>
      <c r="AF172" s="5" t="n">
        <f aca="false">IF(B172="","",MONTH(B172))</f>
        <v>9</v>
      </c>
      <c r="AG172" s="5" t="n">
        <f aca="false">IF(B172="","",YEAR(B172))</f>
        <v>2025</v>
      </c>
      <c r="AH172" s="3" t="s">
        <v>52</v>
      </c>
      <c r="AI172" s="3" t="s">
        <v>53</v>
      </c>
      <c r="AJ172" s="3" t="str">
        <f aca="false">IF(AND(AI172="Completed",AH172="Failed"),"Inconsistent - Completed Order with Failed Payment","OK")</f>
        <v>OK</v>
      </c>
      <c r="AK172" s="3" t="s">
        <v>417</v>
      </c>
      <c r="AL172" s="3" t="str">
        <f aca="false">IF(OR(T172="Negative - Invalid",T172="Above Allowed Range - Invalid",AE172="Invalid - Ship Before Order",AK172&lt;&gt;"Unique",AB172="Mismatch",AC172="Mismatch",AJ172&lt;&gt;"OK"),"Invalid",IF(OR(H172="Yes",O172="Yes",T172="Missing"),"Warning","Clean"))</f>
        <v>Invalid</v>
      </c>
    </row>
    <row r="173" customFormat="false" ht="15" hidden="false" customHeight="true" outlineLevel="0" collapsed="false">
      <c r="A173" s="3" t="s">
        <v>659</v>
      </c>
      <c r="B173" s="4" t="n">
        <v>45711</v>
      </c>
      <c r="C173" s="4" t="n">
        <v>45713</v>
      </c>
      <c r="D173" s="3" t="s">
        <v>660</v>
      </c>
      <c r="E173" s="3" t="s">
        <v>40</v>
      </c>
      <c r="F173" s="3" t="s">
        <v>116</v>
      </c>
      <c r="G173" s="3" t="s">
        <v>59</v>
      </c>
      <c r="H173" s="3" t="s">
        <v>43</v>
      </c>
      <c r="I173" s="3" t="s">
        <v>174</v>
      </c>
      <c r="J173" s="3" t="s">
        <v>175</v>
      </c>
      <c r="K173" s="3" t="s">
        <v>46</v>
      </c>
      <c r="L173" s="3" t="s">
        <v>117</v>
      </c>
      <c r="M173" s="3" t="s">
        <v>661</v>
      </c>
      <c r="N173" s="3" t="s">
        <v>65</v>
      </c>
      <c r="O173" s="3" t="s">
        <v>43</v>
      </c>
      <c r="P173" s="5" t="n">
        <v>5</v>
      </c>
      <c r="Q173" s="6" t="n">
        <v>4246.27</v>
      </c>
      <c r="R173" s="3" t="s">
        <v>84</v>
      </c>
      <c r="S173" s="7" t="n">
        <v>0.25</v>
      </c>
      <c r="T173" s="3" t="s">
        <v>51</v>
      </c>
      <c r="U173" s="7" t="n">
        <f aca="false">IF(T173="Valid",S173,0)</f>
        <v>0.25</v>
      </c>
      <c r="V173" s="6" t="n">
        <v>15923.51</v>
      </c>
      <c r="W173" s="6" t="n">
        <v>11291.8</v>
      </c>
      <c r="X173" s="6" t="n">
        <v>4631.71</v>
      </c>
      <c r="Y173" s="6" t="n">
        <f aca="false">P173*Q173*(1-U173)</f>
        <v>15923.5125</v>
      </c>
      <c r="Z173" s="6" t="n">
        <f aca="false">Y173-W173</f>
        <v>4631.7125</v>
      </c>
      <c r="AA173" s="8" t="n">
        <f aca="false">IF(Y173=0,0,Z173/Y173)</f>
        <v>0.290872538329719</v>
      </c>
      <c r="AB173" s="3" t="str">
        <f aca="false">IF(ABS(V173-Y173)&gt;1,"Mismatch","OK")</f>
        <v>OK</v>
      </c>
      <c r="AC173" s="3" t="str">
        <f aca="false">IF(ABS(X173-Z173)&gt;1,"Mismatch","OK")</f>
        <v>OK</v>
      </c>
      <c r="AD173" s="5" t="n">
        <f aca="false">IF(OR(B173="",C173=""),"",C173-B173)</f>
        <v>2</v>
      </c>
      <c r="AE173" s="3" t="str">
        <f aca="false">IF(AD173="","Unknown",IF(AD173&lt;0,"Invalid - Ship Before Order","OK"))</f>
        <v>OK</v>
      </c>
      <c r="AF173" s="5" t="n">
        <f aca="false">IF(B173="","",MONTH(B173))</f>
        <v>2</v>
      </c>
      <c r="AG173" s="5" t="n">
        <f aca="false">IF(B173="","",YEAR(B173))</f>
        <v>2025</v>
      </c>
      <c r="AH173" s="3" t="s">
        <v>52</v>
      </c>
      <c r="AI173" s="3" t="s">
        <v>53</v>
      </c>
      <c r="AJ173" s="3" t="str">
        <f aca="false">IF(AND(AI173="Completed",AH173="Failed"),"Inconsistent - Completed Order with Failed Payment","OK")</f>
        <v>OK</v>
      </c>
      <c r="AK173" s="3" t="s">
        <v>54</v>
      </c>
      <c r="AL173" s="3" t="str">
        <f aca="false">IF(OR(T173="Negative - Invalid",T173="Above Allowed Range - Invalid",AE173="Invalid - Ship Before Order",AK173&lt;&gt;"Unique",AB173="Mismatch",AC173="Mismatch",AJ173&lt;&gt;"OK"),"Invalid",IF(OR(H173="Yes",O173="Yes",T173="Missing"),"Warning","Clean"))</f>
        <v>Clean</v>
      </c>
    </row>
    <row r="174" customFormat="false" ht="15" hidden="false" customHeight="true" outlineLevel="0" collapsed="false">
      <c r="A174" s="3" t="s">
        <v>662</v>
      </c>
      <c r="B174" s="4" t="n">
        <v>45871</v>
      </c>
      <c r="C174" s="4" t="n">
        <v>45879</v>
      </c>
      <c r="D174" s="3" t="s">
        <v>663</v>
      </c>
      <c r="E174" s="3" t="s">
        <v>40</v>
      </c>
      <c r="F174" s="3" t="s">
        <v>116</v>
      </c>
      <c r="G174" s="3" t="s">
        <v>42</v>
      </c>
      <c r="H174" s="3" t="s">
        <v>43</v>
      </c>
      <c r="I174" s="3" t="s">
        <v>384</v>
      </c>
      <c r="J174" s="3" t="s">
        <v>385</v>
      </c>
      <c r="K174" s="3" t="s">
        <v>62</v>
      </c>
      <c r="L174" s="3" t="s">
        <v>81</v>
      </c>
      <c r="M174" s="3" t="s">
        <v>664</v>
      </c>
      <c r="N174" s="3" t="s">
        <v>65</v>
      </c>
      <c r="O174" s="3" t="s">
        <v>43</v>
      </c>
      <c r="P174" s="5" t="n">
        <v>9</v>
      </c>
      <c r="Q174" s="6" t="n">
        <v>2962.62</v>
      </c>
      <c r="R174" s="3" t="s">
        <v>203</v>
      </c>
      <c r="S174" s="7" t="n">
        <v>0.1</v>
      </c>
      <c r="T174" s="3" t="s">
        <v>51</v>
      </c>
      <c r="U174" s="7" t="n">
        <f aca="false">IF(T174="Valid",S174,0)</f>
        <v>0.1</v>
      </c>
      <c r="V174" s="6" t="n">
        <v>23997.22</v>
      </c>
      <c r="W174" s="6" t="n">
        <v>16134.63</v>
      </c>
      <c r="X174" s="6" t="n">
        <v>7862.59</v>
      </c>
      <c r="Y174" s="6" t="n">
        <f aca="false">P174*Q174*(1-U174)</f>
        <v>23997.222</v>
      </c>
      <c r="Z174" s="6" t="n">
        <f aca="false">Y174-W174</f>
        <v>7862.592</v>
      </c>
      <c r="AA174" s="8" t="n">
        <f aca="false">IF(Y174=0,0,Z174/Y174)</f>
        <v>0.327645925015821</v>
      </c>
      <c r="AB174" s="3" t="str">
        <f aca="false">IF(ABS(V174-Y174)&gt;1,"Mismatch","OK")</f>
        <v>OK</v>
      </c>
      <c r="AC174" s="3" t="str">
        <f aca="false">IF(ABS(X174-Z174)&gt;1,"Mismatch","OK")</f>
        <v>OK</v>
      </c>
      <c r="AD174" s="5" t="n">
        <f aca="false">IF(OR(B174="",C174=""),"",C174-B174)</f>
        <v>8</v>
      </c>
      <c r="AE174" s="3" t="str">
        <f aca="false">IF(AD174="","Unknown",IF(AD174&lt;0,"Invalid - Ship Before Order","OK"))</f>
        <v>OK</v>
      </c>
      <c r="AF174" s="5" t="n">
        <f aca="false">IF(B174="","",MONTH(B174))</f>
        <v>8</v>
      </c>
      <c r="AG174" s="5" t="n">
        <f aca="false">IF(B174="","",YEAR(B174))</f>
        <v>2025</v>
      </c>
      <c r="AH174" s="3" t="s">
        <v>129</v>
      </c>
      <c r="AI174" s="3" t="s">
        <v>130</v>
      </c>
      <c r="AJ174" s="3" t="str">
        <f aca="false">IF(AND(AI174="Completed",AH174="Failed"),"Inconsistent - Completed Order with Failed Payment","OK")</f>
        <v>OK</v>
      </c>
      <c r="AK174" s="3" t="s">
        <v>54</v>
      </c>
      <c r="AL174" s="3" t="str">
        <f aca="false">IF(OR(T174="Negative - Invalid",T174="Above Allowed Range - Invalid",AE174="Invalid - Ship Before Order",AK174&lt;&gt;"Unique",AB174="Mismatch",AC174="Mismatch",AJ174&lt;&gt;"OK"),"Invalid",IF(OR(H174="Yes",O174="Yes",T174="Missing"),"Warning","Clean"))</f>
        <v>Clean</v>
      </c>
    </row>
    <row r="175" customFormat="false" ht="15" hidden="false" customHeight="true" outlineLevel="0" collapsed="false">
      <c r="A175" s="3" t="s">
        <v>665</v>
      </c>
      <c r="B175" s="4" t="n">
        <v>45414</v>
      </c>
      <c r="C175" s="4" t="n">
        <v>45420</v>
      </c>
      <c r="D175" s="3" t="s">
        <v>666</v>
      </c>
      <c r="E175" s="3" t="s">
        <v>141</v>
      </c>
      <c r="F175" s="3" t="s">
        <v>121</v>
      </c>
      <c r="G175" s="3" t="s">
        <v>42</v>
      </c>
      <c r="H175" s="3" t="s">
        <v>43</v>
      </c>
      <c r="I175" s="3" t="s">
        <v>149</v>
      </c>
      <c r="J175" s="3" t="s">
        <v>150</v>
      </c>
      <c r="K175" s="3" t="s">
        <v>99</v>
      </c>
      <c r="L175" s="3" t="s">
        <v>105</v>
      </c>
      <c r="M175" s="3" t="s">
        <v>667</v>
      </c>
      <c r="N175" s="3" t="s">
        <v>49</v>
      </c>
      <c r="O175" s="3" t="s">
        <v>43</v>
      </c>
      <c r="P175" s="5" t="n">
        <v>1</v>
      </c>
      <c r="Q175" s="6" t="n">
        <v>2312.25</v>
      </c>
      <c r="R175" s="3" t="s">
        <v>84</v>
      </c>
      <c r="S175" s="7" t="n">
        <v>0.25</v>
      </c>
      <c r="T175" s="3" t="s">
        <v>51</v>
      </c>
      <c r="U175" s="7" t="n">
        <f aca="false">IF(T175="Valid",S175,0)</f>
        <v>0.25</v>
      </c>
      <c r="V175" s="6" t="n">
        <v>1734.19</v>
      </c>
      <c r="W175" s="6" t="n">
        <v>1386.07</v>
      </c>
      <c r="X175" s="6" t="n">
        <v>348.12</v>
      </c>
      <c r="Y175" s="6" t="n">
        <f aca="false">P175*Q175*(1-U175)</f>
        <v>1734.1875</v>
      </c>
      <c r="Z175" s="6" t="n">
        <f aca="false">Y175-W175</f>
        <v>348.1175</v>
      </c>
      <c r="AA175" s="8" t="n">
        <f aca="false">IF(Y175=0,0,Z175/Y175)</f>
        <v>0.200738097812376</v>
      </c>
      <c r="AB175" s="3" t="str">
        <f aca="false">IF(ABS(V175-Y175)&gt;1,"Mismatch","OK")</f>
        <v>OK</v>
      </c>
      <c r="AC175" s="3" t="str">
        <f aca="false">IF(ABS(X175-Z175)&gt;1,"Mismatch","OK")</f>
        <v>OK</v>
      </c>
      <c r="AD175" s="5" t="n">
        <f aca="false">IF(OR(B175="",C175=""),"",C175-B175)</f>
        <v>6</v>
      </c>
      <c r="AE175" s="3" t="str">
        <f aca="false">IF(AD175="","Unknown",IF(AD175&lt;0,"Invalid - Ship Before Order","OK"))</f>
        <v>OK</v>
      </c>
      <c r="AF175" s="5" t="n">
        <f aca="false">IF(B175="","",MONTH(B175))</f>
        <v>5</v>
      </c>
      <c r="AG175" s="5" t="n">
        <f aca="false">IF(B175="","",YEAR(B175))</f>
        <v>2024</v>
      </c>
      <c r="AH175" s="3" t="s">
        <v>52</v>
      </c>
      <c r="AI175" s="3" t="s">
        <v>53</v>
      </c>
      <c r="AJ175" s="3" t="str">
        <f aca="false">IF(AND(AI175="Completed",AH175="Failed"),"Inconsistent - Completed Order with Failed Payment","OK")</f>
        <v>OK</v>
      </c>
      <c r="AK175" s="3" t="s">
        <v>54</v>
      </c>
      <c r="AL175" s="3" t="str">
        <f aca="false">IF(OR(T175="Negative - Invalid",T175="Above Allowed Range - Invalid",AE175="Invalid - Ship Before Order",AK175&lt;&gt;"Unique",AB175="Mismatch",AC175="Mismatch",AJ175&lt;&gt;"OK"),"Invalid",IF(OR(H175="Yes",O175="Yes",T175="Missing"),"Warning","Clean"))</f>
        <v>Clean</v>
      </c>
    </row>
    <row r="176" customFormat="false" ht="15" hidden="false" customHeight="true" outlineLevel="0" collapsed="false">
      <c r="A176" s="3" t="s">
        <v>668</v>
      </c>
      <c r="B176" s="4" t="n">
        <v>45928</v>
      </c>
      <c r="C176" s="4" t="n">
        <v>45934</v>
      </c>
      <c r="D176" s="3" t="s">
        <v>669</v>
      </c>
      <c r="E176" s="3" t="s">
        <v>40</v>
      </c>
      <c r="F176" s="3" t="s">
        <v>58</v>
      </c>
      <c r="G176" s="3" t="s">
        <v>78</v>
      </c>
      <c r="H176" s="3" t="s">
        <v>43</v>
      </c>
      <c r="I176" s="3" t="s">
        <v>206</v>
      </c>
      <c r="J176" s="3" t="s">
        <v>207</v>
      </c>
      <c r="K176" s="3" t="s">
        <v>62</v>
      </c>
      <c r="L176" s="3" t="s">
        <v>188</v>
      </c>
      <c r="M176" s="3" t="s">
        <v>670</v>
      </c>
      <c r="N176" s="3" t="s">
        <v>72</v>
      </c>
      <c r="O176" s="3" t="s">
        <v>43</v>
      </c>
      <c r="P176" s="5" t="n">
        <v>6</v>
      </c>
      <c r="Q176" s="6" t="n">
        <v>1620.53</v>
      </c>
      <c r="R176" s="3" t="s">
        <v>107</v>
      </c>
      <c r="S176" s="7" t="n">
        <v>0.15</v>
      </c>
      <c r="T176" s="3" t="s">
        <v>51</v>
      </c>
      <c r="U176" s="7" t="n">
        <f aca="false">IF(T176="Valid",S176,0)</f>
        <v>0.15</v>
      </c>
      <c r="V176" s="6" t="n">
        <v>8264.7</v>
      </c>
      <c r="W176" s="6" t="n">
        <v>4768.75</v>
      </c>
      <c r="X176" s="6" t="n">
        <v>3495.95</v>
      </c>
      <c r="Y176" s="6" t="n">
        <f aca="false">P176*Q176*(1-U176)</f>
        <v>8264.703</v>
      </c>
      <c r="Z176" s="6" t="n">
        <f aca="false">Y176-W176</f>
        <v>3495.953</v>
      </c>
      <c r="AA176" s="8" t="n">
        <f aca="false">IF(Y176=0,0,Z176/Y176)</f>
        <v>0.422998019408562</v>
      </c>
      <c r="AB176" s="3" t="str">
        <f aca="false">IF(ABS(V176-Y176)&gt;1,"Mismatch","OK")</f>
        <v>OK</v>
      </c>
      <c r="AC176" s="3" t="str">
        <f aca="false">IF(ABS(X176-Z176)&gt;1,"Mismatch","OK")</f>
        <v>OK</v>
      </c>
      <c r="AD176" s="5" t="n">
        <f aca="false">IF(OR(B176="",C176=""),"",C176-B176)</f>
        <v>6</v>
      </c>
      <c r="AE176" s="3" t="str">
        <f aca="false">IF(AD176="","Unknown",IF(AD176&lt;0,"Invalid - Ship Before Order","OK"))</f>
        <v>OK</v>
      </c>
      <c r="AF176" s="5" t="n">
        <f aca="false">IF(B176="","",MONTH(B176))</f>
        <v>9</v>
      </c>
      <c r="AG176" s="5" t="n">
        <f aca="false">IF(B176="","",YEAR(B176))</f>
        <v>2025</v>
      </c>
      <c r="AH176" s="3" t="s">
        <v>138</v>
      </c>
      <c r="AI176" s="3" t="s">
        <v>130</v>
      </c>
      <c r="AJ176" s="3" t="str">
        <f aca="false">IF(AND(AI176="Completed",AH176="Failed"),"Inconsistent - Completed Order with Failed Payment","OK")</f>
        <v>OK</v>
      </c>
      <c r="AK176" s="3" t="s">
        <v>54</v>
      </c>
      <c r="AL176" s="3" t="str">
        <f aca="false">IF(OR(T176="Negative - Invalid",T176="Above Allowed Range - Invalid",AE176="Invalid - Ship Before Order",AK176&lt;&gt;"Unique",AB176="Mismatch",AC176="Mismatch",AJ176&lt;&gt;"OK"),"Invalid",IF(OR(H176="Yes",O176="Yes",T176="Missing"),"Warning","Clean"))</f>
        <v>Clean</v>
      </c>
    </row>
    <row r="177" customFormat="false" ht="15" hidden="false" customHeight="true" outlineLevel="0" collapsed="false">
      <c r="A177" s="3" t="s">
        <v>671</v>
      </c>
      <c r="B177" s="4" t="n">
        <v>45318</v>
      </c>
      <c r="C177" s="4" t="n">
        <v>45325</v>
      </c>
      <c r="D177" s="3" t="s">
        <v>672</v>
      </c>
      <c r="E177" s="3" t="s">
        <v>77</v>
      </c>
      <c r="F177" s="3" t="s">
        <v>58</v>
      </c>
      <c r="G177" s="3" t="s">
        <v>59</v>
      </c>
      <c r="H177" s="3" t="s">
        <v>43</v>
      </c>
      <c r="I177" s="3" t="s">
        <v>174</v>
      </c>
      <c r="J177" s="3" t="s">
        <v>175</v>
      </c>
      <c r="K177" s="3" t="s">
        <v>99</v>
      </c>
      <c r="L177" s="3" t="s">
        <v>308</v>
      </c>
      <c r="M177" s="3" t="s">
        <v>673</v>
      </c>
      <c r="N177" s="3" t="s">
        <v>65</v>
      </c>
      <c r="O177" s="3" t="s">
        <v>43</v>
      </c>
      <c r="P177" s="5" t="n">
        <v>7</v>
      </c>
      <c r="Q177" s="6" t="n">
        <v>2673.42</v>
      </c>
      <c r="R177" s="3" t="s">
        <v>107</v>
      </c>
      <c r="S177" s="7" t="n">
        <v>0.15</v>
      </c>
      <c r="T177" s="3" t="s">
        <v>51</v>
      </c>
      <c r="U177" s="7" t="n">
        <f aca="false">IF(T177="Valid",S177,0)</f>
        <v>0.15</v>
      </c>
      <c r="V177" s="6" t="n">
        <v>15906.85</v>
      </c>
      <c r="W177" s="6" t="n">
        <v>11014.46</v>
      </c>
      <c r="X177" s="6" t="n">
        <v>4892.39</v>
      </c>
      <c r="Y177" s="6" t="n">
        <f aca="false">P177*Q177*(1-U177)</f>
        <v>15906.849</v>
      </c>
      <c r="Z177" s="6" t="n">
        <f aca="false">Y177-W177</f>
        <v>4892.389</v>
      </c>
      <c r="AA177" s="8" t="n">
        <f aca="false">IF(Y177=0,0,Z177/Y177)</f>
        <v>0.307564936336543</v>
      </c>
      <c r="AB177" s="3" t="str">
        <f aca="false">IF(ABS(V177-Y177)&gt;1,"Mismatch","OK")</f>
        <v>OK</v>
      </c>
      <c r="AC177" s="3" t="str">
        <f aca="false">IF(ABS(X177-Z177)&gt;1,"Mismatch","OK")</f>
        <v>OK</v>
      </c>
      <c r="AD177" s="5" t="n">
        <f aca="false">IF(OR(B177="",C177=""),"",C177-B177)</f>
        <v>7</v>
      </c>
      <c r="AE177" s="3" t="str">
        <f aca="false">IF(AD177="","Unknown",IF(AD177&lt;0,"Invalid - Ship Before Order","OK"))</f>
        <v>OK</v>
      </c>
      <c r="AF177" s="5" t="n">
        <f aca="false">IF(B177="","",MONTH(B177))</f>
        <v>1</v>
      </c>
      <c r="AG177" s="5" t="n">
        <f aca="false">IF(B177="","",YEAR(B177))</f>
        <v>2024</v>
      </c>
      <c r="AH177" s="3" t="s">
        <v>52</v>
      </c>
      <c r="AI177" s="3" t="s">
        <v>130</v>
      </c>
      <c r="AJ177" s="3" t="str">
        <f aca="false">IF(AND(AI177="Completed",AH177="Failed"),"Inconsistent - Completed Order with Failed Payment","OK")</f>
        <v>OK</v>
      </c>
      <c r="AK177" s="3" t="s">
        <v>54</v>
      </c>
      <c r="AL177" s="3" t="str">
        <f aca="false">IF(OR(T177="Negative - Invalid",T177="Above Allowed Range - Invalid",AE177="Invalid - Ship Before Order",AK177&lt;&gt;"Unique",AB177="Mismatch",AC177="Mismatch",AJ177&lt;&gt;"OK"),"Invalid",IF(OR(H177="Yes",O177="Yes",T177="Missing"),"Warning","Clean"))</f>
        <v>Clean</v>
      </c>
    </row>
    <row r="178" customFormat="false" ht="15" hidden="false" customHeight="true" outlineLevel="0" collapsed="false">
      <c r="A178" s="3" t="s">
        <v>674</v>
      </c>
      <c r="B178" s="4" t="n">
        <v>45734</v>
      </c>
      <c r="C178" s="4" t="n">
        <v>45742</v>
      </c>
      <c r="D178" s="3" t="s">
        <v>675</v>
      </c>
      <c r="E178" s="3" t="s">
        <v>96</v>
      </c>
      <c r="F178" s="3" t="s">
        <v>116</v>
      </c>
      <c r="G178" s="3" t="s">
        <v>59</v>
      </c>
      <c r="H178" s="3" t="s">
        <v>43</v>
      </c>
      <c r="I178" s="3" t="s">
        <v>262</v>
      </c>
      <c r="J178" s="3" t="s">
        <v>263</v>
      </c>
      <c r="K178" s="3" t="s">
        <v>62</v>
      </c>
      <c r="L178" s="3" t="s">
        <v>188</v>
      </c>
      <c r="M178" s="3" t="s">
        <v>676</v>
      </c>
      <c r="N178" s="3" t="s">
        <v>83</v>
      </c>
      <c r="O178" s="3" t="s">
        <v>43</v>
      </c>
      <c r="P178" s="5" t="n">
        <v>8</v>
      </c>
      <c r="Q178" s="6" t="n">
        <v>3563.09</v>
      </c>
      <c r="R178" s="3" t="s">
        <v>107</v>
      </c>
      <c r="S178" s="7" t="n">
        <v>0.15</v>
      </c>
      <c r="T178" s="3" t="s">
        <v>51</v>
      </c>
      <c r="U178" s="7" t="n">
        <f aca="false">IF(T178="Valid",S178,0)</f>
        <v>0.15</v>
      </c>
      <c r="V178" s="6" t="n">
        <v>24229.01</v>
      </c>
      <c r="W178" s="6" t="n">
        <v>13910.64</v>
      </c>
      <c r="X178" s="6" t="n">
        <v>10318.37</v>
      </c>
      <c r="Y178" s="6" t="n">
        <f aca="false">P178*Q178*(1-U178)</f>
        <v>24229.012</v>
      </c>
      <c r="Z178" s="6" t="n">
        <f aca="false">Y178-W178</f>
        <v>10318.372</v>
      </c>
      <c r="AA178" s="8" t="n">
        <f aca="false">IF(Y178=0,0,Z178/Y178)</f>
        <v>0.425868458854203</v>
      </c>
      <c r="AB178" s="3" t="str">
        <f aca="false">IF(ABS(V178-Y178)&gt;1,"Mismatch","OK")</f>
        <v>OK</v>
      </c>
      <c r="AC178" s="3" t="str">
        <f aca="false">IF(ABS(X178-Z178)&gt;1,"Mismatch","OK")</f>
        <v>OK</v>
      </c>
      <c r="AD178" s="5" t="n">
        <f aca="false">IF(OR(B178="",C178=""),"",C178-B178)</f>
        <v>8</v>
      </c>
      <c r="AE178" s="3" t="str">
        <f aca="false">IF(AD178="","Unknown",IF(AD178&lt;0,"Invalid - Ship Before Order","OK"))</f>
        <v>OK</v>
      </c>
      <c r="AF178" s="5" t="n">
        <f aca="false">IF(B178="","",MONTH(B178))</f>
        <v>3</v>
      </c>
      <c r="AG178" s="5" t="n">
        <f aca="false">IF(B178="","",YEAR(B178))</f>
        <v>2025</v>
      </c>
      <c r="AH178" s="3" t="s">
        <v>52</v>
      </c>
      <c r="AI178" s="3" t="s">
        <v>53</v>
      </c>
      <c r="AJ178" s="3" t="str">
        <f aca="false">IF(AND(AI178="Completed",AH178="Failed"),"Inconsistent - Completed Order with Failed Payment","OK")</f>
        <v>OK</v>
      </c>
      <c r="AK178" s="3" t="s">
        <v>54</v>
      </c>
      <c r="AL178" s="3" t="str">
        <f aca="false">IF(OR(T178="Negative - Invalid",T178="Above Allowed Range - Invalid",AE178="Invalid - Ship Before Order",AK178&lt;&gt;"Unique",AB178="Mismatch",AC178="Mismatch",AJ178&lt;&gt;"OK"),"Invalid",IF(OR(H178="Yes",O178="Yes",T178="Missing"),"Warning","Clean"))</f>
        <v>Clean</v>
      </c>
    </row>
    <row r="179" customFormat="false" ht="15" hidden="false" customHeight="true" outlineLevel="0" collapsed="false">
      <c r="A179" s="3" t="s">
        <v>677</v>
      </c>
      <c r="B179" s="4" t="n">
        <v>45444</v>
      </c>
      <c r="C179" s="4" t="n">
        <v>45446</v>
      </c>
      <c r="D179" s="3" t="s">
        <v>678</v>
      </c>
      <c r="E179" s="3" t="s">
        <v>159</v>
      </c>
      <c r="F179" s="3" t="s">
        <v>121</v>
      </c>
      <c r="G179" s="3" t="s">
        <v>237</v>
      </c>
      <c r="H179" s="3" t="s">
        <v>238</v>
      </c>
      <c r="I179" s="3" t="s">
        <v>174</v>
      </c>
      <c r="J179" s="3" t="s">
        <v>175</v>
      </c>
      <c r="K179" s="3" t="s">
        <v>46</v>
      </c>
      <c r="L179" s="3" t="s">
        <v>70</v>
      </c>
      <c r="M179" s="3" t="s">
        <v>679</v>
      </c>
      <c r="N179" s="3" t="s">
        <v>65</v>
      </c>
      <c r="O179" s="3" t="s">
        <v>43</v>
      </c>
      <c r="P179" s="5" t="n">
        <v>8</v>
      </c>
      <c r="Q179" s="6" t="n">
        <v>3879.95</v>
      </c>
      <c r="R179" s="3" t="s">
        <v>66</v>
      </c>
      <c r="S179" s="7" t="n">
        <v>0</v>
      </c>
      <c r="T179" s="3" t="s">
        <v>51</v>
      </c>
      <c r="U179" s="7" t="n">
        <f aca="false">IF(T179="Valid",S179,0)</f>
        <v>0</v>
      </c>
      <c r="V179" s="6" t="n">
        <v>31039.6</v>
      </c>
      <c r="W179" s="6" t="n">
        <v>20866.72</v>
      </c>
      <c r="X179" s="6" t="n">
        <v>10172.88</v>
      </c>
      <c r="Y179" s="6" t="n">
        <f aca="false">P179*Q179*(1-U179)</f>
        <v>31039.6</v>
      </c>
      <c r="Z179" s="6" t="n">
        <f aca="false">Y179-W179</f>
        <v>10172.88</v>
      </c>
      <c r="AA179" s="8" t="n">
        <f aca="false">IF(Y179=0,0,Z179/Y179)</f>
        <v>0.327738759520097</v>
      </c>
      <c r="AB179" s="3" t="str">
        <f aca="false">IF(ABS(V179-Y179)&gt;1,"Mismatch","OK")</f>
        <v>OK</v>
      </c>
      <c r="AC179" s="3" t="str">
        <f aca="false">IF(ABS(X179-Z179)&gt;1,"Mismatch","OK")</f>
        <v>OK</v>
      </c>
      <c r="AD179" s="5" t="n">
        <f aca="false">IF(OR(B179="",C179=""),"",C179-B179)</f>
        <v>2</v>
      </c>
      <c r="AE179" s="3" t="str">
        <f aca="false">IF(AD179="","Unknown",IF(AD179&lt;0,"Invalid - Ship Before Order","OK"))</f>
        <v>OK</v>
      </c>
      <c r="AF179" s="5" t="n">
        <f aca="false">IF(B179="","",MONTH(B179))</f>
        <v>6</v>
      </c>
      <c r="AG179" s="5" t="n">
        <f aca="false">IF(B179="","",YEAR(B179))</f>
        <v>2024</v>
      </c>
      <c r="AH179" s="3" t="s">
        <v>52</v>
      </c>
      <c r="AI179" s="3" t="s">
        <v>53</v>
      </c>
      <c r="AJ179" s="3" t="str">
        <f aca="false">IF(AND(AI179="Completed",AH179="Failed"),"Inconsistent - Completed Order with Failed Payment","OK")</f>
        <v>OK</v>
      </c>
      <c r="AK179" s="3" t="s">
        <v>54</v>
      </c>
      <c r="AL179" s="3" t="str">
        <f aca="false">IF(OR(T179="Negative - Invalid",T179="Above Allowed Range - Invalid",AE179="Invalid - Ship Before Order",AK179&lt;&gt;"Unique",AB179="Mismatch",AC179="Mismatch",AJ179&lt;&gt;"OK"),"Invalid",IF(OR(H179="Yes",O179="Yes",T179="Missing"),"Warning","Clean"))</f>
        <v>Warning</v>
      </c>
    </row>
    <row r="180" customFormat="false" ht="15" hidden="false" customHeight="true" outlineLevel="0" collapsed="false">
      <c r="A180" s="3" t="s">
        <v>680</v>
      </c>
      <c r="B180" s="4" t="n">
        <v>45565</v>
      </c>
      <c r="C180" s="4" t="n">
        <v>45565</v>
      </c>
      <c r="D180" s="3" t="s">
        <v>681</v>
      </c>
      <c r="E180" s="3" t="s">
        <v>69</v>
      </c>
      <c r="F180" s="3" t="s">
        <v>116</v>
      </c>
      <c r="G180" s="3" t="s">
        <v>78</v>
      </c>
      <c r="H180" s="3" t="s">
        <v>43</v>
      </c>
      <c r="I180" s="3" t="s">
        <v>79</v>
      </c>
      <c r="J180" s="3" t="s">
        <v>80</v>
      </c>
      <c r="K180" s="3" t="s">
        <v>46</v>
      </c>
      <c r="L180" s="3" t="s">
        <v>70</v>
      </c>
      <c r="M180" s="3" t="s">
        <v>682</v>
      </c>
      <c r="N180" s="3" t="s">
        <v>83</v>
      </c>
      <c r="O180" s="3" t="s">
        <v>43</v>
      </c>
      <c r="P180" s="5" t="n">
        <v>4</v>
      </c>
      <c r="Q180" s="6" t="n">
        <v>3281.74</v>
      </c>
      <c r="R180" s="3" t="s">
        <v>66</v>
      </c>
      <c r="S180" s="7" t="n">
        <v>0</v>
      </c>
      <c r="T180" s="3" t="s">
        <v>51</v>
      </c>
      <c r="U180" s="7" t="n">
        <f aca="false">IF(T180="Valid",S180,0)</f>
        <v>0</v>
      </c>
      <c r="V180" s="6" t="n">
        <v>13126.96</v>
      </c>
      <c r="W180" s="6" t="n">
        <v>10732.44</v>
      </c>
      <c r="X180" s="6" t="n">
        <v>2394.52</v>
      </c>
      <c r="Y180" s="6" t="n">
        <f aca="false">P180*Q180*(1-U180)</f>
        <v>13126.96</v>
      </c>
      <c r="Z180" s="6" t="n">
        <f aca="false">Y180-W180</f>
        <v>2394.52</v>
      </c>
      <c r="AA180" s="8" t="n">
        <f aca="false">IF(Y180=0,0,Z180/Y180)</f>
        <v>0.182412378799052</v>
      </c>
      <c r="AB180" s="3" t="str">
        <f aca="false">IF(ABS(V180-Y180)&gt;1,"Mismatch","OK")</f>
        <v>OK</v>
      </c>
      <c r="AC180" s="3" t="str">
        <f aca="false">IF(ABS(X180-Z180)&gt;1,"Mismatch","OK")</f>
        <v>OK</v>
      </c>
      <c r="AD180" s="5" t="n">
        <f aca="false">IF(OR(B180="",C180=""),"",C180-B180)</f>
        <v>0</v>
      </c>
      <c r="AE180" s="3" t="str">
        <f aca="false">IF(AD180="","Unknown",IF(AD180&lt;0,"Invalid - Ship Before Order","OK"))</f>
        <v>OK</v>
      </c>
      <c r="AF180" s="5" t="n">
        <f aca="false">IF(B180="","",MONTH(B180))</f>
        <v>9</v>
      </c>
      <c r="AG180" s="5" t="n">
        <f aca="false">IF(B180="","",YEAR(B180))</f>
        <v>2024</v>
      </c>
      <c r="AH180" s="3" t="s">
        <v>52</v>
      </c>
      <c r="AI180" s="3" t="s">
        <v>53</v>
      </c>
      <c r="AJ180" s="3" t="str">
        <f aca="false">IF(AND(AI180="Completed",AH180="Failed"),"Inconsistent - Completed Order with Failed Payment","OK")</f>
        <v>OK</v>
      </c>
      <c r="AK180" s="3" t="s">
        <v>54</v>
      </c>
      <c r="AL180" s="3" t="str">
        <f aca="false">IF(OR(T180="Negative - Invalid",T180="Above Allowed Range - Invalid",AE180="Invalid - Ship Before Order",AK180&lt;&gt;"Unique",AB180="Mismatch",AC180="Mismatch",AJ180&lt;&gt;"OK"),"Invalid",IF(OR(H180="Yes",O180="Yes",T180="Missing"),"Warning","Clean"))</f>
        <v>Clean</v>
      </c>
    </row>
    <row r="181" customFormat="false" ht="15" hidden="false" customHeight="true" outlineLevel="0" collapsed="false">
      <c r="A181" s="3" t="s">
        <v>683</v>
      </c>
      <c r="B181" s="4" t="n">
        <v>45366</v>
      </c>
      <c r="C181" s="4" t="n">
        <v>45370</v>
      </c>
      <c r="D181" s="3" t="s">
        <v>684</v>
      </c>
      <c r="E181" s="3" t="s">
        <v>87</v>
      </c>
      <c r="F181" s="3" t="s">
        <v>58</v>
      </c>
      <c r="G181" s="3" t="s">
        <v>78</v>
      </c>
      <c r="H181" s="3" t="s">
        <v>43</v>
      </c>
      <c r="I181" s="3" t="s">
        <v>281</v>
      </c>
      <c r="J181" s="3" t="s">
        <v>282</v>
      </c>
      <c r="K181" s="3" t="s">
        <v>62</v>
      </c>
      <c r="L181" s="3" t="s">
        <v>81</v>
      </c>
      <c r="M181" s="3" t="s">
        <v>685</v>
      </c>
      <c r="N181" s="3" t="s">
        <v>83</v>
      </c>
      <c r="O181" s="3" t="s">
        <v>43</v>
      </c>
      <c r="P181" s="5" t="n">
        <v>4</v>
      </c>
      <c r="Q181" s="6" t="n">
        <v>3186.3</v>
      </c>
      <c r="R181" s="3" t="s">
        <v>84</v>
      </c>
      <c r="S181" s="7" t="n">
        <v>0.25</v>
      </c>
      <c r="T181" s="3" t="s">
        <v>51</v>
      </c>
      <c r="U181" s="7" t="n">
        <f aca="false">IF(T181="Valid",S181,0)</f>
        <v>0.25</v>
      </c>
      <c r="V181" s="6" t="n">
        <v>9558.9</v>
      </c>
      <c r="W181" s="6" t="n">
        <v>5516.76</v>
      </c>
      <c r="X181" s="6" t="n">
        <v>4042.14</v>
      </c>
      <c r="Y181" s="6" t="n">
        <f aca="false">P181*Q181*(1-U181)</f>
        <v>9558.9</v>
      </c>
      <c r="Z181" s="6" t="n">
        <f aca="false">Y181-W181</f>
        <v>4042.14</v>
      </c>
      <c r="AA181" s="8" t="n">
        <f aca="false">IF(Y181=0,0,Z181/Y181)</f>
        <v>0.422866647836048</v>
      </c>
      <c r="AB181" s="3" t="str">
        <f aca="false">IF(ABS(V181-Y181)&gt;1,"Mismatch","OK")</f>
        <v>OK</v>
      </c>
      <c r="AC181" s="3" t="str">
        <f aca="false">IF(ABS(X181-Z181)&gt;1,"Mismatch","OK")</f>
        <v>OK</v>
      </c>
      <c r="AD181" s="5" t="n">
        <f aca="false">IF(OR(B181="",C181=""),"",C181-B181)</f>
        <v>4</v>
      </c>
      <c r="AE181" s="3" t="str">
        <f aca="false">IF(AD181="","Unknown",IF(AD181&lt;0,"Invalid - Ship Before Order","OK"))</f>
        <v>OK</v>
      </c>
      <c r="AF181" s="5" t="n">
        <f aca="false">IF(B181="","",MONTH(B181))</f>
        <v>3</v>
      </c>
      <c r="AG181" s="5" t="n">
        <f aca="false">IF(B181="","",YEAR(B181))</f>
        <v>2024</v>
      </c>
      <c r="AH181" s="3" t="s">
        <v>129</v>
      </c>
      <c r="AI181" s="3" t="s">
        <v>130</v>
      </c>
      <c r="AJ181" s="3" t="str">
        <f aca="false">IF(AND(AI181="Completed",AH181="Failed"),"Inconsistent - Completed Order with Failed Payment","OK")</f>
        <v>OK</v>
      </c>
      <c r="AK181" s="3" t="s">
        <v>54</v>
      </c>
      <c r="AL181" s="3" t="str">
        <f aca="false">IF(OR(T181="Negative - Invalid",T181="Above Allowed Range - Invalid",AE181="Invalid - Ship Before Order",AK181&lt;&gt;"Unique",AB181="Mismatch",AC181="Mismatch",AJ181&lt;&gt;"OK"),"Invalid",IF(OR(H181="Yes",O181="Yes",T181="Missing"),"Warning","Clean"))</f>
        <v>Clean</v>
      </c>
    </row>
    <row r="182" customFormat="false" ht="15" hidden="false" customHeight="true" outlineLevel="0" collapsed="false">
      <c r="A182" s="3" t="s">
        <v>686</v>
      </c>
      <c r="B182" s="4" t="n">
        <v>45530</v>
      </c>
      <c r="C182" s="4" t="n">
        <v>45530</v>
      </c>
      <c r="D182" s="3" t="s">
        <v>687</v>
      </c>
      <c r="E182" s="3" t="s">
        <v>57</v>
      </c>
      <c r="F182" s="3" t="s">
        <v>121</v>
      </c>
      <c r="G182" s="3" t="s">
        <v>42</v>
      </c>
      <c r="H182" s="3" t="s">
        <v>43</v>
      </c>
      <c r="I182" s="3" t="s">
        <v>163</v>
      </c>
      <c r="J182" s="3" t="s">
        <v>164</v>
      </c>
      <c r="K182" s="3" t="s">
        <v>46</v>
      </c>
      <c r="L182" s="3" t="s">
        <v>183</v>
      </c>
      <c r="M182" s="3" t="s">
        <v>688</v>
      </c>
      <c r="N182" s="3" t="s">
        <v>72</v>
      </c>
      <c r="O182" s="3" t="s">
        <v>43</v>
      </c>
      <c r="P182" s="5" t="n">
        <v>7</v>
      </c>
      <c r="Q182" s="6" t="n">
        <v>844.59</v>
      </c>
      <c r="R182" s="3" t="s">
        <v>203</v>
      </c>
      <c r="S182" s="7" t="n">
        <v>0.1</v>
      </c>
      <c r="T182" s="3" t="s">
        <v>51</v>
      </c>
      <c r="U182" s="7" t="n">
        <f aca="false">IF(T182="Valid",S182,0)</f>
        <v>0.1</v>
      </c>
      <c r="V182" s="6" t="n">
        <v>5320.92</v>
      </c>
      <c r="W182" s="6" t="n">
        <v>3041.5</v>
      </c>
      <c r="X182" s="6" t="n">
        <v>2279.42</v>
      </c>
      <c r="Y182" s="6" t="n">
        <f aca="false">P182*Q182*(1-U182)</f>
        <v>5320.917</v>
      </c>
      <c r="Z182" s="6" t="n">
        <f aca="false">Y182-W182</f>
        <v>2279.417</v>
      </c>
      <c r="AA182" s="8" t="n">
        <f aca="false">IF(Y182=0,0,Z182/Y182)</f>
        <v>0.42838800154184</v>
      </c>
      <c r="AB182" s="3" t="str">
        <f aca="false">IF(ABS(V182-Y182)&gt;1,"Mismatch","OK")</f>
        <v>OK</v>
      </c>
      <c r="AC182" s="3" t="str">
        <f aca="false">IF(ABS(X182-Z182)&gt;1,"Mismatch","OK")</f>
        <v>OK</v>
      </c>
      <c r="AD182" s="5" t="n">
        <f aca="false">IF(OR(B182="",C182=""),"",C182-B182)</f>
        <v>0</v>
      </c>
      <c r="AE182" s="3" t="str">
        <f aca="false">IF(AD182="","Unknown",IF(AD182&lt;0,"Invalid - Ship Before Order","OK"))</f>
        <v>OK</v>
      </c>
      <c r="AF182" s="5" t="n">
        <f aca="false">IF(B182="","",MONTH(B182))</f>
        <v>8</v>
      </c>
      <c r="AG182" s="5" t="n">
        <f aca="false">IF(B182="","",YEAR(B182))</f>
        <v>2024</v>
      </c>
      <c r="AH182" s="3" t="s">
        <v>52</v>
      </c>
      <c r="AI182" s="3" t="s">
        <v>53</v>
      </c>
      <c r="AJ182" s="3" t="str">
        <f aca="false">IF(AND(AI182="Completed",AH182="Failed"),"Inconsistent - Completed Order with Failed Payment","OK")</f>
        <v>OK</v>
      </c>
      <c r="AK182" s="3" t="s">
        <v>54</v>
      </c>
      <c r="AL182" s="3" t="str">
        <f aca="false">IF(OR(T182="Negative - Invalid",T182="Above Allowed Range - Invalid",AE182="Invalid - Ship Before Order",AK182&lt;&gt;"Unique",AB182="Mismatch",AC182="Mismatch",AJ182&lt;&gt;"OK"),"Invalid",IF(OR(H182="Yes",O182="Yes",T182="Missing"),"Warning","Clean"))</f>
        <v>Clean</v>
      </c>
    </row>
    <row r="183" customFormat="false" ht="15" hidden="false" customHeight="true" outlineLevel="0" collapsed="false">
      <c r="A183" s="3" t="s">
        <v>689</v>
      </c>
      <c r="B183" s="4" t="n">
        <v>45909</v>
      </c>
      <c r="C183" s="4" t="n">
        <v>45910</v>
      </c>
      <c r="D183" s="3" t="s">
        <v>690</v>
      </c>
      <c r="E183" s="3" t="s">
        <v>141</v>
      </c>
      <c r="F183" s="3" t="s">
        <v>121</v>
      </c>
      <c r="G183" s="3" t="s">
        <v>78</v>
      </c>
      <c r="H183" s="3" t="s">
        <v>43</v>
      </c>
      <c r="I183" s="3" t="s">
        <v>281</v>
      </c>
      <c r="J183" s="3" t="s">
        <v>282</v>
      </c>
      <c r="K183" s="3" t="s">
        <v>46</v>
      </c>
      <c r="L183" s="3" t="s">
        <v>70</v>
      </c>
      <c r="M183" s="3" t="s">
        <v>691</v>
      </c>
      <c r="N183" s="3" t="s">
        <v>49</v>
      </c>
      <c r="O183" s="3" t="s">
        <v>43</v>
      </c>
      <c r="P183" s="5" t="n">
        <v>4</v>
      </c>
      <c r="Q183" s="6" t="n">
        <v>2551.45</v>
      </c>
      <c r="R183" s="3" t="s">
        <v>66</v>
      </c>
      <c r="S183" s="7" t="n">
        <v>0</v>
      </c>
      <c r="T183" s="3" t="s">
        <v>51</v>
      </c>
      <c r="U183" s="7" t="n">
        <f aca="false">IF(T183="Valid",S183,0)</f>
        <v>0</v>
      </c>
      <c r="V183" s="6" t="n">
        <v>10205.8</v>
      </c>
      <c r="W183" s="6" t="n">
        <v>5986.31</v>
      </c>
      <c r="X183" s="6" t="n">
        <v>4219.49</v>
      </c>
      <c r="Y183" s="6" t="n">
        <f aca="false">P183*Q183*(1-U183)</f>
        <v>10205.8</v>
      </c>
      <c r="Z183" s="6" t="n">
        <f aca="false">Y183-W183</f>
        <v>4219.49</v>
      </c>
      <c r="AA183" s="8" t="n">
        <f aca="false">IF(Y183=0,0,Z183/Y183)</f>
        <v>0.413440396637206</v>
      </c>
      <c r="AB183" s="3" t="str">
        <f aca="false">IF(ABS(V183-Y183)&gt;1,"Mismatch","OK")</f>
        <v>OK</v>
      </c>
      <c r="AC183" s="3" t="str">
        <f aca="false">IF(ABS(X183-Z183)&gt;1,"Mismatch","OK")</f>
        <v>OK</v>
      </c>
      <c r="AD183" s="5" t="n">
        <f aca="false">IF(OR(B183="",C183=""),"",C183-B183)</f>
        <v>1</v>
      </c>
      <c r="AE183" s="3" t="str">
        <f aca="false">IF(AD183="","Unknown",IF(AD183&lt;0,"Invalid - Ship Before Order","OK"))</f>
        <v>OK</v>
      </c>
      <c r="AF183" s="5" t="n">
        <f aca="false">IF(B183="","",MONTH(B183))</f>
        <v>9</v>
      </c>
      <c r="AG183" s="5" t="n">
        <f aca="false">IF(B183="","",YEAR(B183))</f>
        <v>2025</v>
      </c>
      <c r="AH183" s="3" t="s">
        <v>52</v>
      </c>
      <c r="AI183" s="3" t="s">
        <v>53</v>
      </c>
      <c r="AJ183" s="3" t="str">
        <f aca="false">IF(AND(AI183="Completed",AH183="Failed"),"Inconsistent - Completed Order with Failed Payment","OK")</f>
        <v>OK</v>
      </c>
      <c r="AK183" s="3" t="s">
        <v>54</v>
      </c>
      <c r="AL183" s="3" t="str">
        <f aca="false">IF(OR(T183="Negative - Invalid",T183="Above Allowed Range - Invalid",AE183="Invalid - Ship Before Order",AK183&lt;&gt;"Unique",AB183="Mismatch",AC183="Mismatch",AJ183&lt;&gt;"OK"),"Invalid",IF(OR(H183="Yes",O183="Yes",T183="Missing"),"Warning","Clean"))</f>
        <v>Clean</v>
      </c>
    </row>
    <row r="184" customFormat="false" ht="15" hidden="false" customHeight="true" outlineLevel="0" collapsed="false">
      <c r="A184" s="3" t="s">
        <v>692</v>
      </c>
      <c r="B184" s="4" t="n">
        <v>45581</v>
      </c>
      <c r="C184" s="4" t="n">
        <v>45581</v>
      </c>
      <c r="D184" s="3" t="s">
        <v>693</v>
      </c>
      <c r="E184" s="3" t="s">
        <v>87</v>
      </c>
      <c r="F184" s="3" t="s">
        <v>121</v>
      </c>
      <c r="G184" s="3" t="s">
        <v>59</v>
      </c>
      <c r="H184" s="3" t="s">
        <v>43</v>
      </c>
      <c r="I184" s="3" t="s">
        <v>174</v>
      </c>
      <c r="J184" s="3" t="s">
        <v>175</v>
      </c>
      <c r="K184" s="3" t="s">
        <v>99</v>
      </c>
      <c r="L184" s="3" t="s">
        <v>308</v>
      </c>
      <c r="M184" s="3" t="s">
        <v>694</v>
      </c>
      <c r="N184" s="3" t="s">
        <v>83</v>
      </c>
      <c r="O184" s="3" t="s">
        <v>43</v>
      </c>
      <c r="P184" s="5" t="n">
        <v>7</v>
      </c>
      <c r="Q184" s="6" t="n">
        <v>775.77</v>
      </c>
      <c r="R184" s="3" t="s">
        <v>66</v>
      </c>
      <c r="S184" s="7" t="n">
        <v>0</v>
      </c>
      <c r="T184" s="3" t="s">
        <v>51</v>
      </c>
      <c r="U184" s="7" t="n">
        <f aca="false">IF(T184="Valid",S184,0)</f>
        <v>0</v>
      </c>
      <c r="V184" s="6" t="n">
        <v>5430.39</v>
      </c>
      <c r="W184" s="6" t="n">
        <v>3707.66</v>
      </c>
      <c r="X184" s="6" t="n">
        <v>1722.73</v>
      </c>
      <c r="Y184" s="6" t="n">
        <f aca="false">P184*Q184*(1-U184)</f>
        <v>5430.39</v>
      </c>
      <c r="Z184" s="6" t="n">
        <f aca="false">Y184-W184</f>
        <v>1722.73</v>
      </c>
      <c r="AA184" s="8" t="n">
        <f aca="false">IF(Y184=0,0,Z184/Y184)</f>
        <v>0.317238725027116</v>
      </c>
      <c r="AB184" s="3" t="str">
        <f aca="false">IF(ABS(V184-Y184)&gt;1,"Mismatch","OK")</f>
        <v>OK</v>
      </c>
      <c r="AC184" s="3" t="str">
        <f aca="false">IF(ABS(X184-Z184)&gt;1,"Mismatch","OK")</f>
        <v>OK</v>
      </c>
      <c r="AD184" s="5" t="n">
        <f aca="false">IF(OR(B184="",C184=""),"",C184-B184)</f>
        <v>0</v>
      </c>
      <c r="AE184" s="3" t="str">
        <f aca="false">IF(AD184="","Unknown",IF(AD184&lt;0,"Invalid - Ship Before Order","OK"))</f>
        <v>OK</v>
      </c>
      <c r="AF184" s="5" t="n">
        <f aca="false">IF(B184="","",MONTH(B184))</f>
        <v>10</v>
      </c>
      <c r="AG184" s="5" t="n">
        <f aca="false">IF(B184="","",YEAR(B184))</f>
        <v>2024</v>
      </c>
      <c r="AH184" s="3" t="s">
        <v>52</v>
      </c>
      <c r="AI184" s="3" t="s">
        <v>53</v>
      </c>
      <c r="AJ184" s="3" t="str">
        <f aca="false">IF(AND(AI184="Completed",AH184="Failed"),"Inconsistent - Completed Order with Failed Payment","OK")</f>
        <v>OK</v>
      </c>
      <c r="AK184" s="3" t="s">
        <v>54</v>
      </c>
      <c r="AL184" s="3" t="str">
        <f aca="false">IF(OR(T184="Negative - Invalid",T184="Above Allowed Range - Invalid",AE184="Invalid - Ship Before Order",AK184&lt;&gt;"Unique",AB184="Mismatch",AC184="Mismatch",AJ184&lt;&gt;"OK"),"Invalid",IF(OR(H184="Yes",O184="Yes",T184="Missing"),"Warning","Clean"))</f>
        <v>Clean</v>
      </c>
    </row>
    <row r="185" customFormat="false" ht="15" hidden="false" customHeight="true" outlineLevel="0" collapsed="false">
      <c r="A185" s="3" t="s">
        <v>695</v>
      </c>
      <c r="B185" s="4" t="n">
        <v>45832</v>
      </c>
      <c r="C185" s="4" t="n">
        <v>45835</v>
      </c>
      <c r="D185" s="3" t="s">
        <v>696</v>
      </c>
      <c r="E185" s="3" t="s">
        <v>96</v>
      </c>
      <c r="F185" s="3" t="s">
        <v>121</v>
      </c>
      <c r="G185" s="3" t="s">
        <v>78</v>
      </c>
      <c r="H185" s="3" t="s">
        <v>43</v>
      </c>
      <c r="I185" s="3" t="s">
        <v>79</v>
      </c>
      <c r="J185" s="3" t="s">
        <v>80</v>
      </c>
      <c r="K185" s="3" t="s">
        <v>99</v>
      </c>
      <c r="L185" s="3" t="s">
        <v>105</v>
      </c>
      <c r="M185" s="3" t="s">
        <v>697</v>
      </c>
      <c r="N185" s="3" t="s">
        <v>83</v>
      </c>
      <c r="O185" s="3" t="s">
        <v>43</v>
      </c>
      <c r="P185" s="5" t="n">
        <v>7</v>
      </c>
      <c r="Q185" s="6" t="n">
        <v>2304.86</v>
      </c>
      <c r="R185" s="3" t="s">
        <v>50</v>
      </c>
      <c r="S185" s="7" t="n">
        <v>0.2</v>
      </c>
      <c r="T185" s="3" t="s">
        <v>51</v>
      </c>
      <c r="U185" s="7" t="n">
        <f aca="false">IF(T185="Valid",S185,0)</f>
        <v>0.2</v>
      </c>
      <c r="V185" s="6" t="n">
        <v>12907.22</v>
      </c>
      <c r="W185" s="6" t="n">
        <v>8327.89</v>
      </c>
      <c r="X185" s="6" t="n">
        <v>4579.33</v>
      </c>
      <c r="Y185" s="6" t="n">
        <f aca="false">P185*Q185*(1-U185)</f>
        <v>12907.216</v>
      </c>
      <c r="Z185" s="6" t="n">
        <f aca="false">Y185-W185</f>
        <v>4579.326</v>
      </c>
      <c r="AA185" s="8" t="n">
        <f aca="false">IF(Y185=0,0,Z185/Y185)</f>
        <v>0.354788050343312</v>
      </c>
      <c r="AB185" s="3" t="str">
        <f aca="false">IF(ABS(V185-Y185)&gt;1,"Mismatch","OK")</f>
        <v>OK</v>
      </c>
      <c r="AC185" s="3" t="str">
        <f aca="false">IF(ABS(X185-Z185)&gt;1,"Mismatch","OK")</f>
        <v>OK</v>
      </c>
      <c r="AD185" s="5" t="n">
        <f aca="false">IF(OR(B185="",C185=""),"",C185-B185)</f>
        <v>3</v>
      </c>
      <c r="AE185" s="3" t="str">
        <f aca="false">IF(AD185="","Unknown",IF(AD185&lt;0,"Invalid - Ship Before Order","OK"))</f>
        <v>OK</v>
      </c>
      <c r="AF185" s="5" t="n">
        <f aca="false">IF(B185="","",MONTH(B185))</f>
        <v>6</v>
      </c>
      <c r="AG185" s="5" t="n">
        <f aca="false">IF(B185="","",YEAR(B185))</f>
        <v>2025</v>
      </c>
      <c r="AH185" s="3" t="s">
        <v>52</v>
      </c>
      <c r="AI185" s="3" t="s">
        <v>130</v>
      </c>
      <c r="AJ185" s="3" t="str">
        <f aca="false">IF(AND(AI185="Completed",AH185="Failed"),"Inconsistent - Completed Order with Failed Payment","OK")</f>
        <v>OK</v>
      </c>
      <c r="AK185" s="3" t="s">
        <v>54</v>
      </c>
      <c r="AL185" s="3" t="str">
        <f aca="false">IF(OR(T185="Negative - Invalid",T185="Above Allowed Range - Invalid",AE185="Invalid - Ship Before Order",AK185&lt;&gt;"Unique",AB185="Mismatch",AC185="Mismatch",AJ185&lt;&gt;"OK"),"Invalid",IF(OR(H185="Yes",O185="Yes",T185="Missing"),"Warning","Clean"))</f>
        <v>Clean</v>
      </c>
    </row>
    <row r="186" customFormat="false" ht="15" hidden="false" customHeight="true" outlineLevel="0" collapsed="false">
      <c r="A186" s="3" t="s">
        <v>698</v>
      </c>
      <c r="B186" s="4" t="n">
        <v>45384</v>
      </c>
      <c r="C186" s="4" t="n">
        <v>45388</v>
      </c>
      <c r="D186" s="3" t="s">
        <v>699</v>
      </c>
      <c r="E186" s="3" t="s">
        <v>96</v>
      </c>
      <c r="F186" s="3" t="s">
        <v>116</v>
      </c>
      <c r="G186" s="3" t="s">
        <v>88</v>
      </c>
      <c r="H186" s="3" t="s">
        <v>43</v>
      </c>
      <c r="I186" s="3" t="s">
        <v>97</v>
      </c>
      <c r="J186" s="3" t="s">
        <v>98</v>
      </c>
      <c r="K186" s="3" t="s">
        <v>62</v>
      </c>
      <c r="L186" s="3" t="s">
        <v>188</v>
      </c>
      <c r="M186" s="3" t="s">
        <v>700</v>
      </c>
      <c r="N186" s="3" t="s">
        <v>83</v>
      </c>
      <c r="O186" s="3" t="s">
        <v>43</v>
      </c>
      <c r="P186" s="5" t="n">
        <v>2</v>
      </c>
      <c r="Q186" s="6" t="n">
        <v>888.98</v>
      </c>
      <c r="R186" s="3" t="s">
        <v>66</v>
      </c>
      <c r="S186" s="7" t="n">
        <v>0</v>
      </c>
      <c r="T186" s="3" t="s">
        <v>51</v>
      </c>
      <c r="U186" s="7" t="n">
        <f aca="false">IF(T186="Valid",S186,0)</f>
        <v>0</v>
      </c>
      <c r="V186" s="6" t="n">
        <v>1777.96</v>
      </c>
      <c r="W186" s="6" t="n">
        <v>1021.16</v>
      </c>
      <c r="X186" s="6" t="n">
        <v>756.8</v>
      </c>
      <c r="Y186" s="6" t="n">
        <f aca="false">P186*Q186*(1-U186)</f>
        <v>1777.96</v>
      </c>
      <c r="Z186" s="6" t="n">
        <f aca="false">Y186-W186</f>
        <v>756.8</v>
      </c>
      <c r="AA186" s="8" t="n">
        <f aca="false">IF(Y186=0,0,Z186/Y186)</f>
        <v>0.425656370222052</v>
      </c>
      <c r="AB186" s="3" t="str">
        <f aca="false">IF(ABS(V186-Y186)&gt;1,"Mismatch","OK")</f>
        <v>OK</v>
      </c>
      <c r="AC186" s="3" t="str">
        <f aca="false">IF(ABS(X186-Z186)&gt;1,"Mismatch","OK")</f>
        <v>OK</v>
      </c>
      <c r="AD186" s="5" t="n">
        <f aca="false">IF(OR(B186="",C186=""),"",C186-B186)</f>
        <v>4</v>
      </c>
      <c r="AE186" s="3" t="str">
        <f aca="false">IF(AD186="","Unknown",IF(AD186&lt;0,"Invalid - Ship Before Order","OK"))</f>
        <v>OK</v>
      </c>
      <c r="AF186" s="5" t="n">
        <f aca="false">IF(B186="","",MONTH(B186))</f>
        <v>4</v>
      </c>
      <c r="AG186" s="5" t="n">
        <f aca="false">IF(B186="","",YEAR(B186))</f>
        <v>2024</v>
      </c>
      <c r="AH186" s="3" t="s">
        <v>129</v>
      </c>
      <c r="AI186" s="3" t="s">
        <v>130</v>
      </c>
      <c r="AJ186" s="3" t="str">
        <f aca="false">IF(AND(AI186="Completed",AH186="Failed"),"Inconsistent - Completed Order with Failed Payment","OK")</f>
        <v>OK</v>
      </c>
      <c r="AK186" s="3" t="s">
        <v>54</v>
      </c>
      <c r="AL186" s="3" t="str">
        <f aca="false">IF(OR(T186="Negative - Invalid",T186="Above Allowed Range - Invalid",AE186="Invalid - Ship Before Order",AK186&lt;&gt;"Unique",AB186="Mismatch",AC186="Mismatch",AJ186&lt;&gt;"OK"),"Invalid",IF(OR(H186="Yes",O186="Yes",T186="Missing"),"Warning","Clean"))</f>
        <v>Clean</v>
      </c>
    </row>
    <row r="187" customFormat="false" ht="15" hidden="false" customHeight="true" outlineLevel="0" collapsed="false">
      <c r="A187" s="3" t="s">
        <v>701</v>
      </c>
      <c r="B187" s="4" t="n">
        <v>45601</v>
      </c>
      <c r="C187" s="4" t="n">
        <v>45609</v>
      </c>
      <c r="D187" s="3" t="s">
        <v>702</v>
      </c>
      <c r="E187" s="3" t="s">
        <v>77</v>
      </c>
      <c r="F187" s="3" t="s">
        <v>41</v>
      </c>
      <c r="G187" s="3" t="s">
        <v>237</v>
      </c>
      <c r="H187" s="3" t="s">
        <v>238</v>
      </c>
      <c r="I187" s="3" t="s">
        <v>149</v>
      </c>
      <c r="J187" s="3" t="s">
        <v>150</v>
      </c>
      <c r="K187" s="3" t="s">
        <v>46</v>
      </c>
      <c r="L187" s="3" t="s">
        <v>117</v>
      </c>
      <c r="M187" s="3" t="s">
        <v>703</v>
      </c>
      <c r="N187" s="3" t="s">
        <v>49</v>
      </c>
      <c r="O187" s="3" t="s">
        <v>43</v>
      </c>
      <c r="P187" s="5" t="n">
        <v>2</v>
      </c>
      <c r="Q187" s="6" t="n">
        <v>1003.17</v>
      </c>
      <c r="R187" s="3" t="s">
        <v>50</v>
      </c>
      <c r="S187" s="7" t="n">
        <v>0.2</v>
      </c>
      <c r="T187" s="3" t="s">
        <v>51</v>
      </c>
      <c r="U187" s="7" t="n">
        <f aca="false">IF(T187="Valid",S187,0)</f>
        <v>0.2</v>
      </c>
      <c r="V187" s="6" t="n">
        <v>1605.07</v>
      </c>
      <c r="W187" s="6" t="n">
        <v>1337.28</v>
      </c>
      <c r="X187" s="6" t="n">
        <v>267.79</v>
      </c>
      <c r="Y187" s="6" t="n">
        <f aca="false">P187*Q187*(1-U187)</f>
        <v>1605.072</v>
      </c>
      <c r="Z187" s="6" t="n">
        <f aca="false">Y187-W187</f>
        <v>267.792</v>
      </c>
      <c r="AA187" s="8" t="n">
        <f aca="false">IF(Y187=0,0,Z187/Y187)</f>
        <v>0.166841113669667</v>
      </c>
      <c r="AB187" s="3" t="str">
        <f aca="false">IF(ABS(V187-Y187)&gt;1,"Mismatch","OK")</f>
        <v>OK</v>
      </c>
      <c r="AC187" s="3" t="str">
        <f aca="false">IF(ABS(X187-Z187)&gt;1,"Mismatch","OK")</f>
        <v>OK</v>
      </c>
      <c r="AD187" s="5" t="n">
        <f aca="false">IF(OR(B187="",C187=""),"",C187-B187)</f>
        <v>8</v>
      </c>
      <c r="AE187" s="3" t="str">
        <f aca="false">IF(AD187="","Unknown",IF(AD187&lt;0,"Invalid - Ship Before Order","OK"))</f>
        <v>OK</v>
      </c>
      <c r="AF187" s="5" t="n">
        <f aca="false">IF(B187="","",MONTH(B187))</f>
        <v>11</v>
      </c>
      <c r="AG187" s="5" t="n">
        <f aca="false">IF(B187="","",YEAR(B187))</f>
        <v>2024</v>
      </c>
      <c r="AH187" s="3" t="s">
        <v>52</v>
      </c>
      <c r="AI187" s="3" t="s">
        <v>53</v>
      </c>
      <c r="AJ187" s="3" t="str">
        <f aca="false">IF(AND(AI187="Completed",AH187="Failed"),"Inconsistent - Completed Order with Failed Payment","OK")</f>
        <v>OK</v>
      </c>
      <c r="AK187" s="3" t="s">
        <v>54</v>
      </c>
      <c r="AL187" s="3" t="str">
        <f aca="false">IF(OR(T187="Negative - Invalid",T187="Above Allowed Range - Invalid",AE187="Invalid - Ship Before Order",AK187&lt;&gt;"Unique",AB187="Mismatch",AC187="Mismatch",AJ187&lt;&gt;"OK"),"Invalid",IF(OR(H187="Yes",O187="Yes",T187="Missing"),"Warning","Clean"))</f>
        <v>Warning</v>
      </c>
    </row>
    <row r="188" customFormat="false" ht="15" hidden="false" customHeight="true" outlineLevel="0" collapsed="false">
      <c r="A188" s="3" t="s">
        <v>704</v>
      </c>
      <c r="B188" s="4" t="n">
        <v>45492</v>
      </c>
      <c r="C188" s="4" t="n">
        <v>45493</v>
      </c>
      <c r="D188" s="3" t="s">
        <v>297</v>
      </c>
      <c r="E188" s="3" t="s">
        <v>96</v>
      </c>
      <c r="F188" s="3" t="s">
        <v>41</v>
      </c>
      <c r="G188" s="3" t="s">
        <v>78</v>
      </c>
      <c r="H188" s="3" t="s">
        <v>43</v>
      </c>
      <c r="I188" s="3" t="s">
        <v>281</v>
      </c>
      <c r="J188" s="3" t="s">
        <v>282</v>
      </c>
      <c r="K188" s="3" t="s">
        <v>62</v>
      </c>
      <c r="L188" s="3" t="s">
        <v>63</v>
      </c>
      <c r="M188" s="3" t="s">
        <v>705</v>
      </c>
      <c r="N188" s="3" t="s">
        <v>72</v>
      </c>
      <c r="O188" s="3" t="s">
        <v>43</v>
      </c>
      <c r="P188" s="5" t="n">
        <v>7</v>
      </c>
      <c r="Q188" s="6" t="n">
        <v>3608.43</v>
      </c>
      <c r="R188" s="3" t="s">
        <v>128</v>
      </c>
      <c r="S188" s="7" t="n">
        <v>0.05</v>
      </c>
      <c r="T188" s="3" t="s">
        <v>51</v>
      </c>
      <c r="U188" s="7" t="n">
        <f aca="false">IF(T188="Valid",S188,0)</f>
        <v>0.05</v>
      </c>
      <c r="V188" s="6" t="n">
        <v>23996.06</v>
      </c>
      <c r="W188" s="6" t="n">
        <v>20167.28</v>
      </c>
      <c r="X188" s="6" t="n">
        <v>3828.78</v>
      </c>
      <c r="Y188" s="6" t="n">
        <f aca="false">P188*Q188*(1-U188)</f>
        <v>23996.0595</v>
      </c>
      <c r="Z188" s="6" t="n">
        <f aca="false">Y188-W188</f>
        <v>3828.7795</v>
      </c>
      <c r="AA188" s="8" t="n">
        <f aca="false">IF(Y188=0,0,Z188/Y188)</f>
        <v>0.159558676706898</v>
      </c>
      <c r="AB188" s="3" t="str">
        <f aca="false">IF(ABS(V188-Y188)&gt;1,"Mismatch","OK")</f>
        <v>OK</v>
      </c>
      <c r="AC188" s="3" t="str">
        <f aca="false">IF(ABS(X188-Z188)&gt;1,"Mismatch","OK")</f>
        <v>OK</v>
      </c>
      <c r="AD188" s="5" t="n">
        <f aca="false">IF(OR(B188="",C188=""),"",C188-B188)</f>
        <v>1</v>
      </c>
      <c r="AE188" s="3" t="str">
        <f aca="false">IF(AD188="","Unknown",IF(AD188&lt;0,"Invalid - Ship Before Order","OK"))</f>
        <v>OK</v>
      </c>
      <c r="AF188" s="5" t="n">
        <f aca="false">IF(B188="","",MONTH(B188))</f>
        <v>7</v>
      </c>
      <c r="AG188" s="5" t="n">
        <f aca="false">IF(B188="","",YEAR(B188))</f>
        <v>2024</v>
      </c>
      <c r="AH188" s="3" t="s">
        <v>52</v>
      </c>
      <c r="AI188" s="3" t="s">
        <v>53</v>
      </c>
      <c r="AJ188" s="3" t="str">
        <f aca="false">IF(AND(AI188="Completed",AH188="Failed"),"Inconsistent - Completed Order with Failed Payment","OK")</f>
        <v>OK</v>
      </c>
      <c r="AK188" s="3" t="s">
        <v>54</v>
      </c>
      <c r="AL188" s="3" t="str">
        <f aca="false">IF(OR(T188="Negative - Invalid",T188="Above Allowed Range - Invalid",AE188="Invalid - Ship Before Order",AK188&lt;&gt;"Unique",AB188="Mismatch",AC188="Mismatch",AJ188&lt;&gt;"OK"),"Invalid",IF(OR(H188="Yes",O188="Yes",T188="Missing"),"Warning","Clean"))</f>
        <v>Clean</v>
      </c>
    </row>
    <row r="189" customFormat="false" ht="15" hidden="false" customHeight="true" outlineLevel="0" collapsed="false">
      <c r="A189" s="3" t="s">
        <v>706</v>
      </c>
      <c r="B189" s="4" t="n">
        <v>45778</v>
      </c>
      <c r="C189" s="4" t="n">
        <v>45779</v>
      </c>
      <c r="D189" s="3" t="s">
        <v>707</v>
      </c>
      <c r="E189" s="3" t="s">
        <v>57</v>
      </c>
      <c r="F189" s="3" t="s">
        <v>41</v>
      </c>
      <c r="G189" s="3" t="s">
        <v>88</v>
      </c>
      <c r="H189" s="3" t="s">
        <v>43</v>
      </c>
      <c r="I189" s="3" t="s">
        <v>97</v>
      </c>
      <c r="J189" s="3" t="s">
        <v>98</v>
      </c>
      <c r="K189" s="3" t="s">
        <v>62</v>
      </c>
      <c r="L189" s="3" t="s">
        <v>91</v>
      </c>
      <c r="M189" s="3" t="s">
        <v>708</v>
      </c>
      <c r="N189" s="3" t="s">
        <v>65</v>
      </c>
      <c r="O189" s="3" t="s">
        <v>43</v>
      </c>
      <c r="P189" s="5" t="n">
        <v>3</v>
      </c>
      <c r="Q189" s="6" t="n">
        <v>2905.74</v>
      </c>
      <c r="R189" s="3" t="s">
        <v>66</v>
      </c>
      <c r="S189" s="7" t="n">
        <v>0</v>
      </c>
      <c r="T189" s="3" t="s">
        <v>51</v>
      </c>
      <c r="U189" s="7" t="n">
        <f aca="false">IF(T189="Valid",S189,0)</f>
        <v>0</v>
      </c>
      <c r="V189" s="6" t="n">
        <v>8717.22</v>
      </c>
      <c r="W189" s="6" t="n">
        <v>6215.96</v>
      </c>
      <c r="X189" s="6" t="n">
        <v>2501.26</v>
      </c>
      <c r="Y189" s="6" t="n">
        <f aca="false">P189*Q189*(1-U189)</f>
        <v>8717.22</v>
      </c>
      <c r="Z189" s="6" t="n">
        <f aca="false">Y189-W189</f>
        <v>2501.26</v>
      </c>
      <c r="AA189" s="8" t="n">
        <f aca="false">IF(Y189=0,0,Z189/Y189)</f>
        <v>0.286933219535586</v>
      </c>
      <c r="AB189" s="3" t="str">
        <f aca="false">IF(ABS(V189-Y189)&gt;1,"Mismatch","OK")</f>
        <v>OK</v>
      </c>
      <c r="AC189" s="3" t="str">
        <f aca="false">IF(ABS(X189-Z189)&gt;1,"Mismatch","OK")</f>
        <v>OK</v>
      </c>
      <c r="AD189" s="5" t="n">
        <f aca="false">IF(OR(B189="",C189=""),"",C189-B189)</f>
        <v>1</v>
      </c>
      <c r="AE189" s="3" t="str">
        <f aca="false">IF(AD189="","Unknown",IF(AD189&lt;0,"Invalid - Ship Before Order","OK"))</f>
        <v>OK</v>
      </c>
      <c r="AF189" s="5" t="n">
        <f aca="false">IF(B189="","",MONTH(B189))</f>
        <v>5</v>
      </c>
      <c r="AG189" s="5" t="n">
        <f aca="false">IF(B189="","",YEAR(B189))</f>
        <v>2025</v>
      </c>
      <c r="AH189" s="3" t="s">
        <v>52</v>
      </c>
      <c r="AI189" s="3" t="s">
        <v>130</v>
      </c>
      <c r="AJ189" s="3" t="str">
        <f aca="false">IF(AND(AI189="Completed",AH189="Failed"),"Inconsistent - Completed Order with Failed Payment","OK")</f>
        <v>OK</v>
      </c>
      <c r="AK189" s="3" t="s">
        <v>54</v>
      </c>
      <c r="AL189" s="3" t="str">
        <f aca="false">IF(OR(T189="Negative - Invalid",T189="Above Allowed Range - Invalid",AE189="Invalid - Ship Before Order",AK189&lt;&gt;"Unique",AB189="Mismatch",AC189="Mismatch",AJ189&lt;&gt;"OK"),"Invalid",IF(OR(H189="Yes",O189="Yes",T189="Missing"),"Warning","Clean"))</f>
        <v>Clean</v>
      </c>
    </row>
    <row r="190" customFormat="false" ht="15" hidden="false" customHeight="true" outlineLevel="0" collapsed="false">
      <c r="A190" s="3" t="s">
        <v>709</v>
      </c>
      <c r="B190" s="4" t="n">
        <v>45798</v>
      </c>
      <c r="C190" s="4" t="n">
        <v>45805</v>
      </c>
      <c r="D190" s="3" t="s">
        <v>710</v>
      </c>
      <c r="E190" s="3" t="s">
        <v>141</v>
      </c>
      <c r="F190" s="3" t="s">
        <v>116</v>
      </c>
      <c r="G190" s="3" t="s">
        <v>59</v>
      </c>
      <c r="H190" s="3" t="s">
        <v>43</v>
      </c>
      <c r="I190" s="3" t="s">
        <v>125</v>
      </c>
      <c r="J190" s="3" t="s">
        <v>126</v>
      </c>
      <c r="K190" s="3" t="s">
        <v>62</v>
      </c>
      <c r="L190" s="3" t="s">
        <v>188</v>
      </c>
      <c r="M190" s="3" t="s">
        <v>711</v>
      </c>
      <c r="N190" s="3" t="s">
        <v>65</v>
      </c>
      <c r="O190" s="3" t="s">
        <v>43</v>
      </c>
      <c r="P190" s="5" t="n">
        <v>2</v>
      </c>
      <c r="Q190" s="6" t="n">
        <v>3559.57</v>
      </c>
      <c r="R190" s="3" t="s">
        <v>203</v>
      </c>
      <c r="S190" s="7" t="n">
        <v>0.1</v>
      </c>
      <c r="T190" s="3" t="s">
        <v>51</v>
      </c>
      <c r="U190" s="7" t="n">
        <f aca="false">IF(T190="Valid",S190,0)</f>
        <v>0.1</v>
      </c>
      <c r="V190" s="6" t="n">
        <v>6553.95</v>
      </c>
      <c r="W190" s="6" t="n">
        <v>4923.09</v>
      </c>
      <c r="X190" s="6" t="n">
        <v>1484.14</v>
      </c>
      <c r="Y190" s="6" t="n">
        <f aca="false">P190*Q190*(1-U190)</f>
        <v>6407.226</v>
      </c>
      <c r="Z190" s="6" t="n">
        <f aca="false">Y190-W190</f>
        <v>1484.136</v>
      </c>
      <c r="AA190" s="8" t="n">
        <f aca="false">IF(Y190=0,0,Z190/Y190)</f>
        <v>0.231634719924036</v>
      </c>
      <c r="AB190" s="3" t="str">
        <f aca="false">IF(ABS(V190-Y190)&gt;1,"Mismatch","OK")</f>
        <v>Mismatch</v>
      </c>
      <c r="AC190" s="3" t="str">
        <f aca="false">IF(ABS(X190-Z190)&gt;1,"Mismatch","OK")</f>
        <v>OK</v>
      </c>
      <c r="AD190" s="5" t="n">
        <f aca="false">IF(OR(B190="",C190=""),"",C190-B190)</f>
        <v>7</v>
      </c>
      <c r="AE190" s="3" t="str">
        <f aca="false">IF(AD190="","Unknown",IF(AD190&lt;0,"Invalid - Ship Before Order","OK"))</f>
        <v>OK</v>
      </c>
      <c r="AF190" s="5" t="n">
        <f aca="false">IF(B190="","",MONTH(B190))</f>
        <v>5</v>
      </c>
      <c r="AG190" s="5" t="n">
        <f aca="false">IF(B190="","",YEAR(B190))</f>
        <v>2025</v>
      </c>
      <c r="AH190" s="3" t="s">
        <v>52</v>
      </c>
      <c r="AI190" s="3" t="s">
        <v>53</v>
      </c>
      <c r="AJ190" s="3" t="str">
        <f aca="false">IF(AND(AI190="Completed",AH190="Failed"),"Inconsistent - Completed Order with Failed Payment","OK")</f>
        <v>OK</v>
      </c>
      <c r="AK190" s="3" t="s">
        <v>54</v>
      </c>
      <c r="AL190" s="3" t="str">
        <f aca="false">IF(OR(T190="Negative - Invalid",T190="Above Allowed Range - Invalid",AE190="Invalid - Ship Before Order",AK190&lt;&gt;"Unique",AB190="Mismatch",AC190="Mismatch",AJ190&lt;&gt;"OK"),"Invalid",IF(OR(H190="Yes",O190="Yes",T190="Missing"),"Warning","Clean"))</f>
        <v>Invalid</v>
      </c>
    </row>
    <row r="191" customFormat="false" ht="15" hidden="false" customHeight="true" outlineLevel="0" collapsed="false">
      <c r="A191" s="3" t="s">
        <v>712</v>
      </c>
      <c r="B191" s="4" t="n">
        <v>45783</v>
      </c>
      <c r="C191" s="4" t="n">
        <v>45784</v>
      </c>
      <c r="D191" s="3" t="s">
        <v>713</v>
      </c>
      <c r="E191" s="3" t="s">
        <v>77</v>
      </c>
      <c r="F191" s="3" t="s">
        <v>41</v>
      </c>
      <c r="G191" s="3" t="s">
        <v>88</v>
      </c>
      <c r="H191" s="3" t="s">
        <v>43</v>
      </c>
      <c r="I191" s="3" t="s">
        <v>44</v>
      </c>
      <c r="J191" s="3" t="s">
        <v>136</v>
      </c>
      <c r="K191" s="3" t="s">
        <v>62</v>
      </c>
      <c r="L191" s="3" t="s">
        <v>188</v>
      </c>
      <c r="M191" s="3" t="s">
        <v>714</v>
      </c>
      <c r="N191" s="3" t="s">
        <v>72</v>
      </c>
      <c r="O191" s="3" t="s">
        <v>43</v>
      </c>
      <c r="P191" s="5" t="n">
        <v>9</v>
      </c>
      <c r="Q191" s="6" t="n">
        <v>3318.24</v>
      </c>
      <c r="R191" s="3"/>
      <c r="S191" s="7"/>
      <c r="T191" s="3" t="s">
        <v>230</v>
      </c>
      <c r="U191" s="7" t="n">
        <f aca="false">IF(T191="Valid",S191,0)</f>
        <v>0</v>
      </c>
      <c r="V191" s="6" t="n">
        <v>25384.54</v>
      </c>
      <c r="W191" s="6" t="n">
        <v>16872.39</v>
      </c>
      <c r="X191" s="6" t="n">
        <v>8512.15</v>
      </c>
      <c r="Y191" s="6" t="n">
        <f aca="false">P191*Q191*(1-U191)</f>
        <v>29864.16</v>
      </c>
      <c r="Z191" s="6" t="n">
        <f aca="false">Y191-W191</f>
        <v>12991.77</v>
      </c>
      <c r="AA191" s="8" t="n">
        <f aca="false">IF(Y191=0,0,Z191/Y191)</f>
        <v>0.435028810453735</v>
      </c>
      <c r="AB191" s="3" t="str">
        <f aca="false">IF(ABS(V191-Y191)&gt;1,"Mismatch","OK")</f>
        <v>Mismatch</v>
      </c>
      <c r="AC191" s="3" t="str">
        <f aca="false">IF(ABS(X191-Z191)&gt;1,"Mismatch","OK")</f>
        <v>Mismatch</v>
      </c>
      <c r="AD191" s="5" t="n">
        <f aca="false">IF(OR(B191="",C191=""),"",C191-B191)</f>
        <v>1</v>
      </c>
      <c r="AE191" s="3" t="str">
        <f aca="false">IF(AD191="","Unknown",IF(AD191&lt;0,"Invalid - Ship Before Order","OK"))</f>
        <v>OK</v>
      </c>
      <c r="AF191" s="5" t="n">
        <f aca="false">IF(B191="","",MONTH(B191))</f>
        <v>5</v>
      </c>
      <c r="AG191" s="5" t="n">
        <f aca="false">IF(B191="","",YEAR(B191))</f>
        <v>2025</v>
      </c>
      <c r="AH191" s="3" t="s">
        <v>52</v>
      </c>
      <c r="AI191" s="3" t="s">
        <v>53</v>
      </c>
      <c r="AJ191" s="3" t="str">
        <f aca="false">IF(AND(AI191="Completed",AH191="Failed"),"Inconsistent - Completed Order with Failed Payment","OK")</f>
        <v>OK</v>
      </c>
      <c r="AK191" s="3" t="s">
        <v>54</v>
      </c>
      <c r="AL191" s="3" t="str">
        <f aca="false">IF(OR(T191="Negative - Invalid",T191="Above Allowed Range - Invalid",AE191="Invalid - Ship Before Order",AK191&lt;&gt;"Unique",AB191="Mismatch",AC191="Mismatch",AJ191&lt;&gt;"OK"),"Invalid",IF(OR(H191="Yes",O191="Yes",T191="Missing"),"Warning","Clean"))</f>
        <v>Invalid</v>
      </c>
    </row>
    <row r="192" customFormat="false" ht="15" hidden="false" customHeight="true" outlineLevel="0" collapsed="false">
      <c r="A192" s="3" t="s">
        <v>715</v>
      </c>
      <c r="B192" s="4" t="n">
        <v>45767</v>
      </c>
      <c r="C192" s="4" t="n">
        <v>45768</v>
      </c>
      <c r="D192" s="3" t="s">
        <v>716</v>
      </c>
      <c r="E192" s="3" t="s">
        <v>115</v>
      </c>
      <c r="F192" s="3" t="s">
        <v>41</v>
      </c>
      <c r="G192" s="3" t="s">
        <v>78</v>
      </c>
      <c r="H192" s="3" t="s">
        <v>43</v>
      </c>
      <c r="I192" s="3" t="s">
        <v>281</v>
      </c>
      <c r="J192" s="3" t="s">
        <v>282</v>
      </c>
      <c r="K192" s="3" t="s">
        <v>46</v>
      </c>
      <c r="L192" s="3" t="s">
        <v>151</v>
      </c>
      <c r="M192" s="3" t="s">
        <v>717</v>
      </c>
      <c r="N192" s="3" t="s">
        <v>72</v>
      </c>
      <c r="O192" s="3" t="s">
        <v>43</v>
      </c>
      <c r="P192" s="5" t="n">
        <v>3</v>
      </c>
      <c r="Q192" s="6" t="n">
        <v>540.09</v>
      </c>
      <c r="R192" s="3" t="s">
        <v>203</v>
      </c>
      <c r="S192" s="7" t="n">
        <v>0.1</v>
      </c>
      <c r="T192" s="3" t="s">
        <v>51</v>
      </c>
      <c r="U192" s="7" t="n">
        <f aca="false">IF(T192="Valid",S192,0)</f>
        <v>0.1</v>
      </c>
      <c r="V192" s="6" t="n">
        <v>1458.24</v>
      </c>
      <c r="W192" s="6" t="n">
        <v>943.32</v>
      </c>
      <c r="X192" s="6" t="n">
        <v>514.92</v>
      </c>
      <c r="Y192" s="6" t="n">
        <f aca="false">P192*Q192*(1-U192)</f>
        <v>1458.243</v>
      </c>
      <c r="Z192" s="6" t="n">
        <f aca="false">Y192-W192</f>
        <v>514.923</v>
      </c>
      <c r="AA192" s="8" t="n">
        <f aca="false">IF(Y192=0,0,Z192/Y192)</f>
        <v>0.353111929904687</v>
      </c>
      <c r="AB192" s="3" t="str">
        <f aca="false">IF(ABS(V192-Y192)&gt;1,"Mismatch","OK")</f>
        <v>OK</v>
      </c>
      <c r="AC192" s="3" t="str">
        <f aca="false">IF(ABS(X192-Z192)&gt;1,"Mismatch","OK")</f>
        <v>OK</v>
      </c>
      <c r="AD192" s="5" t="n">
        <f aca="false">IF(OR(B192="",C192=""),"",C192-B192)</f>
        <v>1</v>
      </c>
      <c r="AE192" s="3" t="str">
        <f aca="false">IF(AD192="","Unknown",IF(AD192&lt;0,"Invalid - Ship Before Order","OK"))</f>
        <v>OK</v>
      </c>
      <c r="AF192" s="5" t="n">
        <f aca="false">IF(B192="","",MONTH(B192))</f>
        <v>4</v>
      </c>
      <c r="AG192" s="5" t="n">
        <f aca="false">IF(B192="","",YEAR(B192))</f>
        <v>2025</v>
      </c>
      <c r="AH192" s="3" t="s">
        <v>52</v>
      </c>
      <c r="AI192" s="3" t="s">
        <v>53</v>
      </c>
      <c r="AJ192" s="3" t="str">
        <f aca="false">IF(AND(AI192="Completed",AH192="Failed"),"Inconsistent - Completed Order with Failed Payment","OK")</f>
        <v>OK</v>
      </c>
      <c r="AK192" s="3" t="s">
        <v>54</v>
      </c>
      <c r="AL192" s="3" t="str">
        <f aca="false">IF(OR(T192="Negative - Invalid",T192="Above Allowed Range - Invalid",AE192="Invalid - Ship Before Order",AK192&lt;&gt;"Unique",AB192="Mismatch",AC192="Mismatch",AJ192&lt;&gt;"OK"),"Invalid",IF(OR(H192="Yes",O192="Yes",T192="Missing"),"Warning","Clean"))</f>
        <v>Clean</v>
      </c>
    </row>
    <row r="193" customFormat="false" ht="15" hidden="false" customHeight="true" outlineLevel="0" collapsed="false">
      <c r="A193" s="3" t="s">
        <v>718</v>
      </c>
      <c r="B193" s="4" t="n">
        <v>45584</v>
      </c>
      <c r="C193" s="4" t="n">
        <v>45589</v>
      </c>
      <c r="D193" s="3" t="s">
        <v>719</v>
      </c>
      <c r="E193" s="3" t="s">
        <v>159</v>
      </c>
      <c r="F193" s="3" t="s">
        <v>58</v>
      </c>
      <c r="G193" s="3" t="s">
        <v>78</v>
      </c>
      <c r="H193" s="3" t="s">
        <v>43</v>
      </c>
      <c r="I193" s="3" t="s">
        <v>281</v>
      </c>
      <c r="J193" s="3" t="s">
        <v>282</v>
      </c>
      <c r="K193" s="3" t="s">
        <v>62</v>
      </c>
      <c r="L193" s="3" t="s">
        <v>188</v>
      </c>
      <c r="M193" s="3" t="s">
        <v>720</v>
      </c>
      <c r="N193" s="3" t="s">
        <v>49</v>
      </c>
      <c r="O193" s="3" t="s">
        <v>43</v>
      </c>
      <c r="P193" s="5" t="n">
        <v>6</v>
      </c>
      <c r="Q193" s="6" t="n">
        <v>4308.4</v>
      </c>
      <c r="R193" s="3" t="s">
        <v>721</v>
      </c>
      <c r="S193" s="7" t="n">
        <v>0.65</v>
      </c>
      <c r="T193" s="3" t="s">
        <v>74</v>
      </c>
      <c r="U193" s="7" t="n">
        <f aca="false">IF(T193="Valid",S193,0)</f>
        <v>0</v>
      </c>
      <c r="V193" s="6" t="n">
        <v>25850.4</v>
      </c>
      <c r="W193" s="6" t="n">
        <v>19397.68</v>
      </c>
      <c r="X193" s="6" t="n">
        <v>6452.72</v>
      </c>
      <c r="Y193" s="6" t="n">
        <f aca="false">P193*Q193*(1-U193)</f>
        <v>25850.4</v>
      </c>
      <c r="Z193" s="6" t="n">
        <f aca="false">Y193-W193</f>
        <v>6452.72</v>
      </c>
      <c r="AA193" s="8" t="n">
        <f aca="false">IF(Y193=0,0,Z193/Y193)</f>
        <v>0.249617800885093</v>
      </c>
      <c r="AB193" s="3" t="str">
        <f aca="false">IF(ABS(V193-Y193)&gt;1,"Mismatch","OK")</f>
        <v>OK</v>
      </c>
      <c r="AC193" s="3" t="str">
        <f aca="false">IF(ABS(X193-Z193)&gt;1,"Mismatch","OK")</f>
        <v>OK</v>
      </c>
      <c r="AD193" s="5" t="n">
        <f aca="false">IF(OR(B193="",C193=""),"",C193-B193)</f>
        <v>5</v>
      </c>
      <c r="AE193" s="3" t="str">
        <f aca="false">IF(AD193="","Unknown",IF(AD193&lt;0,"Invalid - Ship Before Order","OK"))</f>
        <v>OK</v>
      </c>
      <c r="AF193" s="5" t="n">
        <f aca="false">IF(B193="","",MONTH(B193))</f>
        <v>10</v>
      </c>
      <c r="AG193" s="5" t="n">
        <f aca="false">IF(B193="","",YEAR(B193))</f>
        <v>2024</v>
      </c>
      <c r="AH193" s="3" t="s">
        <v>52</v>
      </c>
      <c r="AI193" s="3" t="s">
        <v>53</v>
      </c>
      <c r="AJ193" s="3" t="str">
        <f aca="false">IF(AND(AI193="Completed",AH193="Failed"),"Inconsistent - Completed Order with Failed Payment","OK")</f>
        <v>OK</v>
      </c>
      <c r="AK193" s="3" t="s">
        <v>54</v>
      </c>
      <c r="AL193" s="3" t="str">
        <f aca="false">IF(OR(T193="Negative - Invalid",T193="Above Allowed Range - Invalid",AE193="Invalid - Ship Before Order",AK193&lt;&gt;"Unique",AB193="Mismatch",AC193="Mismatch",AJ193&lt;&gt;"OK"),"Invalid",IF(OR(H193="Yes",O193="Yes",T193="Missing"),"Warning","Clean"))</f>
        <v>Invalid</v>
      </c>
    </row>
    <row r="194" customFormat="false" ht="15" hidden="false" customHeight="true" outlineLevel="0" collapsed="false">
      <c r="A194" s="3" t="s">
        <v>722</v>
      </c>
      <c r="B194" s="4" t="n">
        <v>45635</v>
      </c>
      <c r="C194" s="4" t="n">
        <v>45642</v>
      </c>
      <c r="D194" s="3" t="s">
        <v>723</v>
      </c>
      <c r="E194" s="3" t="s">
        <v>69</v>
      </c>
      <c r="F194" s="3" t="s">
        <v>121</v>
      </c>
      <c r="G194" s="3" t="s">
        <v>88</v>
      </c>
      <c r="H194" s="3" t="s">
        <v>43</v>
      </c>
      <c r="I194" s="3" t="s">
        <v>211</v>
      </c>
      <c r="J194" s="3" t="s">
        <v>212</v>
      </c>
      <c r="K194" s="3" t="s">
        <v>62</v>
      </c>
      <c r="L194" s="3" t="s">
        <v>91</v>
      </c>
      <c r="M194" s="3" t="s">
        <v>724</v>
      </c>
      <c r="N194" s="3" t="s">
        <v>72</v>
      </c>
      <c r="O194" s="3" t="s">
        <v>43</v>
      </c>
      <c r="P194" s="5" t="n">
        <v>4</v>
      </c>
      <c r="Q194" s="6" t="n">
        <v>2191.03</v>
      </c>
      <c r="R194" s="3" t="s">
        <v>66</v>
      </c>
      <c r="S194" s="7" t="n">
        <v>0</v>
      </c>
      <c r="T194" s="3" t="s">
        <v>51</v>
      </c>
      <c r="U194" s="7" t="n">
        <f aca="false">IF(T194="Valid",S194,0)</f>
        <v>0</v>
      </c>
      <c r="V194" s="6" t="n">
        <v>8764.12</v>
      </c>
      <c r="W194" s="6" t="n">
        <v>7220.05</v>
      </c>
      <c r="X194" s="6" t="n">
        <v>1544.07</v>
      </c>
      <c r="Y194" s="6" t="n">
        <f aca="false">P194*Q194*(1-U194)</f>
        <v>8764.12</v>
      </c>
      <c r="Z194" s="6" t="n">
        <f aca="false">Y194-W194</f>
        <v>1544.07</v>
      </c>
      <c r="AA194" s="8" t="n">
        <f aca="false">IF(Y194=0,0,Z194/Y194)</f>
        <v>0.176180837323086</v>
      </c>
      <c r="AB194" s="3" t="str">
        <f aca="false">IF(ABS(V194-Y194)&gt;1,"Mismatch","OK")</f>
        <v>OK</v>
      </c>
      <c r="AC194" s="3" t="str">
        <f aca="false">IF(ABS(X194-Z194)&gt;1,"Mismatch","OK")</f>
        <v>OK</v>
      </c>
      <c r="AD194" s="5" t="n">
        <f aca="false">IF(OR(B194="",C194=""),"",C194-B194)</f>
        <v>7</v>
      </c>
      <c r="AE194" s="3" t="str">
        <f aca="false">IF(AD194="","Unknown",IF(AD194&lt;0,"Invalid - Ship Before Order","OK"))</f>
        <v>OK</v>
      </c>
      <c r="AF194" s="5" t="n">
        <f aca="false">IF(B194="","",MONTH(B194))</f>
        <v>12</v>
      </c>
      <c r="AG194" s="5" t="n">
        <f aca="false">IF(B194="","",YEAR(B194))</f>
        <v>2024</v>
      </c>
      <c r="AH194" s="3" t="s">
        <v>52</v>
      </c>
      <c r="AI194" s="3" t="s">
        <v>53</v>
      </c>
      <c r="AJ194" s="3" t="str">
        <f aca="false">IF(AND(AI194="Completed",AH194="Failed"),"Inconsistent - Completed Order with Failed Payment","OK")</f>
        <v>OK</v>
      </c>
      <c r="AK194" s="3" t="s">
        <v>54</v>
      </c>
      <c r="AL194" s="3" t="str">
        <f aca="false">IF(OR(T194="Negative - Invalid",T194="Above Allowed Range - Invalid",AE194="Invalid - Ship Before Order",AK194&lt;&gt;"Unique",AB194="Mismatch",AC194="Mismatch",AJ194&lt;&gt;"OK"),"Invalid",IF(OR(H194="Yes",O194="Yes",T194="Missing"),"Warning","Clean"))</f>
        <v>Clean</v>
      </c>
    </row>
    <row r="195" customFormat="false" ht="15" hidden="false" customHeight="true" outlineLevel="0" collapsed="false">
      <c r="A195" s="3" t="s">
        <v>725</v>
      </c>
      <c r="B195" s="4" t="n">
        <v>45466</v>
      </c>
      <c r="C195" s="4" t="n">
        <v>45471</v>
      </c>
      <c r="D195" s="3" t="s">
        <v>726</v>
      </c>
      <c r="E195" s="3" t="s">
        <v>141</v>
      </c>
      <c r="F195" s="3" t="s">
        <v>58</v>
      </c>
      <c r="G195" s="3" t="s">
        <v>42</v>
      </c>
      <c r="H195" s="3" t="s">
        <v>43</v>
      </c>
      <c r="I195" s="3" t="s">
        <v>149</v>
      </c>
      <c r="J195" s="3" t="s">
        <v>150</v>
      </c>
      <c r="K195" s="3" t="s">
        <v>99</v>
      </c>
      <c r="L195" s="3" t="s">
        <v>105</v>
      </c>
      <c r="M195" s="3" t="s">
        <v>727</v>
      </c>
      <c r="N195" s="3" t="s">
        <v>65</v>
      </c>
      <c r="O195" s="3" t="s">
        <v>43</v>
      </c>
      <c r="P195" s="5" t="n">
        <v>6</v>
      </c>
      <c r="Q195" s="6" t="n">
        <v>1956.63</v>
      </c>
      <c r="R195" s="3" t="s">
        <v>50</v>
      </c>
      <c r="S195" s="7" t="n">
        <v>0.2</v>
      </c>
      <c r="T195" s="3" t="s">
        <v>51</v>
      </c>
      <c r="U195" s="7" t="n">
        <f aca="false">IF(T195="Valid",S195,0)</f>
        <v>0.2</v>
      </c>
      <c r="V195" s="6" t="n">
        <v>9391.82</v>
      </c>
      <c r="W195" s="6" t="n">
        <v>6013.22</v>
      </c>
      <c r="X195" s="6" t="n">
        <v>3378.6</v>
      </c>
      <c r="Y195" s="6" t="n">
        <f aca="false">P195*Q195*(1-U195)</f>
        <v>9391.824</v>
      </c>
      <c r="Z195" s="6" t="n">
        <f aca="false">Y195-W195</f>
        <v>3378.604</v>
      </c>
      <c r="AA195" s="8" t="n">
        <f aca="false">IF(Y195=0,0,Z195/Y195)</f>
        <v>0.359738853709354</v>
      </c>
      <c r="AB195" s="3" t="str">
        <f aca="false">IF(ABS(V195-Y195)&gt;1,"Mismatch","OK")</f>
        <v>OK</v>
      </c>
      <c r="AC195" s="3" t="str">
        <f aca="false">IF(ABS(X195-Z195)&gt;1,"Mismatch","OK")</f>
        <v>OK</v>
      </c>
      <c r="AD195" s="5" t="n">
        <f aca="false">IF(OR(B195="",C195=""),"",C195-B195)</f>
        <v>5</v>
      </c>
      <c r="AE195" s="3" t="str">
        <f aca="false">IF(AD195="","Unknown",IF(AD195&lt;0,"Invalid - Ship Before Order","OK"))</f>
        <v>OK</v>
      </c>
      <c r="AF195" s="5" t="n">
        <f aca="false">IF(B195="","",MONTH(B195))</f>
        <v>6</v>
      </c>
      <c r="AG195" s="5" t="n">
        <f aca="false">IF(B195="","",YEAR(B195))</f>
        <v>2024</v>
      </c>
      <c r="AH195" s="3" t="s">
        <v>129</v>
      </c>
      <c r="AI195" s="3" t="s">
        <v>130</v>
      </c>
      <c r="AJ195" s="3" t="str">
        <f aca="false">IF(AND(AI195="Completed",AH195="Failed"),"Inconsistent - Completed Order with Failed Payment","OK")</f>
        <v>OK</v>
      </c>
      <c r="AK195" s="3" t="s">
        <v>54</v>
      </c>
      <c r="AL195" s="3" t="str">
        <f aca="false">IF(OR(T195="Negative - Invalid",T195="Above Allowed Range - Invalid",AE195="Invalid - Ship Before Order",AK195&lt;&gt;"Unique",AB195="Mismatch",AC195="Mismatch",AJ195&lt;&gt;"OK"),"Invalid",IF(OR(H195="Yes",O195="Yes",T195="Missing"),"Warning","Clean"))</f>
        <v>Clean</v>
      </c>
    </row>
    <row r="196" customFormat="false" ht="15" hidden="false" customHeight="true" outlineLevel="0" collapsed="false">
      <c r="A196" s="3" t="s">
        <v>728</v>
      </c>
      <c r="B196" s="4" t="n">
        <v>45685</v>
      </c>
      <c r="C196" s="4" t="n">
        <v>45688</v>
      </c>
      <c r="D196" s="3" t="s">
        <v>729</v>
      </c>
      <c r="E196" s="3" t="s">
        <v>141</v>
      </c>
      <c r="F196" s="3" t="s">
        <v>41</v>
      </c>
      <c r="G196" s="3" t="s">
        <v>88</v>
      </c>
      <c r="H196" s="3" t="s">
        <v>43</v>
      </c>
      <c r="I196" s="3" t="s">
        <v>89</v>
      </c>
      <c r="J196" s="3" t="s">
        <v>90</v>
      </c>
      <c r="K196" s="3" t="s">
        <v>62</v>
      </c>
      <c r="L196" s="3" t="s">
        <v>81</v>
      </c>
      <c r="M196" s="3" t="s">
        <v>730</v>
      </c>
      <c r="N196" s="3" t="s">
        <v>72</v>
      </c>
      <c r="O196" s="3" t="s">
        <v>43</v>
      </c>
      <c r="P196" s="5" t="n">
        <v>9</v>
      </c>
      <c r="Q196" s="6" t="n">
        <v>858.39</v>
      </c>
      <c r="R196" s="3" t="s">
        <v>128</v>
      </c>
      <c r="S196" s="7" t="n">
        <v>0.05</v>
      </c>
      <c r="T196" s="3" t="s">
        <v>51</v>
      </c>
      <c r="U196" s="7" t="n">
        <f aca="false">IF(T196="Valid",S196,0)</f>
        <v>0.05</v>
      </c>
      <c r="V196" s="6" t="n">
        <v>7339.23</v>
      </c>
      <c r="W196" s="6" t="n">
        <v>5434.12</v>
      </c>
      <c r="X196" s="6" t="n">
        <v>1905.11</v>
      </c>
      <c r="Y196" s="6" t="n">
        <f aca="false">P196*Q196*(1-U196)</f>
        <v>7339.2345</v>
      </c>
      <c r="Z196" s="6" t="n">
        <f aca="false">Y196-W196</f>
        <v>1905.1145</v>
      </c>
      <c r="AA196" s="8" t="n">
        <f aca="false">IF(Y196=0,0,Z196/Y196)</f>
        <v>0.259579456140828</v>
      </c>
      <c r="AB196" s="3" t="str">
        <f aca="false">IF(ABS(V196-Y196)&gt;1,"Mismatch","OK")</f>
        <v>OK</v>
      </c>
      <c r="AC196" s="3" t="str">
        <f aca="false">IF(ABS(X196-Z196)&gt;1,"Mismatch","OK")</f>
        <v>OK</v>
      </c>
      <c r="AD196" s="5" t="n">
        <f aca="false">IF(OR(B196="",C196=""),"",C196-B196)</f>
        <v>3</v>
      </c>
      <c r="AE196" s="3" t="str">
        <f aca="false">IF(AD196="","Unknown",IF(AD196&lt;0,"Invalid - Ship Before Order","OK"))</f>
        <v>OK</v>
      </c>
      <c r="AF196" s="5" t="n">
        <f aca="false">IF(B196="","",MONTH(B196))</f>
        <v>1</v>
      </c>
      <c r="AG196" s="5" t="n">
        <f aca="false">IF(B196="","",YEAR(B196))</f>
        <v>2025</v>
      </c>
      <c r="AH196" s="3" t="s">
        <v>138</v>
      </c>
      <c r="AI196" s="3" t="s">
        <v>130</v>
      </c>
      <c r="AJ196" s="3" t="str">
        <f aca="false">IF(AND(AI196="Completed",AH196="Failed"),"Inconsistent - Completed Order with Failed Payment","OK")</f>
        <v>OK</v>
      </c>
      <c r="AK196" s="3" t="s">
        <v>54</v>
      </c>
      <c r="AL196" s="3" t="str">
        <f aca="false">IF(OR(T196="Negative - Invalid",T196="Above Allowed Range - Invalid",AE196="Invalid - Ship Before Order",AK196&lt;&gt;"Unique",AB196="Mismatch",AC196="Mismatch",AJ196&lt;&gt;"OK"),"Invalid",IF(OR(H196="Yes",O196="Yes",T196="Missing"),"Warning","Clean"))</f>
        <v>Clean</v>
      </c>
    </row>
    <row r="197" customFormat="false" ht="15" hidden="false" customHeight="true" outlineLevel="0" collapsed="false">
      <c r="A197" s="3" t="s">
        <v>731</v>
      </c>
      <c r="B197" s="4" t="n">
        <v>45860</v>
      </c>
      <c r="C197" s="4" t="n">
        <v>45862</v>
      </c>
      <c r="D197" s="3" t="s">
        <v>732</v>
      </c>
      <c r="E197" s="3" t="s">
        <v>104</v>
      </c>
      <c r="F197" s="3" t="s">
        <v>121</v>
      </c>
      <c r="G197" s="3" t="s">
        <v>78</v>
      </c>
      <c r="H197" s="3" t="s">
        <v>43</v>
      </c>
      <c r="I197" s="3" t="s">
        <v>110</v>
      </c>
      <c r="J197" s="3" t="s">
        <v>111</v>
      </c>
      <c r="K197" s="3" t="s">
        <v>62</v>
      </c>
      <c r="L197" s="3" t="s">
        <v>81</v>
      </c>
      <c r="M197" s="3" t="s">
        <v>733</v>
      </c>
      <c r="N197" s="3" t="s">
        <v>65</v>
      </c>
      <c r="O197" s="3" t="s">
        <v>43</v>
      </c>
      <c r="P197" s="5" t="n">
        <v>5</v>
      </c>
      <c r="Q197" s="6" t="n">
        <v>1922.83</v>
      </c>
      <c r="R197" s="3" t="s">
        <v>66</v>
      </c>
      <c r="S197" s="7" t="n">
        <v>0</v>
      </c>
      <c r="T197" s="3" t="s">
        <v>51</v>
      </c>
      <c r="U197" s="7" t="n">
        <f aca="false">IF(T197="Valid",S197,0)</f>
        <v>0</v>
      </c>
      <c r="V197" s="6" t="n">
        <v>9614.15</v>
      </c>
      <c r="W197" s="6" t="n">
        <v>7576.84</v>
      </c>
      <c r="X197" s="6" t="n">
        <v>2037.31</v>
      </c>
      <c r="Y197" s="6" t="n">
        <f aca="false">P197*Q197*(1-U197)</f>
        <v>9614.15</v>
      </c>
      <c r="Z197" s="6" t="n">
        <f aca="false">Y197-W197</f>
        <v>2037.31</v>
      </c>
      <c r="AA197" s="8" t="n">
        <f aca="false">IF(Y197=0,0,Z197/Y197)</f>
        <v>0.211907448916441</v>
      </c>
      <c r="AB197" s="3" t="str">
        <f aca="false">IF(ABS(V197-Y197)&gt;1,"Mismatch","OK")</f>
        <v>OK</v>
      </c>
      <c r="AC197" s="3" t="str">
        <f aca="false">IF(ABS(X197-Z197)&gt;1,"Mismatch","OK")</f>
        <v>OK</v>
      </c>
      <c r="AD197" s="5" t="n">
        <f aca="false">IF(OR(B197="",C197=""),"",C197-B197)</f>
        <v>2</v>
      </c>
      <c r="AE197" s="3" t="str">
        <f aca="false">IF(AD197="","Unknown",IF(AD197&lt;0,"Invalid - Ship Before Order","OK"))</f>
        <v>OK</v>
      </c>
      <c r="AF197" s="5" t="n">
        <f aca="false">IF(B197="","",MONTH(B197))</f>
        <v>7</v>
      </c>
      <c r="AG197" s="5" t="n">
        <f aca="false">IF(B197="","",YEAR(B197))</f>
        <v>2025</v>
      </c>
      <c r="AH197" s="3" t="s">
        <v>52</v>
      </c>
      <c r="AI197" s="3" t="s">
        <v>53</v>
      </c>
      <c r="AJ197" s="3" t="str">
        <f aca="false">IF(AND(AI197="Completed",AH197="Failed"),"Inconsistent - Completed Order with Failed Payment","OK")</f>
        <v>OK</v>
      </c>
      <c r="AK197" s="3" t="s">
        <v>54</v>
      </c>
      <c r="AL197" s="3" t="str">
        <f aca="false">IF(OR(T197="Negative - Invalid",T197="Above Allowed Range - Invalid",AE197="Invalid - Ship Before Order",AK197&lt;&gt;"Unique",AB197="Mismatch",AC197="Mismatch",AJ197&lt;&gt;"OK"),"Invalid",IF(OR(H197="Yes",O197="Yes",T197="Missing"),"Warning","Clean"))</f>
        <v>Clean</v>
      </c>
    </row>
    <row r="198" customFormat="false" ht="15" hidden="false" customHeight="true" outlineLevel="0" collapsed="false">
      <c r="A198" s="3" t="s">
        <v>734</v>
      </c>
      <c r="B198" s="4" t="n">
        <v>45313</v>
      </c>
      <c r="C198" s="4" t="n">
        <v>45316</v>
      </c>
      <c r="D198" s="3" t="s">
        <v>735</v>
      </c>
      <c r="E198" s="3" t="s">
        <v>298</v>
      </c>
      <c r="F198" s="3" t="s">
        <v>121</v>
      </c>
      <c r="G198" s="3" t="s">
        <v>42</v>
      </c>
      <c r="H198" s="3" t="s">
        <v>43</v>
      </c>
      <c r="I198" s="3" t="s">
        <v>163</v>
      </c>
      <c r="J198" s="3" t="s">
        <v>164</v>
      </c>
      <c r="K198" s="3" t="s">
        <v>46</v>
      </c>
      <c r="L198" s="3" t="s">
        <v>151</v>
      </c>
      <c r="M198" s="3" t="s">
        <v>736</v>
      </c>
      <c r="N198" s="3" t="s">
        <v>72</v>
      </c>
      <c r="O198" s="3" t="s">
        <v>43</v>
      </c>
      <c r="P198" s="5" t="n">
        <v>3</v>
      </c>
      <c r="Q198" s="6" t="n">
        <v>1212.03</v>
      </c>
      <c r="R198" s="3" t="s">
        <v>203</v>
      </c>
      <c r="S198" s="7" t="n">
        <v>0.1</v>
      </c>
      <c r="T198" s="3" t="s">
        <v>51</v>
      </c>
      <c r="U198" s="7" t="n">
        <f aca="false">IF(T198="Valid",S198,0)</f>
        <v>0.1</v>
      </c>
      <c r="V198" s="6" t="n">
        <v>3272.48</v>
      </c>
      <c r="W198" s="6" t="n">
        <v>2517.44</v>
      </c>
      <c r="X198" s="6" t="n">
        <v>755.04</v>
      </c>
      <c r="Y198" s="6" t="n">
        <f aca="false">P198*Q198*(1-U198)</f>
        <v>3272.481</v>
      </c>
      <c r="Z198" s="6" t="n">
        <f aca="false">Y198-W198</f>
        <v>755.041</v>
      </c>
      <c r="AA198" s="8" t="n">
        <f aca="false">IF(Y198=0,0,Z198/Y198)</f>
        <v>0.230724334228373</v>
      </c>
      <c r="AB198" s="3" t="str">
        <f aca="false">IF(ABS(V198-Y198)&gt;1,"Mismatch","OK")</f>
        <v>OK</v>
      </c>
      <c r="AC198" s="3" t="str">
        <f aca="false">IF(ABS(X198-Z198)&gt;1,"Mismatch","OK")</f>
        <v>OK</v>
      </c>
      <c r="AD198" s="5" t="n">
        <f aca="false">IF(OR(B198="",C198=""),"",C198-B198)</f>
        <v>3</v>
      </c>
      <c r="AE198" s="3" t="str">
        <f aca="false">IF(AD198="","Unknown",IF(AD198&lt;0,"Invalid - Ship Before Order","OK"))</f>
        <v>OK</v>
      </c>
      <c r="AF198" s="5" t="n">
        <f aca="false">IF(B198="","",MONTH(B198))</f>
        <v>1</v>
      </c>
      <c r="AG198" s="5" t="n">
        <f aca="false">IF(B198="","",YEAR(B198))</f>
        <v>2024</v>
      </c>
      <c r="AH198" s="3" t="s">
        <v>52</v>
      </c>
      <c r="AI198" s="3" t="s">
        <v>53</v>
      </c>
      <c r="AJ198" s="3" t="str">
        <f aca="false">IF(AND(AI198="Completed",AH198="Failed"),"Inconsistent - Completed Order with Failed Payment","OK")</f>
        <v>OK</v>
      </c>
      <c r="AK198" s="3" t="s">
        <v>54</v>
      </c>
      <c r="AL198" s="3" t="str">
        <f aca="false">IF(OR(T198="Negative - Invalid",T198="Above Allowed Range - Invalid",AE198="Invalid - Ship Before Order",AK198&lt;&gt;"Unique",AB198="Mismatch",AC198="Mismatch",AJ198&lt;&gt;"OK"),"Invalid",IF(OR(H198="Yes",O198="Yes",T198="Missing"),"Warning","Clean"))</f>
        <v>Clean</v>
      </c>
    </row>
    <row r="199" customFormat="false" ht="15" hidden="false" customHeight="true" outlineLevel="0" collapsed="false">
      <c r="A199" s="3" t="s">
        <v>737</v>
      </c>
      <c r="B199" s="4" t="n">
        <v>45747</v>
      </c>
      <c r="C199" s="4" t="n">
        <v>45754</v>
      </c>
      <c r="D199" s="3" t="s">
        <v>425</v>
      </c>
      <c r="E199" s="3" t="s">
        <v>145</v>
      </c>
      <c r="F199" s="3" t="s">
        <v>58</v>
      </c>
      <c r="G199" s="3" t="s">
        <v>59</v>
      </c>
      <c r="H199" s="3" t="s">
        <v>43</v>
      </c>
      <c r="I199" s="3" t="s">
        <v>174</v>
      </c>
      <c r="J199" s="3" t="s">
        <v>175</v>
      </c>
      <c r="K199" s="3" t="s">
        <v>46</v>
      </c>
      <c r="L199" s="3" t="s">
        <v>151</v>
      </c>
      <c r="M199" s="3" t="s">
        <v>738</v>
      </c>
      <c r="N199" s="3" t="s">
        <v>49</v>
      </c>
      <c r="O199" s="3" t="s">
        <v>43</v>
      </c>
      <c r="P199" s="5" t="n">
        <v>5</v>
      </c>
      <c r="Q199" s="6" t="n">
        <v>4096.44</v>
      </c>
      <c r="R199" s="3" t="s">
        <v>107</v>
      </c>
      <c r="S199" s="7" t="n">
        <v>0.15</v>
      </c>
      <c r="T199" s="3" t="s">
        <v>51</v>
      </c>
      <c r="U199" s="7" t="n">
        <f aca="false">IF(T199="Valid",S199,0)</f>
        <v>0.15</v>
      </c>
      <c r="V199" s="6" t="n">
        <v>17409.87</v>
      </c>
      <c r="W199" s="6" t="n">
        <v>14076.25</v>
      </c>
      <c r="X199" s="6" t="n">
        <v>3333.62</v>
      </c>
      <c r="Y199" s="6" t="n">
        <f aca="false">P199*Q199*(1-U199)</f>
        <v>17409.87</v>
      </c>
      <c r="Z199" s="6" t="n">
        <f aca="false">Y199-W199</f>
        <v>3333.62</v>
      </c>
      <c r="AA199" s="8" t="n">
        <f aca="false">IF(Y199=0,0,Z199/Y199)</f>
        <v>0.191478741656313</v>
      </c>
      <c r="AB199" s="3" t="str">
        <f aca="false">IF(ABS(V199-Y199)&gt;1,"Mismatch","OK")</f>
        <v>OK</v>
      </c>
      <c r="AC199" s="3" t="str">
        <f aca="false">IF(ABS(X199-Z199)&gt;1,"Mismatch","OK")</f>
        <v>OK</v>
      </c>
      <c r="AD199" s="5" t="n">
        <f aca="false">IF(OR(B199="",C199=""),"",C199-B199)</f>
        <v>7</v>
      </c>
      <c r="AE199" s="3" t="str">
        <f aca="false">IF(AD199="","Unknown",IF(AD199&lt;0,"Invalid - Ship Before Order","OK"))</f>
        <v>OK</v>
      </c>
      <c r="AF199" s="5" t="n">
        <f aca="false">IF(B199="","",MONTH(B199))</f>
        <v>3</v>
      </c>
      <c r="AG199" s="5" t="n">
        <f aca="false">IF(B199="","",YEAR(B199))</f>
        <v>2025</v>
      </c>
      <c r="AH199" s="3" t="s">
        <v>52</v>
      </c>
      <c r="AI199" s="3" t="s">
        <v>53</v>
      </c>
      <c r="AJ199" s="3" t="str">
        <f aca="false">IF(AND(AI199="Completed",AH199="Failed"),"Inconsistent - Completed Order with Failed Payment","OK")</f>
        <v>OK</v>
      </c>
      <c r="AK199" s="3" t="s">
        <v>54</v>
      </c>
      <c r="AL199" s="3" t="str">
        <f aca="false">IF(OR(T199="Negative - Invalid",T199="Above Allowed Range - Invalid",AE199="Invalid - Ship Before Order",AK199&lt;&gt;"Unique",AB199="Mismatch",AC199="Mismatch",AJ199&lt;&gt;"OK"),"Invalid",IF(OR(H199="Yes",O199="Yes",T199="Missing"),"Warning","Clean"))</f>
        <v>Clean</v>
      </c>
    </row>
    <row r="200" customFormat="false" ht="15" hidden="false" customHeight="true" outlineLevel="0" collapsed="false">
      <c r="A200" s="3" t="s">
        <v>739</v>
      </c>
      <c r="B200" s="4" t="n">
        <v>45448</v>
      </c>
      <c r="C200" s="4" t="n">
        <v>45449</v>
      </c>
      <c r="D200" s="3" t="s">
        <v>740</v>
      </c>
      <c r="E200" s="3" t="s">
        <v>159</v>
      </c>
      <c r="F200" s="3" t="s">
        <v>41</v>
      </c>
      <c r="G200" s="3" t="s">
        <v>88</v>
      </c>
      <c r="H200" s="3" t="s">
        <v>43</v>
      </c>
      <c r="I200" s="3" t="s">
        <v>211</v>
      </c>
      <c r="J200" s="3" t="s">
        <v>212</v>
      </c>
      <c r="K200" s="3" t="s">
        <v>46</v>
      </c>
      <c r="L200" s="3" t="s">
        <v>70</v>
      </c>
      <c r="M200" s="3" t="s">
        <v>741</v>
      </c>
      <c r="N200" s="3" t="s">
        <v>49</v>
      </c>
      <c r="O200" s="3" t="s">
        <v>43</v>
      </c>
      <c r="P200" s="5" t="n">
        <v>1</v>
      </c>
      <c r="Q200" s="6" t="n">
        <v>1184.58</v>
      </c>
      <c r="R200" s="3" t="s">
        <v>128</v>
      </c>
      <c r="S200" s="7" t="n">
        <v>0.05</v>
      </c>
      <c r="T200" s="3" t="s">
        <v>51</v>
      </c>
      <c r="U200" s="7" t="n">
        <f aca="false">IF(T200="Valid",S200,0)</f>
        <v>0.05</v>
      </c>
      <c r="V200" s="6" t="n">
        <v>1125.35</v>
      </c>
      <c r="W200" s="6" t="n">
        <v>676.97</v>
      </c>
      <c r="X200" s="6" t="n">
        <v>448.38</v>
      </c>
      <c r="Y200" s="6" t="n">
        <f aca="false">P200*Q200*(1-U200)</f>
        <v>1125.351</v>
      </c>
      <c r="Z200" s="6" t="n">
        <f aca="false">Y200-W200</f>
        <v>448.381</v>
      </c>
      <c r="AA200" s="8" t="n">
        <f aca="false">IF(Y200=0,0,Z200/Y200)</f>
        <v>0.398436576676966</v>
      </c>
      <c r="AB200" s="3" t="str">
        <f aca="false">IF(ABS(V200-Y200)&gt;1,"Mismatch","OK")</f>
        <v>OK</v>
      </c>
      <c r="AC200" s="3" t="str">
        <f aca="false">IF(ABS(X200-Z200)&gt;1,"Mismatch","OK")</f>
        <v>OK</v>
      </c>
      <c r="AD200" s="5" t="n">
        <f aca="false">IF(OR(B200="",C200=""),"",C200-B200)</f>
        <v>1</v>
      </c>
      <c r="AE200" s="3" t="str">
        <f aca="false">IF(AD200="","Unknown",IF(AD200&lt;0,"Invalid - Ship Before Order","OK"))</f>
        <v>OK</v>
      </c>
      <c r="AF200" s="5" t="n">
        <f aca="false">IF(B200="","",MONTH(B200))</f>
        <v>6</v>
      </c>
      <c r="AG200" s="5" t="n">
        <f aca="false">IF(B200="","",YEAR(B200))</f>
        <v>2024</v>
      </c>
      <c r="AH200" s="3" t="s">
        <v>185</v>
      </c>
      <c r="AI200" s="3" t="s">
        <v>93</v>
      </c>
      <c r="AJ200" s="3" t="str">
        <f aca="false">IF(AND(AI200="Completed",AH200="Failed"),"Inconsistent - Completed Order with Failed Payment","OK")</f>
        <v>OK</v>
      </c>
      <c r="AK200" s="3" t="s">
        <v>54</v>
      </c>
      <c r="AL200" s="3" t="str">
        <f aca="false">IF(OR(T200="Negative - Invalid",T200="Above Allowed Range - Invalid",AE200="Invalid - Ship Before Order",AK200&lt;&gt;"Unique",AB200="Mismatch",AC200="Mismatch",AJ200&lt;&gt;"OK"),"Invalid",IF(OR(H200="Yes",O200="Yes",T200="Missing"),"Warning","Clean"))</f>
        <v>Clean</v>
      </c>
    </row>
    <row r="201" customFormat="false" ht="15" hidden="false" customHeight="true" outlineLevel="0" collapsed="false">
      <c r="A201" s="3" t="s">
        <v>742</v>
      </c>
      <c r="B201" s="4" t="n">
        <v>45363</v>
      </c>
      <c r="C201" s="4" t="n">
        <v>45363</v>
      </c>
      <c r="D201" s="3" t="s">
        <v>743</v>
      </c>
      <c r="E201" s="3" t="s">
        <v>145</v>
      </c>
      <c r="F201" s="3" t="s">
        <v>121</v>
      </c>
      <c r="G201" s="3" t="s">
        <v>59</v>
      </c>
      <c r="H201" s="3" t="s">
        <v>43</v>
      </c>
      <c r="I201" s="3" t="s">
        <v>174</v>
      </c>
      <c r="J201" s="3" t="s">
        <v>175</v>
      </c>
      <c r="K201" s="3" t="s">
        <v>99</v>
      </c>
      <c r="L201" s="3" t="s">
        <v>308</v>
      </c>
      <c r="M201" s="3" t="s">
        <v>744</v>
      </c>
      <c r="N201" s="3" t="s">
        <v>237</v>
      </c>
      <c r="O201" s="3" t="s">
        <v>238</v>
      </c>
      <c r="P201" s="5" t="n">
        <v>6</v>
      </c>
      <c r="Q201" s="6" t="n">
        <v>2185.58</v>
      </c>
      <c r="R201" s="3" t="s">
        <v>84</v>
      </c>
      <c r="S201" s="7" t="n">
        <v>0.25</v>
      </c>
      <c r="T201" s="3" t="s">
        <v>51</v>
      </c>
      <c r="U201" s="7" t="n">
        <f aca="false">IF(T201="Valid",S201,0)</f>
        <v>0.25</v>
      </c>
      <c r="V201" s="6" t="n">
        <v>9835.11</v>
      </c>
      <c r="W201" s="6" t="n">
        <v>5437.64</v>
      </c>
      <c r="X201" s="6" t="n">
        <v>4397.47</v>
      </c>
      <c r="Y201" s="6" t="n">
        <f aca="false">P201*Q201*(1-U201)</f>
        <v>9835.11</v>
      </c>
      <c r="Z201" s="6" t="n">
        <f aca="false">Y201-W201</f>
        <v>4397.47</v>
      </c>
      <c r="AA201" s="8" t="n">
        <f aca="false">IF(Y201=0,0,Z201/Y201)</f>
        <v>0.44711955433137</v>
      </c>
      <c r="AB201" s="3" t="str">
        <f aca="false">IF(ABS(V201-Y201)&gt;1,"Mismatch","OK")</f>
        <v>OK</v>
      </c>
      <c r="AC201" s="3" t="str">
        <f aca="false">IF(ABS(X201-Z201)&gt;1,"Mismatch","OK")</f>
        <v>OK</v>
      </c>
      <c r="AD201" s="5" t="n">
        <f aca="false">IF(OR(B201="",C201=""),"",C201-B201)</f>
        <v>0</v>
      </c>
      <c r="AE201" s="3" t="str">
        <f aca="false">IF(AD201="","Unknown",IF(AD201&lt;0,"Invalid - Ship Before Order","OK"))</f>
        <v>OK</v>
      </c>
      <c r="AF201" s="5" t="n">
        <f aca="false">IF(B201="","",MONTH(B201))</f>
        <v>3</v>
      </c>
      <c r="AG201" s="5" t="n">
        <f aca="false">IF(B201="","",YEAR(B201))</f>
        <v>2024</v>
      </c>
      <c r="AH201" s="3" t="s">
        <v>52</v>
      </c>
      <c r="AI201" s="3" t="s">
        <v>53</v>
      </c>
      <c r="AJ201" s="3" t="str">
        <f aca="false">IF(AND(AI201="Completed",AH201="Failed"),"Inconsistent - Completed Order with Failed Payment","OK")</f>
        <v>OK</v>
      </c>
      <c r="AK201" s="3" t="s">
        <v>54</v>
      </c>
      <c r="AL201" s="3" t="str">
        <f aca="false">IF(OR(T201="Negative - Invalid",T201="Above Allowed Range - Invalid",AE201="Invalid - Ship Before Order",AK201&lt;&gt;"Unique",AB201="Mismatch",AC201="Mismatch",AJ201&lt;&gt;"OK"),"Invalid",IF(OR(H201="Yes",O201="Yes",T201="Missing"),"Warning","Clean"))</f>
        <v>Warning</v>
      </c>
    </row>
    <row r="202" customFormat="false" ht="15" hidden="false" customHeight="true" outlineLevel="0" collapsed="false">
      <c r="A202" s="3" t="s">
        <v>745</v>
      </c>
      <c r="B202" s="4" t="n">
        <v>45835</v>
      </c>
      <c r="C202" s="4" t="n">
        <v>45843</v>
      </c>
      <c r="D202" s="3" t="s">
        <v>746</v>
      </c>
      <c r="E202" s="3" t="s">
        <v>141</v>
      </c>
      <c r="F202" s="3" t="s">
        <v>58</v>
      </c>
      <c r="G202" s="3" t="s">
        <v>42</v>
      </c>
      <c r="H202" s="3" t="s">
        <v>43</v>
      </c>
      <c r="I202" s="3" t="s">
        <v>44</v>
      </c>
      <c r="J202" s="3" t="s">
        <v>45</v>
      </c>
      <c r="K202" s="3" t="s">
        <v>99</v>
      </c>
      <c r="L202" s="3" t="s">
        <v>105</v>
      </c>
      <c r="M202" s="3" t="s">
        <v>747</v>
      </c>
      <c r="N202" s="3" t="s">
        <v>72</v>
      </c>
      <c r="O202" s="3" t="s">
        <v>43</v>
      </c>
      <c r="P202" s="5" t="n">
        <v>5</v>
      </c>
      <c r="Q202" s="6" t="n">
        <v>2868.44</v>
      </c>
      <c r="R202" s="3" t="s">
        <v>203</v>
      </c>
      <c r="S202" s="7" t="n">
        <v>0.1</v>
      </c>
      <c r="T202" s="3" t="s">
        <v>51</v>
      </c>
      <c r="U202" s="7" t="n">
        <f aca="false">IF(T202="Valid",S202,0)</f>
        <v>0.1</v>
      </c>
      <c r="V202" s="6" t="n">
        <v>12907.98</v>
      </c>
      <c r="W202" s="6" t="n">
        <v>9197.08</v>
      </c>
      <c r="X202" s="6" t="n">
        <v>3710.9</v>
      </c>
      <c r="Y202" s="6" t="n">
        <f aca="false">P202*Q202*(1-U202)</f>
        <v>12907.98</v>
      </c>
      <c r="Z202" s="6" t="n">
        <f aca="false">Y202-W202</f>
        <v>3710.9</v>
      </c>
      <c r="AA202" s="8" t="n">
        <f aca="false">IF(Y202=0,0,Z202/Y202)</f>
        <v>0.287488824742524</v>
      </c>
      <c r="AB202" s="3" t="str">
        <f aca="false">IF(ABS(V202-Y202)&gt;1,"Mismatch","OK")</f>
        <v>OK</v>
      </c>
      <c r="AC202" s="3" t="str">
        <f aca="false">IF(ABS(X202-Z202)&gt;1,"Mismatch","OK")</f>
        <v>OK</v>
      </c>
      <c r="AD202" s="5" t="n">
        <f aca="false">IF(OR(B202="",C202=""),"",C202-B202)</f>
        <v>8</v>
      </c>
      <c r="AE202" s="3" t="str">
        <f aca="false">IF(AD202="","Unknown",IF(AD202&lt;0,"Invalid - Ship Before Order","OK"))</f>
        <v>OK</v>
      </c>
      <c r="AF202" s="5" t="n">
        <f aca="false">IF(B202="","",MONTH(B202))</f>
        <v>6</v>
      </c>
      <c r="AG202" s="5" t="n">
        <f aca="false">IF(B202="","",YEAR(B202))</f>
        <v>2025</v>
      </c>
      <c r="AH202" s="3" t="s">
        <v>138</v>
      </c>
      <c r="AI202" s="3" t="s">
        <v>93</v>
      </c>
      <c r="AJ202" s="3" t="str">
        <f aca="false">IF(AND(AI202="Completed",AH202="Failed"),"Inconsistent - Completed Order with Failed Payment","OK")</f>
        <v>OK</v>
      </c>
      <c r="AK202" s="3" t="s">
        <v>54</v>
      </c>
      <c r="AL202" s="3" t="str">
        <f aca="false">IF(OR(T202="Negative - Invalid",T202="Above Allowed Range - Invalid",AE202="Invalid - Ship Before Order",AK202&lt;&gt;"Unique",AB202="Mismatch",AC202="Mismatch",AJ202&lt;&gt;"OK"),"Invalid",IF(OR(H202="Yes",O202="Yes",T202="Missing"),"Warning","Clean"))</f>
        <v>Clean</v>
      </c>
    </row>
    <row r="203" customFormat="false" ht="15" hidden="false" customHeight="true" outlineLevel="0" collapsed="false">
      <c r="A203" s="3" t="s">
        <v>748</v>
      </c>
      <c r="B203" s="4" t="n">
        <v>45864</v>
      </c>
      <c r="C203" s="4" t="n">
        <v>45872</v>
      </c>
      <c r="D203" s="3" t="s">
        <v>749</v>
      </c>
      <c r="E203" s="3" t="s">
        <v>96</v>
      </c>
      <c r="F203" s="3" t="s">
        <v>41</v>
      </c>
      <c r="G203" s="3" t="s">
        <v>88</v>
      </c>
      <c r="H203" s="3" t="s">
        <v>43</v>
      </c>
      <c r="I203" s="3" t="s">
        <v>97</v>
      </c>
      <c r="J203" s="3" t="s">
        <v>98</v>
      </c>
      <c r="K203" s="3" t="s">
        <v>46</v>
      </c>
      <c r="L203" s="3" t="s">
        <v>117</v>
      </c>
      <c r="M203" s="3" t="s">
        <v>750</v>
      </c>
      <c r="N203" s="3" t="s">
        <v>49</v>
      </c>
      <c r="O203" s="3" t="s">
        <v>43</v>
      </c>
      <c r="P203" s="5" t="n">
        <v>2</v>
      </c>
      <c r="Q203" s="6" t="n">
        <v>2503.53</v>
      </c>
      <c r="R203" s="3" t="s">
        <v>751</v>
      </c>
      <c r="S203" s="7" t="n">
        <v>-0.16</v>
      </c>
      <c r="T203" s="3" t="s">
        <v>171</v>
      </c>
      <c r="U203" s="7" t="n">
        <f aca="false">IF(T203="Valid",S203,0)</f>
        <v>0</v>
      </c>
      <c r="V203" s="6" t="n">
        <v>4756.71</v>
      </c>
      <c r="W203" s="6" t="n">
        <v>2954.86</v>
      </c>
      <c r="X203" s="6" t="n">
        <v>1801.85</v>
      </c>
      <c r="Y203" s="6" t="n">
        <f aca="false">P203*Q203*(1-U203)</f>
        <v>5007.06</v>
      </c>
      <c r="Z203" s="6" t="n">
        <f aca="false">Y203-W203</f>
        <v>2052.2</v>
      </c>
      <c r="AA203" s="8" t="n">
        <f aca="false">IF(Y203=0,0,Z203/Y203)</f>
        <v>0.40986127587846</v>
      </c>
      <c r="AB203" s="3" t="str">
        <f aca="false">IF(ABS(V203-Y203)&gt;1,"Mismatch","OK")</f>
        <v>Mismatch</v>
      </c>
      <c r="AC203" s="3" t="str">
        <f aca="false">IF(ABS(X203-Z203)&gt;1,"Mismatch","OK")</f>
        <v>Mismatch</v>
      </c>
      <c r="AD203" s="5" t="n">
        <f aca="false">IF(OR(B203="",C203=""),"",C203-B203)</f>
        <v>8</v>
      </c>
      <c r="AE203" s="3" t="str">
        <f aca="false">IF(AD203="","Unknown",IF(AD203&lt;0,"Invalid - Ship Before Order","OK"))</f>
        <v>OK</v>
      </c>
      <c r="AF203" s="5" t="n">
        <f aca="false">IF(B203="","",MONTH(B203))</f>
        <v>7</v>
      </c>
      <c r="AG203" s="5" t="n">
        <f aca="false">IF(B203="","",YEAR(B203))</f>
        <v>2025</v>
      </c>
      <c r="AH203" s="3" t="s">
        <v>129</v>
      </c>
      <c r="AI203" s="3" t="s">
        <v>93</v>
      </c>
      <c r="AJ203" s="3" t="str">
        <f aca="false">IF(AND(AI203="Completed",AH203="Failed"),"Inconsistent - Completed Order with Failed Payment","OK")</f>
        <v>OK</v>
      </c>
      <c r="AK203" s="3" t="s">
        <v>54</v>
      </c>
      <c r="AL203" s="3" t="str">
        <f aca="false">IF(OR(T203="Negative - Invalid",T203="Above Allowed Range - Invalid",AE203="Invalid - Ship Before Order",AK203&lt;&gt;"Unique",AB203="Mismatch",AC203="Mismatch",AJ203&lt;&gt;"OK"),"Invalid",IF(OR(H203="Yes",O203="Yes",T203="Missing"),"Warning","Clean"))</f>
        <v>Invalid</v>
      </c>
    </row>
    <row r="204" customFormat="false" ht="15" hidden="false" customHeight="true" outlineLevel="0" collapsed="false">
      <c r="A204" s="3" t="s">
        <v>752</v>
      </c>
      <c r="B204" s="4" t="n">
        <v>45744</v>
      </c>
      <c r="C204" s="4" t="n">
        <v>45744</v>
      </c>
      <c r="D204" s="3" t="s">
        <v>753</v>
      </c>
      <c r="E204" s="3" t="s">
        <v>159</v>
      </c>
      <c r="F204" s="3" t="s">
        <v>116</v>
      </c>
      <c r="G204" s="3" t="s">
        <v>88</v>
      </c>
      <c r="H204" s="3" t="s">
        <v>43</v>
      </c>
      <c r="I204" s="3" t="s">
        <v>221</v>
      </c>
      <c r="J204" s="3" t="s">
        <v>222</v>
      </c>
      <c r="K204" s="3" t="s">
        <v>99</v>
      </c>
      <c r="L204" s="3" t="s">
        <v>100</v>
      </c>
      <c r="M204" s="3" t="s">
        <v>754</v>
      </c>
      <c r="N204" s="3" t="s">
        <v>83</v>
      </c>
      <c r="O204" s="3" t="s">
        <v>43</v>
      </c>
      <c r="P204" s="5" t="n">
        <v>8</v>
      </c>
      <c r="Q204" s="6" t="n">
        <v>1740.94</v>
      </c>
      <c r="R204" s="3" t="s">
        <v>128</v>
      </c>
      <c r="S204" s="7" t="n">
        <v>0.05</v>
      </c>
      <c r="T204" s="3" t="s">
        <v>51</v>
      </c>
      <c r="U204" s="7" t="n">
        <f aca="false">IF(T204="Valid",S204,0)</f>
        <v>0.05</v>
      </c>
      <c r="V204" s="6" t="n">
        <v>13231.14</v>
      </c>
      <c r="W204" s="6" t="n">
        <v>11290.06</v>
      </c>
      <c r="X204" s="6" t="n">
        <v>1941.08</v>
      </c>
      <c r="Y204" s="6" t="n">
        <f aca="false">P204*Q204*(1-U204)</f>
        <v>13231.144</v>
      </c>
      <c r="Z204" s="6" t="n">
        <f aca="false">Y204-W204</f>
        <v>1941.084</v>
      </c>
      <c r="AA204" s="8" t="n">
        <f aca="false">IF(Y204=0,0,Z204/Y204)</f>
        <v>0.146705681685575</v>
      </c>
      <c r="AB204" s="3" t="str">
        <f aca="false">IF(ABS(V204-Y204)&gt;1,"Mismatch","OK")</f>
        <v>OK</v>
      </c>
      <c r="AC204" s="3" t="str">
        <f aca="false">IF(ABS(X204-Z204)&gt;1,"Mismatch","OK")</f>
        <v>OK</v>
      </c>
      <c r="AD204" s="5" t="n">
        <f aca="false">IF(OR(B204="",C204=""),"",C204-B204)</f>
        <v>0</v>
      </c>
      <c r="AE204" s="3" t="str">
        <f aca="false">IF(AD204="","Unknown",IF(AD204&lt;0,"Invalid - Ship Before Order","OK"))</f>
        <v>OK</v>
      </c>
      <c r="AF204" s="5" t="n">
        <f aca="false">IF(B204="","",MONTH(B204))</f>
        <v>3</v>
      </c>
      <c r="AG204" s="5" t="n">
        <f aca="false">IF(B204="","",YEAR(B204))</f>
        <v>2025</v>
      </c>
      <c r="AH204" s="3" t="s">
        <v>52</v>
      </c>
      <c r="AI204" s="3" t="s">
        <v>53</v>
      </c>
      <c r="AJ204" s="3" t="str">
        <f aca="false">IF(AND(AI204="Completed",AH204="Failed"),"Inconsistent - Completed Order with Failed Payment","OK")</f>
        <v>OK</v>
      </c>
      <c r="AK204" s="3" t="s">
        <v>54</v>
      </c>
      <c r="AL204" s="3" t="str">
        <f aca="false">IF(OR(T204="Negative - Invalid",T204="Above Allowed Range - Invalid",AE204="Invalid - Ship Before Order",AK204&lt;&gt;"Unique",AB204="Mismatch",AC204="Mismatch",AJ204&lt;&gt;"OK"),"Invalid",IF(OR(H204="Yes",O204="Yes",T204="Missing"),"Warning","Clean"))</f>
        <v>Clean</v>
      </c>
    </row>
    <row r="205" customFormat="false" ht="15" hidden="false" customHeight="true" outlineLevel="0" collapsed="false">
      <c r="A205" s="3" t="s">
        <v>755</v>
      </c>
      <c r="B205" s="4" t="n">
        <v>45379</v>
      </c>
      <c r="C205" s="4" t="n">
        <v>45381</v>
      </c>
      <c r="D205" s="3" t="s">
        <v>756</v>
      </c>
      <c r="E205" s="3" t="s">
        <v>159</v>
      </c>
      <c r="F205" s="3" t="s">
        <v>116</v>
      </c>
      <c r="G205" s="3" t="s">
        <v>88</v>
      </c>
      <c r="H205" s="3" t="s">
        <v>43</v>
      </c>
      <c r="I205" s="3" t="s">
        <v>44</v>
      </c>
      <c r="J205" s="3" t="s">
        <v>136</v>
      </c>
      <c r="K205" s="3" t="s">
        <v>99</v>
      </c>
      <c r="L205" s="3" t="s">
        <v>100</v>
      </c>
      <c r="M205" s="3" t="s">
        <v>757</v>
      </c>
      <c r="N205" s="3" t="s">
        <v>49</v>
      </c>
      <c r="O205" s="3" t="s">
        <v>43</v>
      </c>
      <c r="P205" s="5" t="n">
        <v>1</v>
      </c>
      <c r="Q205" s="6" t="n">
        <v>570.34</v>
      </c>
      <c r="R205" s="3" t="s">
        <v>107</v>
      </c>
      <c r="S205" s="7" t="n">
        <v>0.15</v>
      </c>
      <c r="T205" s="3" t="s">
        <v>51</v>
      </c>
      <c r="U205" s="7" t="n">
        <f aca="false">IF(T205="Valid",S205,0)</f>
        <v>0.15</v>
      </c>
      <c r="V205" s="6" t="n">
        <v>484.79</v>
      </c>
      <c r="W205" s="6" t="n">
        <v>333.54</v>
      </c>
      <c r="X205" s="6" t="n">
        <v>151.25</v>
      </c>
      <c r="Y205" s="6" t="n">
        <f aca="false">P205*Q205*(1-U205)</f>
        <v>484.789</v>
      </c>
      <c r="Z205" s="6" t="n">
        <f aca="false">Y205-W205</f>
        <v>151.249</v>
      </c>
      <c r="AA205" s="8" t="n">
        <f aca="false">IF(Y205=0,0,Z205/Y205)</f>
        <v>0.311989339692113</v>
      </c>
      <c r="AB205" s="3" t="str">
        <f aca="false">IF(ABS(V205-Y205)&gt;1,"Mismatch","OK")</f>
        <v>OK</v>
      </c>
      <c r="AC205" s="3" t="str">
        <f aca="false">IF(ABS(X205-Z205)&gt;1,"Mismatch","OK")</f>
        <v>OK</v>
      </c>
      <c r="AD205" s="5" t="n">
        <f aca="false">IF(OR(B205="",C205=""),"",C205-B205)</f>
        <v>2</v>
      </c>
      <c r="AE205" s="3" t="str">
        <f aca="false">IF(AD205="","Unknown",IF(AD205&lt;0,"Invalid - Ship Before Order","OK"))</f>
        <v>OK</v>
      </c>
      <c r="AF205" s="5" t="n">
        <f aca="false">IF(B205="","",MONTH(B205))</f>
        <v>3</v>
      </c>
      <c r="AG205" s="5" t="n">
        <f aca="false">IF(B205="","",YEAR(B205))</f>
        <v>2024</v>
      </c>
      <c r="AH205" s="3" t="s">
        <v>52</v>
      </c>
      <c r="AI205" s="3" t="s">
        <v>53</v>
      </c>
      <c r="AJ205" s="3" t="str">
        <f aca="false">IF(AND(AI205="Completed",AH205="Failed"),"Inconsistent - Completed Order with Failed Payment","OK")</f>
        <v>OK</v>
      </c>
      <c r="AK205" s="3" t="s">
        <v>54</v>
      </c>
      <c r="AL205" s="3" t="str">
        <f aca="false">IF(OR(T205="Negative - Invalid",T205="Above Allowed Range - Invalid",AE205="Invalid - Ship Before Order",AK205&lt;&gt;"Unique",AB205="Mismatch",AC205="Mismatch",AJ205&lt;&gt;"OK"),"Invalid",IF(OR(H205="Yes",O205="Yes",T205="Missing"),"Warning","Clean"))</f>
        <v>Clean</v>
      </c>
    </row>
    <row r="206" customFormat="false" ht="15" hidden="false" customHeight="true" outlineLevel="0" collapsed="false">
      <c r="A206" s="3" t="s">
        <v>758</v>
      </c>
      <c r="B206" s="4" t="n">
        <v>45858</v>
      </c>
      <c r="C206" s="4" t="n">
        <v>45861</v>
      </c>
      <c r="D206" s="3" t="s">
        <v>759</v>
      </c>
      <c r="E206" s="3" t="s">
        <v>57</v>
      </c>
      <c r="F206" s="3" t="s">
        <v>121</v>
      </c>
      <c r="G206" s="3" t="s">
        <v>59</v>
      </c>
      <c r="H206" s="3" t="s">
        <v>43</v>
      </c>
      <c r="I206" s="3" t="s">
        <v>125</v>
      </c>
      <c r="J206" s="3" t="s">
        <v>126</v>
      </c>
      <c r="K206" s="3" t="s">
        <v>62</v>
      </c>
      <c r="L206" s="3" t="s">
        <v>63</v>
      </c>
      <c r="M206" s="3" t="s">
        <v>760</v>
      </c>
      <c r="N206" s="3" t="s">
        <v>49</v>
      </c>
      <c r="O206" s="3" t="s">
        <v>43</v>
      </c>
      <c r="P206" s="5" t="n">
        <v>4</v>
      </c>
      <c r="Q206" s="6" t="n">
        <v>477.69</v>
      </c>
      <c r="R206" s="3" t="s">
        <v>107</v>
      </c>
      <c r="S206" s="7" t="n">
        <v>0.15</v>
      </c>
      <c r="T206" s="3" t="s">
        <v>51</v>
      </c>
      <c r="U206" s="7" t="n">
        <f aca="false">IF(T206="Valid",S206,0)</f>
        <v>0.15</v>
      </c>
      <c r="V206" s="6" t="n">
        <v>1624.15</v>
      </c>
      <c r="W206" s="6" t="n">
        <v>1217.99</v>
      </c>
      <c r="X206" s="6" t="n">
        <v>406.16</v>
      </c>
      <c r="Y206" s="6" t="n">
        <f aca="false">P206*Q206*(1-U206)</f>
        <v>1624.146</v>
      </c>
      <c r="Z206" s="6" t="n">
        <f aca="false">Y206-W206</f>
        <v>406.156</v>
      </c>
      <c r="AA206" s="8" t="n">
        <f aca="false">IF(Y206=0,0,Z206/Y206)</f>
        <v>0.25007357712915</v>
      </c>
      <c r="AB206" s="3" t="str">
        <f aca="false">IF(ABS(V206-Y206)&gt;1,"Mismatch","OK")</f>
        <v>OK</v>
      </c>
      <c r="AC206" s="3" t="str">
        <f aca="false">IF(ABS(X206-Z206)&gt;1,"Mismatch","OK")</f>
        <v>OK</v>
      </c>
      <c r="AD206" s="5" t="n">
        <f aca="false">IF(OR(B206="",C206=""),"",C206-B206)</f>
        <v>3</v>
      </c>
      <c r="AE206" s="3" t="str">
        <f aca="false">IF(AD206="","Unknown",IF(AD206&lt;0,"Invalid - Ship Before Order","OK"))</f>
        <v>OK</v>
      </c>
      <c r="AF206" s="5" t="n">
        <f aca="false">IF(B206="","",MONTH(B206))</f>
        <v>7</v>
      </c>
      <c r="AG206" s="5" t="n">
        <f aca="false">IF(B206="","",YEAR(B206))</f>
        <v>2025</v>
      </c>
      <c r="AH206" s="3" t="s">
        <v>52</v>
      </c>
      <c r="AI206" s="3" t="s">
        <v>53</v>
      </c>
      <c r="AJ206" s="3" t="str">
        <f aca="false">IF(AND(AI206="Completed",AH206="Failed"),"Inconsistent - Completed Order with Failed Payment","OK")</f>
        <v>OK</v>
      </c>
      <c r="AK206" s="3" t="s">
        <v>54</v>
      </c>
      <c r="AL206" s="3" t="str">
        <f aca="false">IF(OR(T206="Negative - Invalid",T206="Above Allowed Range - Invalid",AE206="Invalid - Ship Before Order",AK206&lt;&gt;"Unique",AB206="Mismatch",AC206="Mismatch",AJ206&lt;&gt;"OK"),"Invalid",IF(OR(H206="Yes",O206="Yes",T206="Missing"),"Warning","Clean"))</f>
        <v>Clean</v>
      </c>
    </row>
    <row r="207" customFormat="false" ht="15" hidden="false" customHeight="true" outlineLevel="0" collapsed="false">
      <c r="A207" s="3" t="s">
        <v>761</v>
      </c>
      <c r="B207" s="4" t="n">
        <v>45768</v>
      </c>
      <c r="C207" s="4" t="n">
        <v>45773</v>
      </c>
      <c r="D207" s="3" t="s">
        <v>762</v>
      </c>
      <c r="E207" s="3" t="s">
        <v>87</v>
      </c>
      <c r="F207" s="3" t="s">
        <v>41</v>
      </c>
      <c r="G207" s="3" t="s">
        <v>88</v>
      </c>
      <c r="H207" s="3" t="s">
        <v>43</v>
      </c>
      <c r="I207" s="3" t="s">
        <v>89</v>
      </c>
      <c r="J207" s="3" t="s">
        <v>90</v>
      </c>
      <c r="K207" s="3" t="s">
        <v>46</v>
      </c>
      <c r="L207" s="3" t="s">
        <v>117</v>
      </c>
      <c r="M207" s="3" t="s">
        <v>763</v>
      </c>
      <c r="N207" s="3" t="s">
        <v>65</v>
      </c>
      <c r="O207" s="3" t="s">
        <v>43</v>
      </c>
      <c r="P207" s="5" t="n">
        <v>6</v>
      </c>
      <c r="Q207" s="6" t="n">
        <v>873.59</v>
      </c>
      <c r="R207" s="3" t="s">
        <v>50</v>
      </c>
      <c r="S207" s="7" t="n">
        <v>0.2</v>
      </c>
      <c r="T207" s="3" t="s">
        <v>51</v>
      </c>
      <c r="U207" s="7" t="n">
        <f aca="false">IF(T207="Valid",S207,0)</f>
        <v>0.2</v>
      </c>
      <c r="V207" s="6" t="n">
        <v>4193.23</v>
      </c>
      <c r="W207" s="6" t="n">
        <v>3329.99</v>
      </c>
      <c r="X207" s="6" t="n">
        <v>863.24</v>
      </c>
      <c r="Y207" s="6" t="n">
        <f aca="false">P207*Q207*(1-U207)</f>
        <v>4193.232</v>
      </c>
      <c r="Z207" s="6" t="n">
        <f aca="false">Y207-W207</f>
        <v>863.242</v>
      </c>
      <c r="AA207" s="8" t="n">
        <f aca="false">IF(Y207=0,0,Z207/Y207)</f>
        <v>0.205865547148357</v>
      </c>
      <c r="AB207" s="3" t="str">
        <f aca="false">IF(ABS(V207-Y207)&gt;1,"Mismatch","OK")</f>
        <v>OK</v>
      </c>
      <c r="AC207" s="3" t="str">
        <f aca="false">IF(ABS(X207-Z207)&gt;1,"Mismatch","OK")</f>
        <v>OK</v>
      </c>
      <c r="AD207" s="5" t="n">
        <f aca="false">IF(OR(B207="",C207=""),"",C207-B207)</f>
        <v>5</v>
      </c>
      <c r="AE207" s="3" t="str">
        <f aca="false">IF(AD207="","Unknown",IF(AD207&lt;0,"Invalid - Ship Before Order","OK"))</f>
        <v>OK</v>
      </c>
      <c r="AF207" s="5" t="n">
        <f aca="false">IF(B207="","",MONTH(B207))</f>
        <v>4</v>
      </c>
      <c r="AG207" s="5" t="n">
        <f aca="false">IF(B207="","",YEAR(B207))</f>
        <v>2025</v>
      </c>
      <c r="AH207" s="3" t="s">
        <v>52</v>
      </c>
      <c r="AI207" s="3" t="s">
        <v>53</v>
      </c>
      <c r="AJ207" s="3" t="str">
        <f aca="false">IF(AND(AI207="Completed",AH207="Failed"),"Inconsistent - Completed Order with Failed Payment","OK")</f>
        <v>OK</v>
      </c>
      <c r="AK207" s="3" t="s">
        <v>54</v>
      </c>
      <c r="AL207" s="3" t="str">
        <f aca="false">IF(OR(T207="Negative - Invalid",T207="Above Allowed Range - Invalid",AE207="Invalid - Ship Before Order",AK207&lt;&gt;"Unique",AB207="Mismatch",AC207="Mismatch",AJ207&lt;&gt;"OK"),"Invalid",IF(OR(H207="Yes",O207="Yes",T207="Missing"),"Warning","Clean"))</f>
        <v>Clean</v>
      </c>
    </row>
    <row r="208" customFormat="false" ht="15" hidden="false" customHeight="true" outlineLevel="0" collapsed="false">
      <c r="A208" s="3" t="s">
        <v>764</v>
      </c>
      <c r="B208" s="4" t="n">
        <v>45795</v>
      </c>
      <c r="C208" s="4" t="n">
        <v>45797</v>
      </c>
      <c r="D208" s="3" t="s">
        <v>765</v>
      </c>
      <c r="E208" s="3" t="s">
        <v>192</v>
      </c>
      <c r="F208" s="3" t="s">
        <v>58</v>
      </c>
      <c r="G208" s="3" t="s">
        <v>42</v>
      </c>
      <c r="H208" s="3" t="s">
        <v>43</v>
      </c>
      <c r="I208" s="3" t="s">
        <v>163</v>
      </c>
      <c r="J208" s="3" t="s">
        <v>164</v>
      </c>
      <c r="K208" s="3" t="s">
        <v>62</v>
      </c>
      <c r="L208" s="3" t="s">
        <v>81</v>
      </c>
      <c r="M208" s="3" t="s">
        <v>766</v>
      </c>
      <c r="N208" s="3" t="s">
        <v>72</v>
      </c>
      <c r="O208" s="3" t="s">
        <v>43</v>
      </c>
      <c r="P208" s="5" t="n">
        <v>2</v>
      </c>
      <c r="Q208" s="6" t="n">
        <v>215.13</v>
      </c>
      <c r="R208" s="3" t="s">
        <v>66</v>
      </c>
      <c r="S208" s="7" t="n">
        <v>0</v>
      </c>
      <c r="T208" s="3" t="s">
        <v>51</v>
      </c>
      <c r="U208" s="7" t="n">
        <f aca="false">IF(T208="Valid",S208,0)</f>
        <v>0</v>
      </c>
      <c r="V208" s="6" t="n">
        <v>430.26</v>
      </c>
      <c r="W208" s="6" t="n">
        <v>286.38</v>
      </c>
      <c r="X208" s="6" t="n">
        <v>143.88</v>
      </c>
      <c r="Y208" s="6" t="n">
        <f aca="false">P208*Q208*(1-U208)</f>
        <v>430.26</v>
      </c>
      <c r="Z208" s="6" t="n">
        <f aca="false">Y208-W208</f>
        <v>143.88</v>
      </c>
      <c r="AA208" s="8" t="n">
        <f aca="false">IF(Y208=0,0,Z208/Y208)</f>
        <v>0.33440245432994</v>
      </c>
      <c r="AB208" s="3" t="str">
        <f aca="false">IF(ABS(V208-Y208)&gt;1,"Mismatch","OK")</f>
        <v>OK</v>
      </c>
      <c r="AC208" s="3" t="str">
        <f aca="false">IF(ABS(X208-Z208)&gt;1,"Mismatch","OK")</f>
        <v>OK</v>
      </c>
      <c r="AD208" s="5" t="n">
        <f aca="false">IF(OR(B208="",C208=""),"",C208-B208)</f>
        <v>2</v>
      </c>
      <c r="AE208" s="3" t="str">
        <f aca="false">IF(AD208="","Unknown",IF(AD208&lt;0,"Invalid - Ship Before Order","OK"))</f>
        <v>OK</v>
      </c>
      <c r="AF208" s="5" t="n">
        <f aca="false">IF(B208="","",MONTH(B208))</f>
        <v>5</v>
      </c>
      <c r="AG208" s="5" t="n">
        <f aca="false">IF(B208="","",YEAR(B208))</f>
        <v>2025</v>
      </c>
      <c r="AH208" s="3" t="s">
        <v>52</v>
      </c>
      <c r="AI208" s="3" t="s">
        <v>53</v>
      </c>
      <c r="AJ208" s="3" t="str">
        <f aca="false">IF(AND(AI208="Completed",AH208="Failed"),"Inconsistent - Completed Order with Failed Payment","OK")</f>
        <v>OK</v>
      </c>
      <c r="AK208" s="3" t="s">
        <v>54</v>
      </c>
      <c r="AL208" s="3" t="str">
        <f aca="false">IF(OR(T208="Negative - Invalid",T208="Above Allowed Range - Invalid",AE208="Invalid - Ship Before Order",AK208&lt;&gt;"Unique",AB208="Mismatch",AC208="Mismatch",AJ208&lt;&gt;"OK"),"Invalid",IF(OR(H208="Yes",O208="Yes",T208="Missing"),"Warning","Clean"))</f>
        <v>Clean</v>
      </c>
    </row>
    <row r="209" customFormat="false" ht="15" hidden="false" customHeight="true" outlineLevel="0" collapsed="false">
      <c r="A209" s="3" t="s">
        <v>767</v>
      </c>
      <c r="B209" s="4" t="n">
        <v>45483</v>
      </c>
      <c r="C209" s="4" t="n">
        <v>45489</v>
      </c>
      <c r="D209" s="3" t="s">
        <v>768</v>
      </c>
      <c r="E209" s="3" t="s">
        <v>155</v>
      </c>
      <c r="F209" s="3" t="s">
        <v>121</v>
      </c>
      <c r="G209" s="3" t="s">
        <v>88</v>
      </c>
      <c r="H209" s="3" t="s">
        <v>43</v>
      </c>
      <c r="I209" s="3" t="s">
        <v>221</v>
      </c>
      <c r="J209" s="3" t="s">
        <v>222</v>
      </c>
      <c r="K209" s="3" t="s">
        <v>62</v>
      </c>
      <c r="L209" s="3" t="s">
        <v>188</v>
      </c>
      <c r="M209" s="3" t="s">
        <v>769</v>
      </c>
      <c r="N209" s="3" t="s">
        <v>49</v>
      </c>
      <c r="O209" s="3" t="s">
        <v>43</v>
      </c>
      <c r="P209" s="5" t="n">
        <v>2</v>
      </c>
      <c r="Q209" s="6" t="n">
        <v>1095.45</v>
      </c>
      <c r="R209" s="3" t="s">
        <v>50</v>
      </c>
      <c r="S209" s="7" t="n">
        <v>0.2</v>
      </c>
      <c r="T209" s="3" t="s">
        <v>51</v>
      </c>
      <c r="U209" s="7" t="n">
        <f aca="false">IF(T209="Valid",S209,0)</f>
        <v>0.2</v>
      </c>
      <c r="V209" s="6" t="n">
        <v>1752.72</v>
      </c>
      <c r="W209" s="6" t="n">
        <v>996.41</v>
      </c>
      <c r="X209" s="6" t="n">
        <v>756.31</v>
      </c>
      <c r="Y209" s="6" t="n">
        <f aca="false">P209*Q209*(1-U209)</f>
        <v>1752.72</v>
      </c>
      <c r="Z209" s="6" t="n">
        <f aca="false">Y209-W209</f>
        <v>756.31</v>
      </c>
      <c r="AA209" s="8" t="n">
        <f aca="false">IF(Y209=0,0,Z209/Y209)</f>
        <v>0.431506458533023</v>
      </c>
      <c r="AB209" s="3" t="str">
        <f aca="false">IF(ABS(V209-Y209)&gt;1,"Mismatch","OK")</f>
        <v>OK</v>
      </c>
      <c r="AC209" s="3" t="str">
        <f aca="false">IF(ABS(X209-Z209)&gt;1,"Mismatch","OK")</f>
        <v>OK</v>
      </c>
      <c r="AD209" s="5" t="n">
        <f aca="false">IF(OR(B209="",C209=""),"",C209-B209)</f>
        <v>6</v>
      </c>
      <c r="AE209" s="3" t="str">
        <f aca="false">IF(AD209="","Unknown",IF(AD209&lt;0,"Invalid - Ship Before Order","OK"))</f>
        <v>OK</v>
      </c>
      <c r="AF209" s="5" t="n">
        <f aca="false">IF(B209="","",MONTH(B209))</f>
        <v>7</v>
      </c>
      <c r="AG209" s="5" t="n">
        <f aca="false">IF(B209="","",YEAR(B209))</f>
        <v>2024</v>
      </c>
      <c r="AH209" s="3" t="s">
        <v>52</v>
      </c>
      <c r="AI209" s="3" t="s">
        <v>53</v>
      </c>
      <c r="AJ209" s="3" t="str">
        <f aca="false">IF(AND(AI209="Completed",AH209="Failed"),"Inconsistent - Completed Order with Failed Payment","OK")</f>
        <v>OK</v>
      </c>
      <c r="AK209" s="3" t="s">
        <v>54</v>
      </c>
      <c r="AL209" s="3" t="str">
        <f aca="false">IF(OR(T209="Negative - Invalid",T209="Above Allowed Range - Invalid",AE209="Invalid - Ship Before Order",AK209&lt;&gt;"Unique",AB209="Mismatch",AC209="Mismatch",AJ209&lt;&gt;"OK"),"Invalid",IF(OR(H209="Yes",O209="Yes",T209="Missing"),"Warning","Clean"))</f>
        <v>Clean</v>
      </c>
    </row>
    <row r="210" customFormat="false" ht="15" hidden="false" customHeight="true" outlineLevel="0" collapsed="false">
      <c r="A210" s="3" t="s">
        <v>770</v>
      </c>
      <c r="B210" s="4" t="n">
        <v>45837</v>
      </c>
      <c r="C210" s="4" t="n">
        <v>45843</v>
      </c>
      <c r="D210" s="3" t="s">
        <v>771</v>
      </c>
      <c r="E210" s="3" t="s">
        <v>192</v>
      </c>
      <c r="F210" s="3" t="s">
        <v>41</v>
      </c>
      <c r="G210" s="3" t="s">
        <v>42</v>
      </c>
      <c r="H210" s="3" t="s">
        <v>43</v>
      </c>
      <c r="I210" s="3" t="s">
        <v>149</v>
      </c>
      <c r="J210" s="3" t="s">
        <v>150</v>
      </c>
      <c r="K210" s="3" t="s">
        <v>62</v>
      </c>
      <c r="L210" s="3" t="s">
        <v>91</v>
      </c>
      <c r="M210" s="3" t="s">
        <v>772</v>
      </c>
      <c r="N210" s="3" t="s">
        <v>65</v>
      </c>
      <c r="O210" s="3" t="s">
        <v>43</v>
      </c>
      <c r="P210" s="5" t="n">
        <v>1</v>
      </c>
      <c r="Q210" s="6" t="n">
        <v>999.83</v>
      </c>
      <c r="R210" s="3" t="s">
        <v>66</v>
      </c>
      <c r="S210" s="7" t="n">
        <v>0</v>
      </c>
      <c r="T210" s="3" t="s">
        <v>51</v>
      </c>
      <c r="U210" s="7" t="n">
        <f aca="false">IF(T210="Valid",S210,0)</f>
        <v>0</v>
      </c>
      <c r="V210" s="6" t="n">
        <v>999.83</v>
      </c>
      <c r="W210" s="6" t="n">
        <v>634.91</v>
      </c>
      <c r="X210" s="6" t="n">
        <v>364.92</v>
      </c>
      <c r="Y210" s="6" t="n">
        <f aca="false">P210*Q210*(1-U210)</f>
        <v>999.83</v>
      </c>
      <c r="Z210" s="6" t="n">
        <f aca="false">Y210-W210</f>
        <v>364.92</v>
      </c>
      <c r="AA210" s="8" t="n">
        <f aca="false">IF(Y210=0,0,Z210/Y210)</f>
        <v>0.364982046947981</v>
      </c>
      <c r="AB210" s="3" t="str">
        <f aca="false">IF(ABS(V210-Y210)&gt;1,"Mismatch","OK")</f>
        <v>OK</v>
      </c>
      <c r="AC210" s="3" t="str">
        <f aca="false">IF(ABS(X210-Z210)&gt;1,"Mismatch","OK")</f>
        <v>OK</v>
      </c>
      <c r="AD210" s="5" t="n">
        <f aca="false">IF(OR(B210="",C210=""),"",C210-B210)</f>
        <v>6</v>
      </c>
      <c r="AE210" s="3" t="str">
        <f aca="false">IF(AD210="","Unknown",IF(AD210&lt;0,"Invalid - Ship Before Order","OK"))</f>
        <v>OK</v>
      </c>
      <c r="AF210" s="5" t="n">
        <f aca="false">IF(B210="","",MONTH(B210))</f>
        <v>6</v>
      </c>
      <c r="AG210" s="5" t="n">
        <f aca="false">IF(B210="","",YEAR(B210))</f>
        <v>2025</v>
      </c>
      <c r="AH210" s="3" t="s">
        <v>52</v>
      </c>
      <c r="AI210" s="3" t="s">
        <v>53</v>
      </c>
      <c r="AJ210" s="3" t="str">
        <f aca="false">IF(AND(AI210="Completed",AH210="Failed"),"Inconsistent - Completed Order with Failed Payment","OK")</f>
        <v>OK</v>
      </c>
      <c r="AK210" s="3" t="s">
        <v>54</v>
      </c>
      <c r="AL210" s="3" t="str">
        <f aca="false">IF(OR(T210="Negative - Invalid",T210="Above Allowed Range - Invalid",AE210="Invalid - Ship Before Order",AK210&lt;&gt;"Unique",AB210="Mismatch",AC210="Mismatch",AJ210&lt;&gt;"OK"),"Invalid",IF(OR(H210="Yes",O210="Yes",T210="Missing"),"Warning","Clean"))</f>
        <v>Clean</v>
      </c>
    </row>
    <row r="211" customFormat="false" ht="15" hidden="false" customHeight="true" outlineLevel="0" collapsed="false">
      <c r="A211" s="3" t="s">
        <v>773</v>
      </c>
      <c r="B211" s="4" t="n">
        <v>45882</v>
      </c>
      <c r="C211" s="4" t="n">
        <v>45883</v>
      </c>
      <c r="D211" s="3" t="s">
        <v>774</v>
      </c>
      <c r="E211" s="3" t="s">
        <v>168</v>
      </c>
      <c r="F211" s="3" t="s">
        <v>58</v>
      </c>
      <c r="G211" s="3" t="s">
        <v>78</v>
      </c>
      <c r="H211" s="3" t="s">
        <v>43</v>
      </c>
      <c r="I211" s="3" t="s">
        <v>110</v>
      </c>
      <c r="J211" s="3" t="s">
        <v>111</v>
      </c>
      <c r="K211" s="3" t="s">
        <v>46</v>
      </c>
      <c r="L211" s="3" t="s">
        <v>47</v>
      </c>
      <c r="M211" s="3" t="s">
        <v>775</v>
      </c>
      <c r="N211" s="3" t="s">
        <v>72</v>
      </c>
      <c r="O211" s="3" t="s">
        <v>43</v>
      </c>
      <c r="P211" s="5" t="n">
        <v>9</v>
      </c>
      <c r="Q211" s="6" t="n">
        <v>864.98</v>
      </c>
      <c r="R211" s="3" t="s">
        <v>203</v>
      </c>
      <c r="S211" s="7" t="n">
        <v>0.1</v>
      </c>
      <c r="T211" s="3" t="s">
        <v>51</v>
      </c>
      <c r="U211" s="7" t="n">
        <f aca="false">IF(T211="Valid",S211,0)</f>
        <v>0.1</v>
      </c>
      <c r="V211" s="6" t="n">
        <v>7006.34</v>
      </c>
      <c r="W211" s="6" t="n">
        <v>4640.88</v>
      </c>
      <c r="X211" s="6" t="n">
        <v>2365.46</v>
      </c>
      <c r="Y211" s="6" t="n">
        <f aca="false">P211*Q211*(1-U211)</f>
        <v>7006.338</v>
      </c>
      <c r="Z211" s="6" t="n">
        <f aca="false">Y211-W211</f>
        <v>2365.458</v>
      </c>
      <c r="AA211" s="8" t="n">
        <f aca="false">IF(Y211=0,0,Z211/Y211)</f>
        <v>0.337616883456094</v>
      </c>
      <c r="AB211" s="3" t="str">
        <f aca="false">IF(ABS(V211-Y211)&gt;1,"Mismatch","OK")</f>
        <v>OK</v>
      </c>
      <c r="AC211" s="3" t="str">
        <f aca="false">IF(ABS(X211-Z211)&gt;1,"Mismatch","OK")</f>
        <v>OK</v>
      </c>
      <c r="AD211" s="5" t="n">
        <f aca="false">IF(OR(B211="",C211=""),"",C211-B211)</f>
        <v>1</v>
      </c>
      <c r="AE211" s="3" t="str">
        <f aca="false">IF(AD211="","Unknown",IF(AD211&lt;0,"Invalid - Ship Before Order","OK"))</f>
        <v>OK</v>
      </c>
      <c r="AF211" s="5" t="n">
        <f aca="false">IF(B211="","",MONTH(B211))</f>
        <v>8</v>
      </c>
      <c r="AG211" s="5" t="n">
        <f aca="false">IF(B211="","",YEAR(B211))</f>
        <v>2025</v>
      </c>
      <c r="AH211" s="3" t="s">
        <v>52</v>
      </c>
      <c r="AI211" s="3" t="s">
        <v>53</v>
      </c>
      <c r="AJ211" s="3" t="str">
        <f aca="false">IF(AND(AI211="Completed",AH211="Failed"),"Inconsistent - Completed Order with Failed Payment","OK")</f>
        <v>OK</v>
      </c>
      <c r="AK211" s="3" t="s">
        <v>54</v>
      </c>
      <c r="AL211" s="3" t="str">
        <f aca="false">IF(OR(T211="Negative - Invalid",T211="Above Allowed Range - Invalid",AE211="Invalid - Ship Before Order",AK211&lt;&gt;"Unique",AB211="Mismatch",AC211="Mismatch",AJ211&lt;&gt;"OK"),"Invalid",IF(OR(H211="Yes",O211="Yes",T211="Missing"),"Warning","Clean"))</f>
        <v>Clean</v>
      </c>
    </row>
    <row r="212" customFormat="false" ht="15" hidden="false" customHeight="true" outlineLevel="0" collapsed="false">
      <c r="A212" s="3" t="s">
        <v>776</v>
      </c>
      <c r="B212" s="4" t="n">
        <v>45366</v>
      </c>
      <c r="C212" s="4" t="n">
        <v>45369</v>
      </c>
      <c r="D212" s="3" t="s">
        <v>777</v>
      </c>
      <c r="E212" s="3" t="s">
        <v>298</v>
      </c>
      <c r="F212" s="3" t="s">
        <v>121</v>
      </c>
      <c r="G212" s="3" t="s">
        <v>78</v>
      </c>
      <c r="H212" s="3" t="s">
        <v>43</v>
      </c>
      <c r="I212" s="3" t="s">
        <v>206</v>
      </c>
      <c r="J212" s="3" t="s">
        <v>207</v>
      </c>
      <c r="K212" s="3" t="s">
        <v>99</v>
      </c>
      <c r="L212" s="3" t="s">
        <v>308</v>
      </c>
      <c r="M212" s="3" t="s">
        <v>778</v>
      </c>
      <c r="N212" s="3" t="s">
        <v>49</v>
      </c>
      <c r="O212" s="3" t="s">
        <v>43</v>
      </c>
      <c r="P212" s="5" t="n">
        <v>1</v>
      </c>
      <c r="Q212" s="6" t="n">
        <v>4131.36</v>
      </c>
      <c r="R212" s="3" t="s">
        <v>66</v>
      </c>
      <c r="S212" s="7" t="n">
        <v>0</v>
      </c>
      <c r="T212" s="3" t="s">
        <v>51</v>
      </c>
      <c r="U212" s="7" t="n">
        <f aca="false">IF(T212="Valid",S212,0)</f>
        <v>0</v>
      </c>
      <c r="V212" s="6" t="n">
        <v>4131.36</v>
      </c>
      <c r="W212" s="6" t="n">
        <v>2937.07</v>
      </c>
      <c r="X212" s="6" t="n">
        <v>1194.29</v>
      </c>
      <c r="Y212" s="6" t="n">
        <f aca="false">P212*Q212*(1-U212)</f>
        <v>4131.36</v>
      </c>
      <c r="Z212" s="6" t="n">
        <f aca="false">Y212-W212</f>
        <v>1194.29</v>
      </c>
      <c r="AA212" s="8" t="n">
        <f aca="false">IF(Y212=0,0,Z212/Y212)</f>
        <v>0.289079141009256</v>
      </c>
      <c r="AB212" s="3" t="str">
        <f aca="false">IF(ABS(V212-Y212)&gt;1,"Mismatch","OK")</f>
        <v>OK</v>
      </c>
      <c r="AC212" s="3" t="str">
        <f aca="false">IF(ABS(X212-Z212)&gt;1,"Mismatch","OK")</f>
        <v>OK</v>
      </c>
      <c r="AD212" s="5" t="n">
        <f aca="false">IF(OR(B212="",C212=""),"",C212-B212)</f>
        <v>3</v>
      </c>
      <c r="AE212" s="3" t="str">
        <f aca="false">IF(AD212="","Unknown",IF(AD212&lt;0,"Invalid - Ship Before Order","OK"))</f>
        <v>OK</v>
      </c>
      <c r="AF212" s="5" t="n">
        <f aca="false">IF(B212="","",MONTH(B212))</f>
        <v>3</v>
      </c>
      <c r="AG212" s="5" t="n">
        <f aca="false">IF(B212="","",YEAR(B212))</f>
        <v>2024</v>
      </c>
      <c r="AH212" s="3" t="s">
        <v>185</v>
      </c>
      <c r="AI212" s="3" t="s">
        <v>130</v>
      </c>
      <c r="AJ212" s="3" t="str">
        <f aca="false">IF(AND(AI212="Completed",AH212="Failed"),"Inconsistent - Completed Order with Failed Payment","OK")</f>
        <v>OK</v>
      </c>
      <c r="AK212" s="3" t="s">
        <v>54</v>
      </c>
      <c r="AL212" s="3" t="str">
        <f aca="false">IF(OR(T212="Negative - Invalid",T212="Above Allowed Range - Invalid",AE212="Invalid - Ship Before Order",AK212&lt;&gt;"Unique",AB212="Mismatch",AC212="Mismatch",AJ212&lt;&gt;"OK"),"Invalid",IF(OR(H212="Yes",O212="Yes",T212="Missing"),"Warning","Clean"))</f>
        <v>Clean</v>
      </c>
    </row>
    <row r="213" customFormat="false" ht="15" hidden="false" customHeight="true" outlineLevel="0" collapsed="false">
      <c r="A213" s="3" t="s">
        <v>779</v>
      </c>
      <c r="B213" s="4" t="n">
        <v>45428</v>
      </c>
      <c r="C213" s="4" t="n">
        <v>45429</v>
      </c>
      <c r="D213" s="3" t="s">
        <v>780</v>
      </c>
      <c r="E213" s="3" t="s">
        <v>168</v>
      </c>
      <c r="F213" s="3" t="s">
        <v>116</v>
      </c>
      <c r="G213" s="3" t="s">
        <v>59</v>
      </c>
      <c r="H213" s="3" t="s">
        <v>43</v>
      </c>
      <c r="I213" s="3" t="s">
        <v>125</v>
      </c>
      <c r="J213" s="3" t="s">
        <v>126</v>
      </c>
      <c r="K213" s="3" t="s">
        <v>99</v>
      </c>
      <c r="L213" s="3" t="s">
        <v>105</v>
      </c>
      <c r="M213" s="3" t="s">
        <v>781</v>
      </c>
      <c r="N213" s="3" t="s">
        <v>49</v>
      </c>
      <c r="O213" s="3" t="s">
        <v>43</v>
      </c>
      <c r="P213" s="5" t="n">
        <v>8</v>
      </c>
      <c r="Q213" s="6" t="n">
        <v>4221.95</v>
      </c>
      <c r="R213" s="3" t="s">
        <v>50</v>
      </c>
      <c r="S213" s="7" t="n">
        <v>0.2</v>
      </c>
      <c r="T213" s="3" t="s">
        <v>51</v>
      </c>
      <c r="U213" s="7" t="n">
        <f aca="false">IF(T213="Valid",S213,0)</f>
        <v>0.2</v>
      </c>
      <c r="V213" s="6" t="n">
        <v>27020.48</v>
      </c>
      <c r="W213" s="6" t="n">
        <v>22885.24</v>
      </c>
      <c r="X213" s="6" t="n">
        <v>4135.24</v>
      </c>
      <c r="Y213" s="6" t="n">
        <f aca="false">P213*Q213*(1-U213)</f>
        <v>27020.48</v>
      </c>
      <c r="Z213" s="6" t="n">
        <f aca="false">Y213-W213</f>
        <v>4135.24</v>
      </c>
      <c r="AA213" s="8" t="n">
        <f aca="false">IF(Y213=0,0,Z213/Y213)</f>
        <v>0.153040952640368</v>
      </c>
      <c r="AB213" s="3" t="str">
        <f aca="false">IF(ABS(V213-Y213)&gt;1,"Mismatch","OK")</f>
        <v>OK</v>
      </c>
      <c r="AC213" s="3" t="str">
        <f aca="false">IF(ABS(X213-Z213)&gt;1,"Mismatch","OK")</f>
        <v>OK</v>
      </c>
      <c r="AD213" s="5" t="n">
        <f aca="false">IF(OR(B213="",C213=""),"",C213-B213)</f>
        <v>1</v>
      </c>
      <c r="AE213" s="3" t="str">
        <f aca="false">IF(AD213="","Unknown",IF(AD213&lt;0,"Invalid - Ship Before Order","OK"))</f>
        <v>OK</v>
      </c>
      <c r="AF213" s="5" t="n">
        <f aca="false">IF(B213="","",MONTH(B213))</f>
        <v>5</v>
      </c>
      <c r="AG213" s="5" t="n">
        <f aca="false">IF(B213="","",YEAR(B213))</f>
        <v>2024</v>
      </c>
      <c r="AH213" s="3" t="s">
        <v>52</v>
      </c>
      <c r="AI213" s="3" t="s">
        <v>53</v>
      </c>
      <c r="AJ213" s="3" t="str">
        <f aca="false">IF(AND(AI213="Completed",AH213="Failed"),"Inconsistent - Completed Order with Failed Payment","OK")</f>
        <v>OK</v>
      </c>
      <c r="AK213" s="3" t="s">
        <v>54</v>
      </c>
      <c r="AL213" s="3" t="str">
        <f aca="false">IF(OR(T213="Negative - Invalid",T213="Above Allowed Range - Invalid",AE213="Invalid - Ship Before Order",AK213&lt;&gt;"Unique",AB213="Mismatch",AC213="Mismatch",AJ213&lt;&gt;"OK"),"Invalid",IF(OR(H213="Yes",O213="Yes",T213="Missing"),"Warning","Clean"))</f>
        <v>Clean</v>
      </c>
    </row>
    <row r="214" customFormat="false" ht="15" hidden="false" customHeight="true" outlineLevel="0" collapsed="false">
      <c r="A214" s="3" t="s">
        <v>782</v>
      </c>
      <c r="B214" s="4" t="n">
        <v>45556</v>
      </c>
      <c r="C214" s="4" t="n">
        <v>45556</v>
      </c>
      <c r="D214" s="3" t="s">
        <v>783</v>
      </c>
      <c r="E214" s="3" t="s">
        <v>87</v>
      </c>
      <c r="F214" s="3" t="s">
        <v>58</v>
      </c>
      <c r="G214" s="3" t="s">
        <v>59</v>
      </c>
      <c r="H214" s="3" t="s">
        <v>43</v>
      </c>
      <c r="I214" s="3" t="s">
        <v>60</v>
      </c>
      <c r="J214" s="3" t="s">
        <v>61</v>
      </c>
      <c r="K214" s="3" t="s">
        <v>99</v>
      </c>
      <c r="L214" s="3" t="s">
        <v>201</v>
      </c>
      <c r="M214" s="3" t="s">
        <v>784</v>
      </c>
      <c r="N214" s="3" t="s">
        <v>65</v>
      </c>
      <c r="O214" s="3" t="s">
        <v>43</v>
      </c>
      <c r="P214" s="5" t="n">
        <v>2</v>
      </c>
      <c r="Q214" s="6" t="n">
        <v>214.5</v>
      </c>
      <c r="R214" s="3" t="s">
        <v>107</v>
      </c>
      <c r="S214" s="7" t="n">
        <v>0.15</v>
      </c>
      <c r="T214" s="3" t="s">
        <v>51</v>
      </c>
      <c r="U214" s="7" t="n">
        <f aca="false">IF(T214="Valid",S214,0)</f>
        <v>0.15</v>
      </c>
      <c r="V214" s="6" t="n">
        <v>364.65</v>
      </c>
      <c r="W214" s="6" t="n">
        <v>280.74</v>
      </c>
      <c r="X214" s="6" t="n">
        <v>83.91</v>
      </c>
      <c r="Y214" s="6" t="n">
        <f aca="false">P214*Q214*(1-U214)</f>
        <v>364.65</v>
      </c>
      <c r="Z214" s="6" t="n">
        <f aca="false">Y214-W214</f>
        <v>83.91</v>
      </c>
      <c r="AA214" s="8" t="n">
        <f aca="false">IF(Y214=0,0,Z214/Y214)</f>
        <v>0.230111065405183</v>
      </c>
      <c r="AB214" s="3" t="str">
        <f aca="false">IF(ABS(V214-Y214)&gt;1,"Mismatch","OK")</f>
        <v>OK</v>
      </c>
      <c r="AC214" s="3" t="str">
        <f aca="false">IF(ABS(X214-Z214)&gt;1,"Mismatch","OK")</f>
        <v>OK</v>
      </c>
      <c r="AD214" s="5" t="n">
        <f aca="false">IF(OR(B214="",C214=""),"",C214-B214)</f>
        <v>0</v>
      </c>
      <c r="AE214" s="3" t="str">
        <f aca="false">IF(AD214="","Unknown",IF(AD214&lt;0,"Invalid - Ship Before Order","OK"))</f>
        <v>OK</v>
      </c>
      <c r="AF214" s="5" t="n">
        <f aca="false">IF(B214="","",MONTH(B214))</f>
        <v>9</v>
      </c>
      <c r="AG214" s="5" t="n">
        <f aca="false">IF(B214="","",YEAR(B214))</f>
        <v>2024</v>
      </c>
      <c r="AH214" s="3" t="s">
        <v>52</v>
      </c>
      <c r="AI214" s="3" t="s">
        <v>53</v>
      </c>
      <c r="AJ214" s="3" t="str">
        <f aca="false">IF(AND(AI214="Completed",AH214="Failed"),"Inconsistent - Completed Order with Failed Payment","OK")</f>
        <v>OK</v>
      </c>
      <c r="AK214" s="3" t="s">
        <v>54</v>
      </c>
      <c r="AL214" s="3" t="str">
        <f aca="false">IF(OR(T214="Negative - Invalid",T214="Above Allowed Range - Invalid",AE214="Invalid - Ship Before Order",AK214&lt;&gt;"Unique",AB214="Mismatch",AC214="Mismatch",AJ214&lt;&gt;"OK"),"Invalid",IF(OR(H214="Yes",O214="Yes",T214="Missing"),"Warning","Clean"))</f>
        <v>Clean</v>
      </c>
    </row>
    <row r="215" customFormat="false" ht="15" hidden="false" customHeight="true" outlineLevel="0" collapsed="false">
      <c r="A215" s="3" t="s">
        <v>785</v>
      </c>
      <c r="B215" s="4" t="n">
        <v>45427</v>
      </c>
      <c r="C215" s="4" t="n">
        <v>45433</v>
      </c>
      <c r="D215" s="3" t="s">
        <v>786</v>
      </c>
      <c r="E215" s="3" t="s">
        <v>69</v>
      </c>
      <c r="F215" s="3" t="s">
        <v>58</v>
      </c>
      <c r="G215" s="3" t="s">
        <v>59</v>
      </c>
      <c r="H215" s="3" t="s">
        <v>43</v>
      </c>
      <c r="I215" s="3" t="s">
        <v>174</v>
      </c>
      <c r="J215" s="3" t="s">
        <v>175</v>
      </c>
      <c r="K215" s="3" t="s">
        <v>99</v>
      </c>
      <c r="L215" s="3" t="s">
        <v>100</v>
      </c>
      <c r="M215" s="3" t="s">
        <v>787</v>
      </c>
      <c r="N215" s="3" t="s">
        <v>49</v>
      </c>
      <c r="O215" s="3" t="s">
        <v>43</v>
      </c>
      <c r="P215" s="5" t="n">
        <v>4</v>
      </c>
      <c r="Q215" s="6" t="n">
        <v>4332.73</v>
      </c>
      <c r="R215" s="3" t="s">
        <v>50</v>
      </c>
      <c r="S215" s="7" t="n">
        <v>0.2</v>
      </c>
      <c r="T215" s="3" t="s">
        <v>51</v>
      </c>
      <c r="U215" s="7" t="n">
        <f aca="false">IF(T215="Valid",S215,0)</f>
        <v>0.2</v>
      </c>
      <c r="V215" s="6" t="n">
        <v>13864.74</v>
      </c>
      <c r="W215" s="6" t="n">
        <v>11294.06</v>
      </c>
      <c r="X215" s="6" t="n">
        <v>2570.68</v>
      </c>
      <c r="Y215" s="6" t="n">
        <f aca="false">P215*Q215*(1-U215)</f>
        <v>13864.736</v>
      </c>
      <c r="Z215" s="6" t="n">
        <f aca="false">Y215-W215</f>
        <v>2570.676</v>
      </c>
      <c r="AA215" s="8" t="n">
        <f aca="false">IF(Y215=0,0,Z215/Y215)</f>
        <v>0.185411103392088</v>
      </c>
      <c r="AB215" s="3" t="str">
        <f aca="false">IF(ABS(V215-Y215)&gt;1,"Mismatch","OK")</f>
        <v>OK</v>
      </c>
      <c r="AC215" s="3" t="str">
        <f aca="false">IF(ABS(X215-Z215)&gt;1,"Mismatch","OK")</f>
        <v>OK</v>
      </c>
      <c r="AD215" s="5" t="n">
        <f aca="false">IF(OR(B215="",C215=""),"",C215-B215)</f>
        <v>6</v>
      </c>
      <c r="AE215" s="3" t="str">
        <f aca="false">IF(AD215="","Unknown",IF(AD215&lt;0,"Invalid - Ship Before Order","OK"))</f>
        <v>OK</v>
      </c>
      <c r="AF215" s="5" t="n">
        <f aca="false">IF(B215="","",MONTH(B215))</f>
        <v>5</v>
      </c>
      <c r="AG215" s="5" t="n">
        <f aca="false">IF(B215="","",YEAR(B215))</f>
        <v>2024</v>
      </c>
      <c r="AH215" s="3" t="s">
        <v>52</v>
      </c>
      <c r="AI215" s="3" t="s">
        <v>53</v>
      </c>
      <c r="AJ215" s="3" t="str">
        <f aca="false">IF(AND(AI215="Completed",AH215="Failed"),"Inconsistent - Completed Order with Failed Payment","OK")</f>
        <v>OK</v>
      </c>
      <c r="AK215" s="3" t="s">
        <v>54</v>
      </c>
      <c r="AL215" s="3" t="str">
        <f aca="false">IF(OR(T215="Negative - Invalid",T215="Above Allowed Range - Invalid",AE215="Invalid - Ship Before Order",AK215&lt;&gt;"Unique",AB215="Mismatch",AC215="Mismatch",AJ215&lt;&gt;"OK"),"Invalid",IF(OR(H215="Yes",O215="Yes",T215="Missing"),"Warning","Clean"))</f>
        <v>Clean</v>
      </c>
    </row>
    <row r="216" customFormat="false" ht="15" hidden="false" customHeight="true" outlineLevel="0" collapsed="false">
      <c r="A216" s="3" t="s">
        <v>788</v>
      </c>
      <c r="B216" s="4" t="n">
        <v>45368</v>
      </c>
      <c r="C216" s="4" t="n">
        <v>45374</v>
      </c>
      <c r="D216" s="3" t="s">
        <v>789</v>
      </c>
      <c r="E216" s="3" t="s">
        <v>145</v>
      </c>
      <c r="F216" s="3" t="s">
        <v>41</v>
      </c>
      <c r="G216" s="3" t="s">
        <v>42</v>
      </c>
      <c r="H216" s="3" t="s">
        <v>43</v>
      </c>
      <c r="I216" s="3" t="s">
        <v>270</v>
      </c>
      <c r="J216" s="3" t="s">
        <v>271</v>
      </c>
      <c r="K216" s="3" t="s">
        <v>99</v>
      </c>
      <c r="L216" s="3" t="s">
        <v>100</v>
      </c>
      <c r="M216" s="3" t="s">
        <v>790</v>
      </c>
      <c r="N216" s="3" t="s">
        <v>72</v>
      </c>
      <c r="O216" s="3" t="s">
        <v>43</v>
      </c>
      <c r="P216" s="5" t="n">
        <v>3</v>
      </c>
      <c r="Q216" s="6" t="n">
        <v>248.18</v>
      </c>
      <c r="R216" s="3" t="s">
        <v>128</v>
      </c>
      <c r="S216" s="7" t="n">
        <v>0.05</v>
      </c>
      <c r="T216" s="3" t="s">
        <v>51</v>
      </c>
      <c r="U216" s="7" t="n">
        <f aca="false">IF(T216="Valid",S216,0)</f>
        <v>0.05</v>
      </c>
      <c r="V216" s="6" t="n">
        <v>707.31</v>
      </c>
      <c r="W216" s="6" t="n">
        <v>569</v>
      </c>
      <c r="X216" s="6" t="n">
        <v>138.31</v>
      </c>
      <c r="Y216" s="6" t="n">
        <f aca="false">P216*Q216*(1-U216)</f>
        <v>707.313</v>
      </c>
      <c r="Z216" s="6" t="n">
        <f aca="false">Y216-W216</f>
        <v>138.313</v>
      </c>
      <c r="AA216" s="8" t="n">
        <f aca="false">IF(Y216=0,0,Z216/Y216)</f>
        <v>0.195547091598769</v>
      </c>
      <c r="AB216" s="3" t="str">
        <f aca="false">IF(ABS(V216-Y216)&gt;1,"Mismatch","OK")</f>
        <v>OK</v>
      </c>
      <c r="AC216" s="3" t="str">
        <f aca="false">IF(ABS(X216-Z216)&gt;1,"Mismatch","OK")</f>
        <v>OK</v>
      </c>
      <c r="AD216" s="5" t="n">
        <f aca="false">IF(OR(B216="",C216=""),"",C216-B216)</f>
        <v>6</v>
      </c>
      <c r="AE216" s="3" t="str">
        <f aca="false">IF(AD216="","Unknown",IF(AD216&lt;0,"Invalid - Ship Before Order","OK"))</f>
        <v>OK</v>
      </c>
      <c r="AF216" s="5" t="n">
        <f aca="false">IF(B216="","",MONTH(B216))</f>
        <v>3</v>
      </c>
      <c r="AG216" s="5" t="n">
        <f aca="false">IF(B216="","",YEAR(B216))</f>
        <v>2024</v>
      </c>
      <c r="AH216" s="3" t="s">
        <v>52</v>
      </c>
      <c r="AI216" s="3" t="s">
        <v>53</v>
      </c>
      <c r="AJ216" s="3" t="str">
        <f aca="false">IF(AND(AI216="Completed",AH216="Failed"),"Inconsistent - Completed Order with Failed Payment","OK")</f>
        <v>OK</v>
      </c>
      <c r="AK216" s="3" t="s">
        <v>54</v>
      </c>
      <c r="AL216" s="3" t="str">
        <f aca="false">IF(OR(T216="Negative - Invalid",T216="Above Allowed Range - Invalid",AE216="Invalid - Ship Before Order",AK216&lt;&gt;"Unique",AB216="Mismatch",AC216="Mismatch",AJ216&lt;&gt;"OK"),"Invalid",IF(OR(H216="Yes",O216="Yes",T216="Missing"),"Warning","Clean"))</f>
        <v>Clean</v>
      </c>
    </row>
    <row r="217" customFormat="false" ht="15" hidden="false" customHeight="true" outlineLevel="0" collapsed="false">
      <c r="A217" s="3" t="s">
        <v>791</v>
      </c>
      <c r="B217" s="4" t="n">
        <v>45352</v>
      </c>
      <c r="C217" s="4" t="n">
        <v>45355</v>
      </c>
      <c r="D217" s="3" t="s">
        <v>792</v>
      </c>
      <c r="E217" s="3" t="s">
        <v>57</v>
      </c>
      <c r="F217" s="3" t="s">
        <v>41</v>
      </c>
      <c r="G217" s="3" t="s">
        <v>88</v>
      </c>
      <c r="H217" s="3" t="s">
        <v>43</v>
      </c>
      <c r="I217" s="3" t="s">
        <v>97</v>
      </c>
      <c r="J217" s="3" t="s">
        <v>98</v>
      </c>
      <c r="K217" s="3" t="s">
        <v>46</v>
      </c>
      <c r="L217" s="3" t="s">
        <v>47</v>
      </c>
      <c r="M217" s="3" t="s">
        <v>793</v>
      </c>
      <c r="N217" s="3" t="s">
        <v>72</v>
      </c>
      <c r="O217" s="3" t="s">
        <v>43</v>
      </c>
      <c r="P217" s="5" t="n">
        <v>8</v>
      </c>
      <c r="Q217" s="6" t="n">
        <v>3202.4</v>
      </c>
      <c r="R217" s="3" t="s">
        <v>84</v>
      </c>
      <c r="S217" s="7" t="n">
        <v>0.25</v>
      </c>
      <c r="T217" s="3" t="s">
        <v>51</v>
      </c>
      <c r="U217" s="7" t="n">
        <f aca="false">IF(T217="Valid",S217,0)</f>
        <v>0.25</v>
      </c>
      <c r="V217" s="6" t="n">
        <v>19214.4</v>
      </c>
      <c r="W217" s="6" t="n">
        <v>10916.01</v>
      </c>
      <c r="X217" s="6" t="n">
        <v>8298.39</v>
      </c>
      <c r="Y217" s="6" t="n">
        <f aca="false">P217*Q217*(1-U217)</f>
        <v>19214.4</v>
      </c>
      <c r="Z217" s="6" t="n">
        <f aca="false">Y217-W217</f>
        <v>8298.39</v>
      </c>
      <c r="AA217" s="8" t="n">
        <f aca="false">IF(Y217=0,0,Z217/Y217)</f>
        <v>0.431883899575319</v>
      </c>
      <c r="AB217" s="3" t="str">
        <f aca="false">IF(ABS(V217-Y217)&gt;1,"Mismatch","OK")</f>
        <v>OK</v>
      </c>
      <c r="AC217" s="3" t="str">
        <f aca="false">IF(ABS(X217-Z217)&gt;1,"Mismatch","OK")</f>
        <v>OK</v>
      </c>
      <c r="AD217" s="5" t="n">
        <f aca="false">IF(OR(B217="",C217=""),"",C217-B217)</f>
        <v>3</v>
      </c>
      <c r="AE217" s="3" t="str">
        <f aca="false">IF(AD217="","Unknown",IF(AD217&lt;0,"Invalid - Ship Before Order","OK"))</f>
        <v>OK</v>
      </c>
      <c r="AF217" s="5" t="n">
        <f aca="false">IF(B217="","",MONTH(B217))</f>
        <v>3</v>
      </c>
      <c r="AG217" s="5" t="n">
        <f aca="false">IF(B217="","",YEAR(B217))</f>
        <v>2024</v>
      </c>
      <c r="AH217" s="3" t="s">
        <v>52</v>
      </c>
      <c r="AI217" s="3" t="s">
        <v>53</v>
      </c>
      <c r="AJ217" s="3" t="str">
        <f aca="false">IF(AND(AI217="Completed",AH217="Failed"),"Inconsistent - Completed Order with Failed Payment","OK")</f>
        <v>OK</v>
      </c>
      <c r="AK217" s="3" t="s">
        <v>54</v>
      </c>
      <c r="AL217" s="3" t="str">
        <f aca="false">IF(OR(T217="Negative - Invalid",T217="Above Allowed Range - Invalid",AE217="Invalid - Ship Before Order",AK217&lt;&gt;"Unique",AB217="Mismatch",AC217="Mismatch",AJ217&lt;&gt;"OK"),"Invalid",IF(OR(H217="Yes",O217="Yes",T217="Missing"),"Warning","Clean"))</f>
        <v>Clean</v>
      </c>
    </row>
    <row r="218" customFormat="false" ht="15" hidden="false" customHeight="true" outlineLevel="0" collapsed="false">
      <c r="A218" s="3" t="s">
        <v>794</v>
      </c>
      <c r="B218" s="4" t="n">
        <v>45757</v>
      </c>
      <c r="C218" s="4" t="n">
        <v>45762</v>
      </c>
      <c r="D218" s="3" t="s">
        <v>795</v>
      </c>
      <c r="E218" s="3" t="s">
        <v>69</v>
      </c>
      <c r="F218" s="3" t="s">
        <v>41</v>
      </c>
      <c r="G218" s="3" t="s">
        <v>88</v>
      </c>
      <c r="H218" s="3" t="s">
        <v>43</v>
      </c>
      <c r="I218" s="3" t="s">
        <v>211</v>
      </c>
      <c r="J218" s="3" t="s">
        <v>212</v>
      </c>
      <c r="K218" s="3" t="s">
        <v>62</v>
      </c>
      <c r="L218" s="3" t="s">
        <v>63</v>
      </c>
      <c r="M218" s="3" t="s">
        <v>796</v>
      </c>
      <c r="N218" s="3" t="s">
        <v>83</v>
      </c>
      <c r="O218" s="3" t="s">
        <v>43</v>
      </c>
      <c r="P218" s="5" t="n">
        <v>8</v>
      </c>
      <c r="Q218" s="6" t="n">
        <v>1839.87</v>
      </c>
      <c r="R218" s="3" t="s">
        <v>84</v>
      </c>
      <c r="S218" s="7" t="n">
        <v>0.25</v>
      </c>
      <c r="T218" s="3" t="s">
        <v>51</v>
      </c>
      <c r="U218" s="7" t="n">
        <f aca="false">IF(T218="Valid",S218,0)</f>
        <v>0.25</v>
      </c>
      <c r="V218" s="6" t="n">
        <v>11039.22</v>
      </c>
      <c r="W218" s="6" t="n">
        <v>7642.91</v>
      </c>
      <c r="X218" s="6" t="n">
        <v>3396.31</v>
      </c>
      <c r="Y218" s="6" t="n">
        <f aca="false">P218*Q218*(1-U218)</f>
        <v>11039.22</v>
      </c>
      <c r="Z218" s="6" t="n">
        <f aca="false">Y218-W218</f>
        <v>3396.31</v>
      </c>
      <c r="AA218" s="8" t="n">
        <f aca="false">IF(Y218=0,0,Z218/Y218)</f>
        <v>0.307658512105022</v>
      </c>
      <c r="AB218" s="3" t="str">
        <f aca="false">IF(ABS(V218-Y218)&gt;1,"Mismatch","OK")</f>
        <v>OK</v>
      </c>
      <c r="AC218" s="3" t="str">
        <f aca="false">IF(ABS(X218-Z218)&gt;1,"Mismatch","OK")</f>
        <v>OK</v>
      </c>
      <c r="AD218" s="5" t="n">
        <f aca="false">IF(OR(B218="",C218=""),"",C218-B218)</f>
        <v>5</v>
      </c>
      <c r="AE218" s="3" t="str">
        <f aca="false">IF(AD218="","Unknown",IF(AD218&lt;0,"Invalid - Ship Before Order","OK"))</f>
        <v>OK</v>
      </c>
      <c r="AF218" s="5" t="n">
        <f aca="false">IF(B218="","",MONTH(B218))</f>
        <v>4</v>
      </c>
      <c r="AG218" s="5" t="n">
        <f aca="false">IF(B218="","",YEAR(B218))</f>
        <v>2025</v>
      </c>
      <c r="AH218" s="3" t="s">
        <v>185</v>
      </c>
      <c r="AI218" s="3" t="s">
        <v>130</v>
      </c>
      <c r="AJ218" s="3" t="str">
        <f aca="false">IF(AND(AI218="Completed",AH218="Failed"),"Inconsistent - Completed Order with Failed Payment","OK")</f>
        <v>OK</v>
      </c>
      <c r="AK218" s="3" t="s">
        <v>54</v>
      </c>
      <c r="AL218" s="3" t="str">
        <f aca="false">IF(OR(T218="Negative - Invalid",T218="Above Allowed Range - Invalid",AE218="Invalid - Ship Before Order",AK218&lt;&gt;"Unique",AB218="Mismatch",AC218="Mismatch",AJ218&lt;&gt;"OK"),"Invalid",IF(OR(H218="Yes",O218="Yes",T218="Missing"),"Warning","Clean"))</f>
        <v>Clean</v>
      </c>
    </row>
    <row r="219" customFormat="false" ht="15" hidden="false" customHeight="true" outlineLevel="0" collapsed="false">
      <c r="A219" s="3" t="s">
        <v>797</v>
      </c>
      <c r="B219" s="4" t="n">
        <v>45748</v>
      </c>
      <c r="C219" s="4" t="n">
        <v>45755</v>
      </c>
      <c r="D219" s="3" t="s">
        <v>798</v>
      </c>
      <c r="E219" s="3" t="s">
        <v>115</v>
      </c>
      <c r="F219" s="3" t="s">
        <v>41</v>
      </c>
      <c r="G219" s="3" t="s">
        <v>59</v>
      </c>
      <c r="H219" s="3" t="s">
        <v>43</v>
      </c>
      <c r="I219" s="3" t="s">
        <v>60</v>
      </c>
      <c r="J219" s="3" t="s">
        <v>61</v>
      </c>
      <c r="K219" s="3" t="s">
        <v>62</v>
      </c>
      <c r="L219" s="3" t="s">
        <v>188</v>
      </c>
      <c r="M219" s="3" t="s">
        <v>799</v>
      </c>
      <c r="N219" s="3" t="s">
        <v>49</v>
      </c>
      <c r="O219" s="3" t="s">
        <v>43</v>
      </c>
      <c r="P219" s="5" t="n">
        <v>5</v>
      </c>
      <c r="Q219" s="6" t="n">
        <v>1021.28</v>
      </c>
      <c r="R219" s="3" t="s">
        <v>203</v>
      </c>
      <c r="S219" s="7" t="n">
        <v>0.1</v>
      </c>
      <c r="T219" s="3" t="s">
        <v>51</v>
      </c>
      <c r="U219" s="7" t="n">
        <f aca="false">IF(T219="Valid",S219,0)</f>
        <v>0.1</v>
      </c>
      <c r="V219" s="6" t="n">
        <v>4595.76</v>
      </c>
      <c r="W219" s="6" t="n">
        <v>3396.8</v>
      </c>
      <c r="X219" s="6" t="n">
        <v>1198.96</v>
      </c>
      <c r="Y219" s="6" t="n">
        <f aca="false">P219*Q219*(1-U219)</f>
        <v>4595.76</v>
      </c>
      <c r="Z219" s="6" t="n">
        <f aca="false">Y219-W219</f>
        <v>1198.96</v>
      </c>
      <c r="AA219" s="8" t="n">
        <f aca="false">IF(Y219=0,0,Z219/Y219)</f>
        <v>0.260883945201664</v>
      </c>
      <c r="AB219" s="3" t="str">
        <f aca="false">IF(ABS(V219-Y219)&gt;1,"Mismatch","OK")</f>
        <v>OK</v>
      </c>
      <c r="AC219" s="3" t="str">
        <f aca="false">IF(ABS(X219-Z219)&gt;1,"Mismatch","OK")</f>
        <v>OK</v>
      </c>
      <c r="AD219" s="5" t="n">
        <f aca="false">IF(OR(B219="",C219=""),"",C219-B219)</f>
        <v>7</v>
      </c>
      <c r="AE219" s="3" t="str">
        <f aca="false">IF(AD219="","Unknown",IF(AD219&lt;0,"Invalid - Ship Before Order","OK"))</f>
        <v>OK</v>
      </c>
      <c r="AF219" s="5" t="n">
        <f aca="false">IF(B219="","",MONTH(B219))</f>
        <v>4</v>
      </c>
      <c r="AG219" s="5" t="n">
        <f aca="false">IF(B219="","",YEAR(B219))</f>
        <v>2025</v>
      </c>
      <c r="AH219" s="3" t="s">
        <v>129</v>
      </c>
      <c r="AI219" s="3" t="s">
        <v>93</v>
      </c>
      <c r="AJ219" s="3" t="str">
        <f aca="false">IF(AND(AI219="Completed",AH219="Failed"),"Inconsistent - Completed Order with Failed Payment","OK")</f>
        <v>OK</v>
      </c>
      <c r="AK219" s="3" t="s">
        <v>54</v>
      </c>
      <c r="AL219" s="3" t="str">
        <f aca="false">IF(OR(T219="Negative - Invalid",T219="Above Allowed Range - Invalid",AE219="Invalid - Ship Before Order",AK219&lt;&gt;"Unique",AB219="Mismatch",AC219="Mismatch",AJ219&lt;&gt;"OK"),"Invalid",IF(OR(H219="Yes",O219="Yes",T219="Missing"),"Warning","Clean"))</f>
        <v>Clean</v>
      </c>
    </row>
    <row r="220" customFormat="false" ht="15" hidden="false" customHeight="true" outlineLevel="0" collapsed="false">
      <c r="A220" s="3" t="s">
        <v>800</v>
      </c>
      <c r="B220" s="4" t="n">
        <v>45714</v>
      </c>
      <c r="C220" s="4" t="n">
        <v>45715</v>
      </c>
      <c r="D220" s="3" t="s">
        <v>801</v>
      </c>
      <c r="E220" s="3" t="s">
        <v>141</v>
      </c>
      <c r="F220" s="3" t="s">
        <v>116</v>
      </c>
      <c r="G220" s="3" t="s">
        <v>88</v>
      </c>
      <c r="H220" s="3" t="s">
        <v>43</v>
      </c>
      <c r="I220" s="3" t="s">
        <v>211</v>
      </c>
      <c r="J220" s="3" t="s">
        <v>212</v>
      </c>
      <c r="K220" s="3" t="s">
        <v>62</v>
      </c>
      <c r="L220" s="3" t="s">
        <v>188</v>
      </c>
      <c r="M220" s="3" t="s">
        <v>802</v>
      </c>
      <c r="N220" s="3" t="s">
        <v>83</v>
      </c>
      <c r="O220" s="3" t="s">
        <v>43</v>
      </c>
      <c r="P220" s="5" t="n">
        <v>5</v>
      </c>
      <c r="Q220" s="6" t="n">
        <v>258.28</v>
      </c>
      <c r="R220" s="3" t="s">
        <v>66</v>
      </c>
      <c r="S220" s="7" t="n">
        <v>0</v>
      </c>
      <c r="T220" s="3" t="s">
        <v>51</v>
      </c>
      <c r="U220" s="7" t="n">
        <f aca="false">IF(T220="Valid",S220,0)</f>
        <v>0</v>
      </c>
      <c r="V220" s="6" t="n">
        <v>1291.4</v>
      </c>
      <c r="W220" s="6" t="n">
        <v>756.93</v>
      </c>
      <c r="X220" s="6" t="n">
        <v>534.47</v>
      </c>
      <c r="Y220" s="6" t="n">
        <f aca="false">P220*Q220*(1-U220)</f>
        <v>1291.4</v>
      </c>
      <c r="Z220" s="6" t="n">
        <f aca="false">Y220-W220</f>
        <v>534.47</v>
      </c>
      <c r="AA220" s="8" t="n">
        <f aca="false">IF(Y220=0,0,Z220/Y220)</f>
        <v>0.413868669660833</v>
      </c>
      <c r="AB220" s="3" t="str">
        <f aca="false">IF(ABS(V220-Y220)&gt;1,"Mismatch","OK")</f>
        <v>OK</v>
      </c>
      <c r="AC220" s="3" t="str">
        <f aca="false">IF(ABS(X220-Z220)&gt;1,"Mismatch","OK")</f>
        <v>OK</v>
      </c>
      <c r="AD220" s="5" t="n">
        <f aca="false">IF(OR(B220="",C220=""),"",C220-B220)</f>
        <v>1</v>
      </c>
      <c r="AE220" s="3" t="str">
        <f aca="false">IF(AD220="","Unknown",IF(AD220&lt;0,"Invalid - Ship Before Order","OK"))</f>
        <v>OK</v>
      </c>
      <c r="AF220" s="5" t="n">
        <f aca="false">IF(B220="","",MONTH(B220))</f>
        <v>2</v>
      </c>
      <c r="AG220" s="5" t="n">
        <f aca="false">IF(B220="","",YEAR(B220))</f>
        <v>2025</v>
      </c>
      <c r="AH220" s="3" t="s">
        <v>52</v>
      </c>
      <c r="AI220" s="3" t="s">
        <v>53</v>
      </c>
      <c r="AJ220" s="3" t="str">
        <f aca="false">IF(AND(AI220="Completed",AH220="Failed"),"Inconsistent - Completed Order with Failed Payment","OK")</f>
        <v>OK</v>
      </c>
      <c r="AK220" s="3" t="s">
        <v>54</v>
      </c>
      <c r="AL220" s="3" t="str">
        <f aca="false">IF(OR(T220="Negative - Invalid",T220="Above Allowed Range - Invalid",AE220="Invalid - Ship Before Order",AK220&lt;&gt;"Unique",AB220="Mismatch",AC220="Mismatch",AJ220&lt;&gt;"OK"),"Invalid",IF(OR(H220="Yes",O220="Yes",T220="Missing"),"Warning","Clean"))</f>
        <v>Clean</v>
      </c>
    </row>
    <row r="221" customFormat="false" ht="15" hidden="false" customHeight="true" outlineLevel="0" collapsed="false">
      <c r="A221" s="3" t="s">
        <v>803</v>
      </c>
      <c r="B221" s="4" t="n">
        <v>45461</v>
      </c>
      <c r="C221" s="4" t="n">
        <v>45462</v>
      </c>
      <c r="D221" s="3" t="s">
        <v>804</v>
      </c>
      <c r="E221" s="3" t="s">
        <v>145</v>
      </c>
      <c r="F221" s="3" t="s">
        <v>41</v>
      </c>
      <c r="G221" s="3" t="s">
        <v>59</v>
      </c>
      <c r="H221" s="3" t="s">
        <v>43</v>
      </c>
      <c r="I221" s="3" t="s">
        <v>174</v>
      </c>
      <c r="J221" s="3" t="s">
        <v>175</v>
      </c>
      <c r="K221" s="3" t="s">
        <v>99</v>
      </c>
      <c r="L221" s="3" t="s">
        <v>308</v>
      </c>
      <c r="M221" s="3" t="s">
        <v>805</v>
      </c>
      <c r="N221" s="3" t="s">
        <v>72</v>
      </c>
      <c r="O221" s="3" t="s">
        <v>43</v>
      </c>
      <c r="P221" s="5" t="n">
        <v>2</v>
      </c>
      <c r="Q221" s="6" t="n">
        <v>121.49</v>
      </c>
      <c r="R221" s="3" t="s">
        <v>806</v>
      </c>
      <c r="S221" s="7" t="n">
        <v>0.85</v>
      </c>
      <c r="T221" s="3" t="s">
        <v>74</v>
      </c>
      <c r="U221" s="7" t="n">
        <f aca="false">IF(T221="Valid",S221,0)</f>
        <v>0</v>
      </c>
      <c r="V221" s="6" t="n">
        <v>242.98</v>
      </c>
      <c r="W221" s="6" t="n">
        <v>161.42</v>
      </c>
      <c r="X221" s="6" t="n">
        <v>81.56</v>
      </c>
      <c r="Y221" s="6" t="n">
        <f aca="false">P221*Q221*(1-U221)</f>
        <v>242.98</v>
      </c>
      <c r="Z221" s="6" t="n">
        <f aca="false">Y221-W221</f>
        <v>81.56</v>
      </c>
      <c r="AA221" s="8" t="n">
        <f aca="false">IF(Y221=0,0,Z221/Y221)</f>
        <v>0.335665486871347</v>
      </c>
      <c r="AB221" s="3" t="str">
        <f aca="false">IF(ABS(V221-Y221)&gt;1,"Mismatch","OK")</f>
        <v>OK</v>
      </c>
      <c r="AC221" s="3" t="str">
        <f aca="false">IF(ABS(X221-Z221)&gt;1,"Mismatch","OK")</f>
        <v>OK</v>
      </c>
      <c r="AD221" s="5" t="n">
        <f aca="false">IF(OR(B221="",C221=""),"",C221-B221)</f>
        <v>1</v>
      </c>
      <c r="AE221" s="3" t="str">
        <f aca="false">IF(AD221="","Unknown",IF(AD221&lt;0,"Invalid - Ship Before Order","OK"))</f>
        <v>OK</v>
      </c>
      <c r="AF221" s="5" t="n">
        <f aca="false">IF(B221="","",MONTH(B221))</f>
        <v>6</v>
      </c>
      <c r="AG221" s="5" t="n">
        <f aca="false">IF(B221="","",YEAR(B221))</f>
        <v>2024</v>
      </c>
      <c r="AH221" s="3" t="s">
        <v>52</v>
      </c>
      <c r="AI221" s="3" t="s">
        <v>53</v>
      </c>
      <c r="AJ221" s="3" t="str">
        <f aca="false">IF(AND(AI221="Completed",AH221="Failed"),"Inconsistent - Completed Order with Failed Payment","OK")</f>
        <v>OK</v>
      </c>
      <c r="AK221" s="3" t="s">
        <v>54</v>
      </c>
      <c r="AL221" s="3" t="str">
        <f aca="false">IF(OR(T221="Negative - Invalid",T221="Above Allowed Range - Invalid",AE221="Invalid - Ship Before Order",AK221&lt;&gt;"Unique",AB221="Mismatch",AC221="Mismatch",AJ221&lt;&gt;"OK"),"Invalid",IF(OR(H221="Yes",O221="Yes",T221="Missing"),"Warning","Clean"))</f>
        <v>Invalid</v>
      </c>
    </row>
    <row r="222" customFormat="false" ht="15" hidden="false" customHeight="true" outlineLevel="0" collapsed="false">
      <c r="A222" s="3" t="s">
        <v>807</v>
      </c>
      <c r="B222" s="4" t="n">
        <v>45538</v>
      </c>
      <c r="C222" s="4" t="n">
        <v>45538</v>
      </c>
      <c r="D222" s="3" t="s">
        <v>808</v>
      </c>
      <c r="E222" s="3" t="s">
        <v>159</v>
      </c>
      <c r="F222" s="3" t="s">
        <v>41</v>
      </c>
      <c r="G222" s="3" t="s">
        <v>78</v>
      </c>
      <c r="H222" s="3" t="s">
        <v>43</v>
      </c>
      <c r="I222" s="3" t="s">
        <v>216</v>
      </c>
      <c r="J222" s="3" t="s">
        <v>217</v>
      </c>
      <c r="K222" s="3" t="s">
        <v>46</v>
      </c>
      <c r="L222" s="3" t="s">
        <v>151</v>
      </c>
      <c r="M222" s="3" t="s">
        <v>809</v>
      </c>
      <c r="N222" s="3" t="s">
        <v>72</v>
      </c>
      <c r="O222" s="3" t="s">
        <v>43</v>
      </c>
      <c r="P222" s="5" t="n">
        <v>4</v>
      </c>
      <c r="Q222" s="6" t="n">
        <v>2810.17</v>
      </c>
      <c r="R222" s="3" t="s">
        <v>107</v>
      </c>
      <c r="S222" s="7" t="n">
        <v>0.15</v>
      </c>
      <c r="T222" s="3" t="s">
        <v>51</v>
      </c>
      <c r="U222" s="7" t="n">
        <f aca="false">IF(T222="Valid",S222,0)</f>
        <v>0.15</v>
      </c>
      <c r="V222" s="6" t="n">
        <v>9554.58</v>
      </c>
      <c r="W222" s="6" t="n">
        <v>6068.47</v>
      </c>
      <c r="X222" s="6" t="n">
        <v>3486.11</v>
      </c>
      <c r="Y222" s="6" t="n">
        <f aca="false">P222*Q222*(1-U222)</f>
        <v>9554.578</v>
      </c>
      <c r="Z222" s="6" t="n">
        <f aca="false">Y222-W222</f>
        <v>3486.108</v>
      </c>
      <c r="AA222" s="8" t="n">
        <f aca="false">IF(Y222=0,0,Z222/Y222)</f>
        <v>0.36486258210462</v>
      </c>
      <c r="AB222" s="3" t="str">
        <f aca="false">IF(ABS(V222-Y222)&gt;1,"Mismatch","OK")</f>
        <v>OK</v>
      </c>
      <c r="AC222" s="3" t="str">
        <f aca="false">IF(ABS(X222-Z222)&gt;1,"Mismatch","OK")</f>
        <v>OK</v>
      </c>
      <c r="AD222" s="5" t="n">
        <f aca="false">IF(OR(B222="",C222=""),"",C222-B222)</f>
        <v>0</v>
      </c>
      <c r="AE222" s="3" t="str">
        <f aca="false">IF(AD222="","Unknown",IF(AD222&lt;0,"Invalid - Ship Before Order","OK"))</f>
        <v>OK</v>
      </c>
      <c r="AF222" s="5" t="n">
        <f aca="false">IF(B222="","",MONTH(B222))</f>
        <v>9</v>
      </c>
      <c r="AG222" s="5" t="n">
        <f aca="false">IF(B222="","",YEAR(B222))</f>
        <v>2024</v>
      </c>
      <c r="AH222" s="3" t="s">
        <v>129</v>
      </c>
      <c r="AI222" s="3" t="s">
        <v>93</v>
      </c>
      <c r="AJ222" s="3" t="str">
        <f aca="false">IF(AND(AI222="Completed",AH222="Failed"),"Inconsistent - Completed Order with Failed Payment","OK")</f>
        <v>OK</v>
      </c>
      <c r="AK222" s="3" t="s">
        <v>54</v>
      </c>
      <c r="AL222" s="3" t="str">
        <f aca="false">IF(OR(T222="Negative - Invalid",T222="Above Allowed Range - Invalid",AE222="Invalid - Ship Before Order",AK222&lt;&gt;"Unique",AB222="Mismatch",AC222="Mismatch",AJ222&lt;&gt;"OK"),"Invalid",IF(OR(H222="Yes",O222="Yes",T222="Missing"),"Warning","Clean"))</f>
        <v>Clean</v>
      </c>
    </row>
    <row r="223" customFormat="false" ht="15" hidden="false" customHeight="true" outlineLevel="0" collapsed="false">
      <c r="A223" s="3" t="s">
        <v>810</v>
      </c>
      <c r="B223" s="4" t="n">
        <v>45669</v>
      </c>
      <c r="C223" s="4" t="n">
        <v>45672</v>
      </c>
      <c r="D223" s="3" t="s">
        <v>811</v>
      </c>
      <c r="E223" s="3" t="s">
        <v>57</v>
      </c>
      <c r="F223" s="3" t="s">
        <v>116</v>
      </c>
      <c r="G223" s="3" t="s">
        <v>78</v>
      </c>
      <c r="H223" s="3" t="s">
        <v>43</v>
      </c>
      <c r="I223" s="3" t="s">
        <v>206</v>
      </c>
      <c r="J223" s="3" t="s">
        <v>207</v>
      </c>
      <c r="K223" s="3" t="s">
        <v>62</v>
      </c>
      <c r="L223" s="3" t="s">
        <v>91</v>
      </c>
      <c r="M223" s="3" t="s">
        <v>812</v>
      </c>
      <c r="N223" s="3" t="s">
        <v>65</v>
      </c>
      <c r="O223" s="3" t="s">
        <v>43</v>
      </c>
      <c r="P223" s="5" t="n">
        <v>4</v>
      </c>
      <c r="Q223" s="6" t="n">
        <v>1531.53</v>
      </c>
      <c r="R223" s="3" t="s">
        <v>50</v>
      </c>
      <c r="S223" s="7" t="n">
        <v>0.2</v>
      </c>
      <c r="T223" s="3" t="s">
        <v>51</v>
      </c>
      <c r="U223" s="7" t="n">
        <f aca="false">IF(T223="Valid",S223,0)</f>
        <v>0.2</v>
      </c>
      <c r="V223" s="6" t="n">
        <v>4900.9</v>
      </c>
      <c r="W223" s="6" t="n">
        <v>3552.69</v>
      </c>
      <c r="X223" s="6" t="n">
        <v>1348.21</v>
      </c>
      <c r="Y223" s="6" t="n">
        <f aca="false">P223*Q223*(1-U223)</f>
        <v>4900.896</v>
      </c>
      <c r="Z223" s="6" t="n">
        <f aca="false">Y223-W223</f>
        <v>1348.206</v>
      </c>
      <c r="AA223" s="8" t="n">
        <f aca="false">IF(Y223=0,0,Z223/Y223)</f>
        <v>0.275093778770249</v>
      </c>
      <c r="AB223" s="3" t="str">
        <f aca="false">IF(ABS(V223-Y223)&gt;1,"Mismatch","OK")</f>
        <v>OK</v>
      </c>
      <c r="AC223" s="3" t="str">
        <f aca="false">IF(ABS(X223-Z223)&gt;1,"Mismatch","OK")</f>
        <v>OK</v>
      </c>
      <c r="AD223" s="5" t="n">
        <f aca="false">IF(OR(B223="",C223=""),"",C223-B223)</f>
        <v>3</v>
      </c>
      <c r="AE223" s="3" t="str">
        <f aca="false">IF(AD223="","Unknown",IF(AD223&lt;0,"Invalid - Ship Before Order","OK"))</f>
        <v>OK</v>
      </c>
      <c r="AF223" s="5" t="n">
        <f aca="false">IF(B223="","",MONTH(B223))</f>
        <v>1</v>
      </c>
      <c r="AG223" s="5" t="n">
        <f aca="false">IF(B223="","",YEAR(B223))</f>
        <v>2025</v>
      </c>
      <c r="AH223" s="3" t="s">
        <v>52</v>
      </c>
      <c r="AI223" s="3" t="s">
        <v>53</v>
      </c>
      <c r="AJ223" s="3" t="str">
        <f aca="false">IF(AND(AI223="Completed",AH223="Failed"),"Inconsistent - Completed Order with Failed Payment","OK")</f>
        <v>OK</v>
      </c>
      <c r="AK223" s="3" t="s">
        <v>54</v>
      </c>
      <c r="AL223" s="3" t="str">
        <f aca="false">IF(OR(T223="Negative - Invalid",T223="Above Allowed Range - Invalid",AE223="Invalid - Ship Before Order",AK223&lt;&gt;"Unique",AB223="Mismatch",AC223="Mismatch",AJ223&lt;&gt;"OK"),"Invalid",IF(OR(H223="Yes",O223="Yes",T223="Missing"),"Warning","Clean"))</f>
        <v>Clean</v>
      </c>
    </row>
    <row r="224" customFormat="false" ht="15" hidden="false" customHeight="true" outlineLevel="0" collapsed="false">
      <c r="A224" s="3" t="s">
        <v>813</v>
      </c>
      <c r="B224" s="4" t="n">
        <v>45776</v>
      </c>
      <c r="C224" s="4" t="n">
        <v>45779</v>
      </c>
      <c r="D224" s="3" t="s">
        <v>814</v>
      </c>
      <c r="E224" s="3" t="s">
        <v>96</v>
      </c>
      <c r="F224" s="3" t="s">
        <v>58</v>
      </c>
      <c r="G224" s="3" t="s">
        <v>88</v>
      </c>
      <c r="H224" s="3" t="s">
        <v>43</v>
      </c>
      <c r="I224" s="3" t="s">
        <v>221</v>
      </c>
      <c r="J224" s="3" t="s">
        <v>222</v>
      </c>
      <c r="K224" s="3" t="s">
        <v>46</v>
      </c>
      <c r="L224" s="3" t="s">
        <v>151</v>
      </c>
      <c r="M224" s="3" t="s">
        <v>815</v>
      </c>
      <c r="N224" s="3" t="s">
        <v>72</v>
      </c>
      <c r="O224" s="3" t="s">
        <v>43</v>
      </c>
      <c r="P224" s="5" t="n">
        <v>6</v>
      </c>
      <c r="Q224" s="6" t="n">
        <v>4308.09</v>
      </c>
      <c r="R224" s="3" t="s">
        <v>66</v>
      </c>
      <c r="S224" s="7" t="n">
        <v>0</v>
      </c>
      <c r="T224" s="3" t="s">
        <v>51</v>
      </c>
      <c r="U224" s="7" t="n">
        <f aca="false">IF(T224="Valid",S224,0)</f>
        <v>0</v>
      </c>
      <c r="V224" s="6" t="n">
        <v>25848.54</v>
      </c>
      <c r="W224" s="6" t="n">
        <v>17729.09</v>
      </c>
      <c r="X224" s="6" t="n">
        <v>8119.45</v>
      </c>
      <c r="Y224" s="6" t="n">
        <f aca="false">P224*Q224*(1-U224)</f>
        <v>25848.54</v>
      </c>
      <c r="Z224" s="6" t="n">
        <f aca="false">Y224-W224</f>
        <v>8119.45</v>
      </c>
      <c r="AA224" s="8" t="n">
        <f aca="false">IF(Y224=0,0,Z224/Y224)</f>
        <v>0.314116387231155</v>
      </c>
      <c r="AB224" s="3" t="str">
        <f aca="false">IF(ABS(V224-Y224)&gt;1,"Mismatch","OK")</f>
        <v>OK</v>
      </c>
      <c r="AC224" s="3" t="str">
        <f aca="false">IF(ABS(X224-Z224)&gt;1,"Mismatch","OK")</f>
        <v>OK</v>
      </c>
      <c r="AD224" s="5" t="n">
        <f aca="false">IF(OR(B224="",C224=""),"",C224-B224)</f>
        <v>3</v>
      </c>
      <c r="AE224" s="3" t="str">
        <f aca="false">IF(AD224="","Unknown",IF(AD224&lt;0,"Invalid - Ship Before Order","OK"))</f>
        <v>OK</v>
      </c>
      <c r="AF224" s="5" t="n">
        <f aca="false">IF(B224="","",MONTH(B224))</f>
        <v>4</v>
      </c>
      <c r="AG224" s="5" t="n">
        <f aca="false">IF(B224="","",YEAR(B224))</f>
        <v>2025</v>
      </c>
      <c r="AH224" s="3" t="s">
        <v>52</v>
      </c>
      <c r="AI224" s="3" t="s">
        <v>53</v>
      </c>
      <c r="AJ224" s="3" t="str">
        <f aca="false">IF(AND(AI224="Completed",AH224="Failed"),"Inconsistent - Completed Order with Failed Payment","OK")</f>
        <v>OK</v>
      </c>
      <c r="AK224" s="3" t="s">
        <v>54</v>
      </c>
      <c r="AL224" s="3" t="str">
        <f aca="false">IF(OR(T224="Negative - Invalid",T224="Above Allowed Range - Invalid",AE224="Invalid - Ship Before Order",AK224&lt;&gt;"Unique",AB224="Mismatch",AC224="Mismatch",AJ224&lt;&gt;"OK"),"Invalid",IF(OR(H224="Yes",O224="Yes",T224="Missing"),"Warning","Clean"))</f>
        <v>Clean</v>
      </c>
    </row>
    <row r="225" customFormat="false" ht="15" hidden="false" customHeight="true" outlineLevel="0" collapsed="false">
      <c r="A225" s="3" t="s">
        <v>816</v>
      </c>
      <c r="B225" s="4" t="n">
        <v>45707</v>
      </c>
      <c r="C225" s="4" t="n">
        <v>45714</v>
      </c>
      <c r="D225" s="3" t="s">
        <v>817</v>
      </c>
      <c r="E225" s="3" t="s">
        <v>57</v>
      </c>
      <c r="F225" s="3" t="s">
        <v>116</v>
      </c>
      <c r="G225" s="3" t="s">
        <v>88</v>
      </c>
      <c r="H225" s="3" t="s">
        <v>43</v>
      </c>
      <c r="I225" s="3" t="s">
        <v>89</v>
      </c>
      <c r="J225" s="3" t="s">
        <v>90</v>
      </c>
      <c r="K225" s="3" t="s">
        <v>62</v>
      </c>
      <c r="L225" s="3" t="s">
        <v>81</v>
      </c>
      <c r="M225" s="3" t="s">
        <v>818</v>
      </c>
      <c r="N225" s="3" t="s">
        <v>72</v>
      </c>
      <c r="O225" s="3" t="s">
        <v>43</v>
      </c>
      <c r="P225" s="5" t="n">
        <v>3</v>
      </c>
      <c r="Q225" s="6" t="n">
        <v>490.3</v>
      </c>
      <c r="R225" s="3" t="s">
        <v>50</v>
      </c>
      <c r="S225" s="7" t="n">
        <v>0.2</v>
      </c>
      <c r="T225" s="3" t="s">
        <v>51</v>
      </c>
      <c r="U225" s="7" t="n">
        <f aca="false">IF(T225="Valid",S225,0)</f>
        <v>0.2</v>
      </c>
      <c r="V225" s="6" t="n">
        <v>1176.72</v>
      </c>
      <c r="W225" s="6" t="n">
        <v>654.33</v>
      </c>
      <c r="X225" s="6" t="n">
        <v>522.39</v>
      </c>
      <c r="Y225" s="6" t="n">
        <f aca="false">P225*Q225*(1-U225)</f>
        <v>1176.72</v>
      </c>
      <c r="Z225" s="6" t="n">
        <f aca="false">Y225-W225</f>
        <v>522.39</v>
      </c>
      <c r="AA225" s="8" t="n">
        <f aca="false">IF(Y225=0,0,Z225/Y225)</f>
        <v>0.443937385274322</v>
      </c>
      <c r="AB225" s="3" t="str">
        <f aca="false">IF(ABS(V225-Y225)&gt;1,"Mismatch","OK")</f>
        <v>OK</v>
      </c>
      <c r="AC225" s="3" t="str">
        <f aca="false">IF(ABS(X225-Z225)&gt;1,"Mismatch","OK")</f>
        <v>OK</v>
      </c>
      <c r="AD225" s="5" t="n">
        <f aca="false">IF(OR(B225="",C225=""),"",C225-B225)</f>
        <v>7</v>
      </c>
      <c r="AE225" s="3" t="str">
        <f aca="false">IF(AD225="","Unknown",IF(AD225&lt;0,"Invalid - Ship Before Order","OK"))</f>
        <v>OK</v>
      </c>
      <c r="AF225" s="5" t="n">
        <f aca="false">IF(B225="","",MONTH(B225))</f>
        <v>2</v>
      </c>
      <c r="AG225" s="5" t="n">
        <f aca="false">IF(B225="","",YEAR(B225))</f>
        <v>2025</v>
      </c>
      <c r="AH225" s="3" t="s">
        <v>138</v>
      </c>
      <c r="AI225" s="3" t="s">
        <v>130</v>
      </c>
      <c r="AJ225" s="3" t="str">
        <f aca="false">IF(AND(AI225="Completed",AH225="Failed"),"Inconsistent - Completed Order with Failed Payment","OK")</f>
        <v>OK</v>
      </c>
      <c r="AK225" s="3" t="s">
        <v>54</v>
      </c>
      <c r="AL225" s="3" t="str">
        <f aca="false">IF(OR(T225="Negative - Invalid",T225="Above Allowed Range - Invalid",AE225="Invalid - Ship Before Order",AK225&lt;&gt;"Unique",AB225="Mismatch",AC225="Mismatch",AJ225&lt;&gt;"OK"),"Invalid",IF(OR(H225="Yes",O225="Yes",T225="Missing"),"Warning","Clean"))</f>
        <v>Clean</v>
      </c>
    </row>
    <row r="226" customFormat="false" ht="15" hidden="false" customHeight="true" outlineLevel="0" collapsed="false">
      <c r="A226" s="3" t="s">
        <v>819</v>
      </c>
      <c r="B226" s="4" t="n">
        <v>45932</v>
      </c>
      <c r="C226" s="4" t="n">
        <v>45938</v>
      </c>
      <c r="D226" s="3" t="s">
        <v>820</v>
      </c>
      <c r="E226" s="3" t="s">
        <v>69</v>
      </c>
      <c r="F226" s="3" t="s">
        <v>58</v>
      </c>
      <c r="G226" s="3" t="s">
        <v>42</v>
      </c>
      <c r="H226" s="3" t="s">
        <v>43</v>
      </c>
      <c r="I226" s="3" t="s">
        <v>149</v>
      </c>
      <c r="J226" s="3" t="s">
        <v>150</v>
      </c>
      <c r="K226" s="3" t="s">
        <v>62</v>
      </c>
      <c r="L226" s="3" t="s">
        <v>81</v>
      </c>
      <c r="M226" s="3" t="s">
        <v>821</v>
      </c>
      <c r="N226" s="3" t="s">
        <v>83</v>
      </c>
      <c r="O226" s="3" t="s">
        <v>43</v>
      </c>
      <c r="P226" s="5" t="n">
        <v>4</v>
      </c>
      <c r="Q226" s="6" t="n">
        <v>3944.64</v>
      </c>
      <c r="R226" s="3" t="s">
        <v>84</v>
      </c>
      <c r="S226" s="7" t="n">
        <v>0.25</v>
      </c>
      <c r="T226" s="3" t="s">
        <v>51</v>
      </c>
      <c r="U226" s="7" t="n">
        <f aca="false">IF(T226="Valid",S226,0)</f>
        <v>0.25</v>
      </c>
      <c r="V226" s="6" t="n">
        <v>11833.92</v>
      </c>
      <c r="W226" s="6" t="n">
        <v>6682.92</v>
      </c>
      <c r="X226" s="6" t="n">
        <v>5151</v>
      </c>
      <c r="Y226" s="6" t="n">
        <f aca="false">P226*Q226*(1-U226)</f>
        <v>11833.92</v>
      </c>
      <c r="Z226" s="6" t="n">
        <f aca="false">Y226-W226</f>
        <v>5151</v>
      </c>
      <c r="AA226" s="8" t="n">
        <f aca="false">IF(Y226=0,0,Z226/Y226)</f>
        <v>0.435274194856818</v>
      </c>
      <c r="AB226" s="3" t="str">
        <f aca="false">IF(ABS(V226-Y226)&gt;1,"Mismatch","OK")</f>
        <v>OK</v>
      </c>
      <c r="AC226" s="3" t="str">
        <f aca="false">IF(ABS(X226-Z226)&gt;1,"Mismatch","OK")</f>
        <v>OK</v>
      </c>
      <c r="AD226" s="5" t="n">
        <f aca="false">IF(OR(B226="",C226=""),"",C226-B226)</f>
        <v>6</v>
      </c>
      <c r="AE226" s="3" t="str">
        <f aca="false">IF(AD226="","Unknown",IF(AD226&lt;0,"Invalid - Ship Before Order","OK"))</f>
        <v>OK</v>
      </c>
      <c r="AF226" s="5" t="n">
        <f aca="false">IF(B226="","",MONTH(B226))</f>
        <v>10</v>
      </c>
      <c r="AG226" s="5" t="n">
        <f aca="false">IF(B226="","",YEAR(B226))</f>
        <v>2025</v>
      </c>
      <c r="AH226" s="3" t="s">
        <v>52</v>
      </c>
      <c r="AI226" s="3" t="s">
        <v>93</v>
      </c>
      <c r="AJ226" s="3" t="str">
        <f aca="false">IF(AND(AI226="Completed",AH226="Failed"),"Inconsistent - Completed Order with Failed Payment","OK")</f>
        <v>OK</v>
      </c>
      <c r="AK226" s="3" t="s">
        <v>417</v>
      </c>
      <c r="AL226" s="3" t="str">
        <f aca="false">IF(OR(T226="Negative - Invalid",T226="Above Allowed Range - Invalid",AE226="Invalid - Ship Before Order",AK226&lt;&gt;"Unique",AB226="Mismatch",AC226="Mismatch",AJ226&lt;&gt;"OK"),"Invalid",IF(OR(H226="Yes",O226="Yes",T226="Missing"),"Warning","Clean"))</f>
        <v>Invalid</v>
      </c>
    </row>
    <row r="227" customFormat="false" ht="15" hidden="false" customHeight="true" outlineLevel="0" collapsed="false">
      <c r="A227" s="3" t="s">
        <v>822</v>
      </c>
      <c r="B227" s="4" t="n">
        <v>45537</v>
      </c>
      <c r="C227" s="4" t="n">
        <v>45545</v>
      </c>
      <c r="D227" s="3" t="s">
        <v>823</v>
      </c>
      <c r="E227" s="3" t="s">
        <v>57</v>
      </c>
      <c r="F227" s="3" t="s">
        <v>116</v>
      </c>
      <c r="G227" s="3" t="s">
        <v>88</v>
      </c>
      <c r="H227" s="3" t="s">
        <v>43</v>
      </c>
      <c r="I227" s="3" t="s">
        <v>221</v>
      </c>
      <c r="J227" s="3" t="s">
        <v>222</v>
      </c>
      <c r="K227" s="3" t="s">
        <v>99</v>
      </c>
      <c r="L227" s="3" t="s">
        <v>201</v>
      </c>
      <c r="M227" s="3" t="s">
        <v>824</v>
      </c>
      <c r="N227" s="3" t="s">
        <v>83</v>
      </c>
      <c r="O227" s="3" t="s">
        <v>43</v>
      </c>
      <c r="P227" s="5" t="n">
        <v>6</v>
      </c>
      <c r="Q227" s="6" t="n">
        <v>1032.47</v>
      </c>
      <c r="R227" s="3" t="s">
        <v>107</v>
      </c>
      <c r="S227" s="7" t="n">
        <v>0.15</v>
      </c>
      <c r="T227" s="3" t="s">
        <v>51</v>
      </c>
      <c r="U227" s="7" t="n">
        <f aca="false">IF(T227="Valid",S227,0)</f>
        <v>0.15</v>
      </c>
      <c r="V227" s="6" t="n">
        <v>5265.6</v>
      </c>
      <c r="W227" s="6" t="n">
        <v>4293.11</v>
      </c>
      <c r="X227" s="6" t="n">
        <v>787.57</v>
      </c>
      <c r="Y227" s="6" t="n">
        <f aca="false">P227*Q227*(1-U227)</f>
        <v>5265.597</v>
      </c>
      <c r="Z227" s="6" t="n">
        <f aca="false">Y227-W227</f>
        <v>972.487</v>
      </c>
      <c r="AA227" s="8" t="n">
        <f aca="false">IF(Y227=0,0,Z227/Y227)</f>
        <v>0.18468694053115</v>
      </c>
      <c r="AB227" s="3" t="str">
        <f aca="false">IF(ABS(V227-Y227)&gt;1,"Mismatch","OK")</f>
        <v>OK</v>
      </c>
      <c r="AC227" s="3" t="str">
        <f aca="false">IF(ABS(X227-Z227)&gt;1,"Mismatch","OK")</f>
        <v>Mismatch</v>
      </c>
      <c r="AD227" s="5" t="n">
        <f aca="false">IF(OR(B227="",C227=""),"",C227-B227)</f>
        <v>8</v>
      </c>
      <c r="AE227" s="3" t="str">
        <f aca="false">IF(AD227="","Unknown",IF(AD227&lt;0,"Invalid - Ship Before Order","OK"))</f>
        <v>OK</v>
      </c>
      <c r="AF227" s="5" t="n">
        <f aca="false">IF(B227="","",MONTH(B227))</f>
        <v>9</v>
      </c>
      <c r="AG227" s="5" t="n">
        <f aca="false">IF(B227="","",YEAR(B227))</f>
        <v>2024</v>
      </c>
      <c r="AH227" s="3" t="s">
        <v>52</v>
      </c>
      <c r="AI227" s="3" t="s">
        <v>53</v>
      </c>
      <c r="AJ227" s="3" t="str">
        <f aca="false">IF(AND(AI227="Completed",AH227="Failed"),"Inconsistent - Completed Order with Failed Payment","OK")</f>
        <v>OK</v>
      </c>
      <c r="AK227" s="3" t="s">
        <v>54</v>
      </c>
      <c r="AL227" s="3" t="str">
        <f aca="false">IF(OR(T227="Negative - Invalid",T227="Above Allowed Range - Invalid",AE227="Invalid - Ship Before Order",AK227&lt;&gt;"Unique",AB227="Mismatch",AC227="Mismatch",AJ227&lt;&gt;"OK"),"Invalid",IF(OR(H227="Yes",O227="Yes",T227="Missing"),"Warning","Clean"))</f>
        <v>Invalid</v>
      </c>
    </row>
    <row r="228" customFormat="false" ht="15" hidden="false" customHeight="true" outlineLevel="0" collapsed="false">
      <c r="A228" s="3" t="s">
        <v>825</v>
      </c>
      <c r="B228" s="4" t="n">
        <v>45757</v>
      </c>
      <c r="C228" s="4" t="n">
        <v>45762</v>
      </c>
      <c r="D228" s="3" t="s">
        <v>826</v>
      </c>
      <c r="E228" s="3" t="s">
        <v>192</v>
      </c>
      <c r="F228" s="3" t="s">
        <v>121</v>
      </c>
      <c r="G228" s="3" t="s">
        <v>237</v>
      </c>
      <c r="H228" s="3" t="s">
        <v>238</v>
      </c>
      <c r="I228" s="3" t="s">
        <v>216</v>
      </c>
      <c r="J228" s="3" t="s">
        <v>217</v>
      </c>
      <c r="K228" s="3" t="s">
        <v>99</v>
      </c>
      <c r="L228" s="3" t="s">
        <v>105</v>
      </c>
      <c r="M228" s="3" t="s">
        <v>827</v>
      </c>
      <c r="N228" s="3" t="s">
        <v>65</v>
      </c>
      <c r="O228" s="3" t="s">
        <v>43</v>
      </c>
      <c r="P228" s="5" t="n">
        <v>1</v>
      </c>
      <c r="Q228" s="6" t="n">
        <v>2208.27</v>
      </c>
      <c r="R228" s="3" t="s">
        <v>203</v>
      </c>
      <c r="S228" s="7" t="n">
        <v>0.1</v>
      </c>
      <c r="T228" s="3" t="s">
        <v>51</v>
      </c>
      <c r="U228" s="7" t="n">
        <f aca="false">IF(T228="Valid",S228,0)</f>
        <v>0.1</v>
      </c>
      <c r="V228" s="6" t="n">
        <v>1987.44</v>
      </c>
      <c r="W228" s="6" t="n">
        <v>1110.23</v>
      </c>
      <c r="X228" s="6" t="n">
        <v>877.21</v>
      </c>
      <c r="Y228" s="6" t="n">
        <f aca="false">P228*Q228*(1-U228)</f>
        <v>1987.443</v>
      </c>
      <c r="Z228" s="6" t="n">
        <f aca="false">Y228-W228</f>
        <v>877.213</v>
      </c>
      <c r="AA228" s="8" t="n">
        <f aca="false">IF(Y228=0,0,Z228/Y228)</f>
        <v>0.44137768982557</v>
      </c>
      <c r="AB228" s="3" t="str">
        <f aca="false">IF(ABS(V228-Y228)&gt;1,"Mismatch","OK")</f>
        <v>OK</v>
      </c>
      <c r="AC228" s="3" t="str">
        <f aca="false">IF(ABS(X228-Z228)&gt;1,"Mismatch","OK")</f>
        <v>OK</v>
      </c>
      <c r="AD228" s="5" t="n">
        <f aca="false">IF(OR(B228="",C228=""),"",C228-B228)</f>
        <v>5</v>
      </c>
      <c r="AE228" s="3" t="str">
        <f aca="false">IF(AD228="","Unknown",IF(AD228&lt;0,"Invalid - Ship Before Order","OK"))</f>
        <v>OK</v>
      </c>
      <c r="AF228" s="5" t="n">
        <f aca="false">IF(B228="","",MONTH(B228))</f>
        <v>4</v>
      </c>
      <c r="AG228" s="5" t="n">
        <f aca="false">IF(B228="","",YEAR(B228))</f>
        <v>2025</v>
      </c>
      <c r="AH228" s="3" t="s">
        <v>52</v>
      </c>
      <c r="AI228" s="3" t="s">
        <v>53</v>
      </c>
      <c r="AJ228" s="3" t="str">
        <f aca="false">IF(AND(AI228="Completed",AH228="Failed"),"Inconsistent - Completed Order with Failed Payment","OK")</f>
        <v>OK</v>
      </c>
      <c r="AK228" s="3" t="s">
        <v>54</v>
      </c>
      <c r="AL228" s="3" t="str">
        <f aca="false">IF(OR(T228="Negative - Invalid",T228="Above Allowed Range - Invalid",AE228="Invalid - Ship Before Order",AK228&lt;&gt;"Unique",AB228="Mismatch",AC228="Mismatch",AJ228&lt;&gt;"OK"),"Invalid",IF(OR(H228="Yes",O228="Yes",T228="Missing"),"Warning","Clean"))</f>
        <v>Warning</v>
      </c>
    </row>
    <row r="229" customFormat="false" ht="15" hidden="false" customHeight="true" outlineLevel="0" collapsed="false">
      <c r="A229" s="3" t="s">
        <v>828</v>
      </c>
      <c r="B229" s="4" t="n">
        <v>45478</v>
      </c>
      <c r="C229" s="4" t="n">
        <v>45485</v>
      </c>
      <c r="D229" s="3" t="s">
        <v>829</v>
      </c>
      <c r="E229" s="3" t="s">
        <v>87</v>
      </c>
      <c r="F229" s="3" t="s">
        <v>58</v>
      </c>
      <c r="G229" s="3" t="s">
        <v>88</v>
      </c>
      <c r="H229" s="3" t="s">
        <v>43</v>
      </c>
      <c r="I229" s="3" t="s">
        <v>221</v>
      </c>
      <c r="J229" s="3" t="s">
        <v>222</v>
      </c>
      <c r="K229" s="3" t="s">
        <v>46</v>
      </c>
      <c r="L229" s="3" t="s">
        <v>183</v>
      </c>
      <c r="M229" s="3" t="s">
        <v>830</v>
      </c>
      <c r="N229" s="3" t="s">
        <v>72</v>
      </c>
      <c r="O229" s="3" t="s">
        <v>43</v>
      </c>
      <c r="P229" s="5" t="n">
        <v>3</v>
      </c>
      <c r="Q229" s="6" t="n">
        <v>577.75</v>
      </c>
      <c r="R229" s="3" t="s">
        <v>107</v>
      </c>
      <c r="S229" s="7" t="n">
        <v>0.15</v>
      </c>
      <c r="T229" s="3" t="s">
        <v>51</v>
      </c>
      <c r="U229" s="7" t="n">
        <f aca="false">IF(T229="Valid",S229,0)</f>
        <v>0.15</v>
      </c>
      <c r="V229" s="6" t="n">
        <v>1473.26</v>
      </c>
      <c r="W229" s="6" t="n">
        <v>899.86</v>
      </c>
      <c r="X229" s="6" t="n">
        <v>573.4</v>
      </c>
      <c r="Y229" s="6" t="n">
        <f aca="false">P229*Q229*(1-U229)</f>
        <v>1473.2625</v>
      </c>
      <c r="Z229" s="6" t="n">
        <f aca="false">Y229-W229</f>
        <v>573.4025</v>
      </c>
      <c r="AA229" s="8" t="n">
        <f aca="false">IF(Y229=0,0,Z229/Y229)</f>
        <v>0.389205929018081</v>
      </c>
      <c r="AB229" s="3" t="str">
        <f aca="false">IF(ABS(V229-Y229)&gt;1,"Mismatch","OK")</f>
        <v>OK</v>
      </c>
      <c r="AC229" s="3" t="str">
        <f aca="false">IF(ABS(X229-Z229)&gt;1,"Mismatch","OK")</f>
        <v>OK</v>
      </c>
      <c r="AD229" s="5" t="n">
        <f aca="false">IF(OR(B229="",C229=""),"",C229-B229)</f>
        <v>7</v>
      </c>
      <c r="AE229" s="3" t="str">
        <f aca="false">IF(AD229="","Unknown",IF(AD229&lt;0,"Invalid - Ship Before Order","OK"))</f>
        <v>OK</v>
      </c>
      <c r="AF229" s="5" t="n">
        <f aca="false">IF(B229="","",MONTH(B229))</f>
        <v>7</v>
      </c>
      <c r="AG229" s="5" t="n">
        <f aca="false">IF(B229="","",YEAR(B229))</f>
        <v>2024</v>
      </c>
      <c r="AH229" s="3" t="s">
        <v>52</v>
      </c>
      <c r="AI229" s="3" t="s">
        <v>53</v>
      </c>
      <c r="AJ229" s="3" t="str">
        <f aca="false">IF(AND(AI229="Completed",AH229="Failed"),"Inconsistent - Completed Order with Failed Payment","OK")</f>
        <v>OK</v>
      </c>
      <c r="AK229" s="3" t="s">
        <v>54</v>
      </c>
      <c r="AL229" s="3" t="str">
        <f aca="false">IF(OR(T229="Negative - Invalid",T229="Above Allowed Range - Invalid",AE229="Invalid - Ship Before Order",AK229&lt;&gt;"Unique",AB229="Mismatch",AC229="Mismatch",AJ229&lt;&gt;"OK"),"Invalid",IF(OR(H229="Yes",O229="Yes",T229="Missing"),"Warning","Clean"))</f>
        <v>Clean</v>
      </c>
    </row>
    <row r="230" customFormat="false" ht="15" hidden="false" customHeight="true" outlineLevel="0" collapsed="false">
      <c r="A230" s="3" t="s">
        <v>831</v>
      </c>
      <c r="B230" s="4" t="n">
        <v>45406</v>
      </c>
      <c r="C230" s="4" t="n">
        <v>45410</v>
      </c>
      <c r="D230" s="3" t="s">
        <v>832</v>
      </c>
      <c r="E230" s="3" t="s">
        <v>40</v>
      </c>
      <c r="F230" s="3" t="s">
        <v>58</v>
      </c>
      <c r="G230" s="3" t="s">
        <v>78</v>
      </c>
      <c r="H230" s="3" t="s">
        <v>43</v>
      </c>
      <c r="I230" s="3" t="s">
        <v>79</v>
      </c>
      <c r="J230" s="3" t="s">
        <v>80</v>
      </c>
      <c r="K230" s="3" t="s">
        <v>46</v>
      </c>
      <c r="L230" s="3" t="s">
        <v>117</v>
      </c>
      <c r="M230" s="3" t="s">
        <v>833</v>
      </c>
      <c r="N230" s="3" t="s">
        <v>49</v>
      </c>
      <c r="O230" s="3" t="s">
        <v>43</v>
      </c>
      <c r="P230" s="5" t="n">
        <v>1</v>
      </c>
      <c r="Q230" s="6" t="n">
        <v>3194.37</v>
      </c>
      <c r="R230" s="3" t="s">
        <v>107</v>
      </c>
      <c r="S230" s="7" t="n">
        <v>0.15</v>
      </c>
      <c r="T230" s="3" t="s">
        <v>51</v>
      </c>
      <c r="U230" s="7" t="n">
        <f aca="false">IF(T230="Valid",S230,0)</f>
        <v>0.15</v>
      </c>
      <c r="V230" s="6" t="n">
        <v>2715.21</v>
      </c>
      <c r="W230" s="6" t="n">
        <v>1551.55</v>
      </c>
      <c r="X230" s="6" t="n">
        <v>1163.66</v>
      </c>
      <c r="Y230" s="6" t="n">
        <f aca="false">P230*Q230*(1-U230)</f>
        <v>2715.2145</v>
      </c>
      <c r="Z230" s="6" t="n">
        <f aca="false">Y230-W230</f>
        <v>1163.6645</v>
      </c>
      <c r="AA230" s="8" t="n">
        <f aca="false">IF(Y230=0,0,Z230/Y230)</f>
        <v>0.428571849480032</v>
      </c>
      <c r="AB230" s="3" t="str">
        <f aca="false">IF(ABS(V230-Y230)&gt;1,"Mismatch","OK")</f>
        <v>OK</v>
      </c>
      <c r="AC230" s="3" t="str">
        <f aca="false">IF(ABS(X230-Z230)&gt;1,"Mismatch","OK")</f>
        <v>OK</v>
      </c>
      <c r="AD230" s="5" t="n">
        <f aca="false">IF(OR(B230="",C230=""),"",C230-B230)</f>
        <v>4</v>
      </c>
      <c r="AE230" s="3" t="str">
        <f aca="false">IF(AD230="","Unknown",IF(AD230&lt;0,"Invalid - Ship Before Order","OK"))</f>
        <v>OK</v>
      </c>
      <c r="AF230" s="5" t="n">
        <f aca="false">IF(B230="","",MONTH(B230))</f>
        <v>4</v>
      </c>
      <c r="AG230" s="5" t="n">
        <f aca="false">IF(B230="","",YEAR(B230))</f>
        <v>2024</v>
      </c>
      <c r="AH230" s="3" t="s">
        <v>52</v>
      </c>
      <c r="AI230" s="3" t="s">
        <v>53</v>
      </c>
      <c r="AJ230" s="3" t="str">
        <f aca="false">IF(AND(AI230="Completed",AH230="Failed"),"Inconsistent - Completed Order with Failed Payment","OK")</f>
        <v>OK</v>
      </c>
      <c r="AK230" s="3" t="s">
        <v>54</v>
      </c>
      <c r="AL230" s="3" t="str">
        <f aca="false">IF(OR(T230="Negative - Invalid",T230="Above Allowed Range - Invalid",AE230="Invalid - Ship Before Order",AK230&lt;&gt;"Unique",AB230="Mismatch",AC230="Mismatch",AJ230&lt;&gt;"OK"),"Invalid",IF(OR(H230="Yes",O230="Yes",T230="Missing"),"Warning","Clean"))</f>
        <v>Clean</v>
      </c>
    </row>
    <row r="231" customFormat="false" ht="15" hidden="false" customHeight="true" outlineLevel="0" collapsed="false">
      <c r="A231" s="3" t="s">
        <v>834</v>
      </c>
      <c r="B231" s="4" t="n">
        <v>45836</v>
      </c>
      <c r="C231" s="4" t="n">
        <v>45842</v>
      </c>
      <c r="D231" s="3" t="s">
        <v>835</v>
      </c>
      <c r="E231" s="3" t="s">
        <v>168</v>
      </c>
      <c r="F231" s="3" t="s">
        <v>41</v>
      </c>
      <c r="G231" s="3" t="s">
        <v>78</v>
      </c>
      <c r="H231" s="3" t="s">
        <v>43</v>
      </c>
      <c r="I231" s="3" t="s">
        <v>79</v>
      </c>
      <c r="J231" s="3" t="s">
        <v>80</v>
      </c>
      <c r="K231" s="3" t="s">
        <v>62</v>
      </c>
      <c r="L231" s="3" t="s">
        <v>188</v>
      </c>
      <c r="M231" s="3" t="s">
        <v>836</v>
      </c>
      <c r="N231" s="3" t="s">
        <v>72</v>
      </c>
      <c r="O231" s="3" t="s">
        <v>43</v>
      </c>
      <c r="P231" s="5" t="n">
        <v>3</v>
      </c>
      <c r="Q231" s="6" t="n">
        <v>2886.23</v>
      </c>
      <c r="R231" s="3" t="s">
        <v>66</v>
      </c>
      <c r="S231" s="7" t="n">
        <v>0</v>
      </c>
      <c r="T231" s="3" t="s">
        <v>51</v>
      </c>
      <c r="U231" s="7" t="n">
        <f aca="false">IF(T231="Valid",S231,0)</f>
        <v>0</v>
      </c>
      <c r="V231" s="6" t="n">
        <v>8658.69</v>
      </c>
      <c r="W231" s="6" t="n">
        <v>5535.94</v>
      </c>
      <c r="X231" s="6" t="n">
        <v>3122.75</v>
      </c>
      <c r="Y231" s="6" t="n">
        <f aca="false">P231*Q231*(1-U231)</f>
        <v>8658.69</v>
      </c>
      <c r="Z231" s="6" t="n">
        <f aca="false">Y231-W231</f>
        <v>3122.75</v>
      </c>
      <c r="AA231" s="8" t="n">
        <f aca="false">IF(Y231=0,0,Z231/Y231)</f>
        <v>0.360649243707767</v>
      </c>
      <c r="AB231" s="3" t="str">
        <f aca="false">IF(ABS(V231-Y231)&gt;1,"Mismatch","OK")</f>
        <v>OK</v>
      </c>
      <c r="AC231" s="3" t="str">
        <f aca="false">IF(ABS(X231-Z231)&gt;1,"Mismatch","OK")</f>
        <v>OK</v>
      </c>
      <c r="AD231" s="5" t="n">
        <f aca="false">IF(OR(B231="",C231=""),"",C231-B231)</f>
        <v>6</v>
      </c>
      <c r="AE231" s="3" t="str">
        <f aca="false">IF(AD231="","Unknown",IF(AD231&lt;0,"Invalid - Ship Before Order","OK"))</f>
        <v>OK</v>
      </c>
      <c r="AF231" s="5" t="n">
        <f aca="false">IF(B231="","",MONTH(B231))</f>
        <v>6</v>
      </c>
      <c r="AG231" s="5" t="n">
        <f aca="false">IF(B231="","",YEAR(B231))</f>
        <v>2025</v>
      </c>
      <c r="AH231" s="3" t="s">
        <v>129</v>
      </c>
      <c r="AI231" s="3" t="s">
        <v>130</v>
      </c>
      <c r="AJ231" s="3" t="str">
        <f aca="false">IF(AND(AI231="Completed",AH231="Failed"),"Inconsistent - Completed Order with Failed Payment","OK")</f>
        <v>OK</v>
      </c>
      <c r="AK231" s="3" t="s">
        <v>54</v>
      </c>
      <c r="AL231" s="3" t="str">
        <f aca="false">IF(OR(T231="Negative - Invalid",T231="Above Allowed Range - Invalid",AE231="Invalid - Ship Before Order",AK231&lt;&gt;"Unique",AB231="Mismatch",AC231="Mismatch",AJ231&lt;&gt;"OK"),"Invalid",IF(OR(H231="Yes",O231="Yes",T231="Missing"),"Warning","Clean"))</f>
        <v>Clean</v>
      </c>
    </row>
    <row r="232" customFormat="false" ht="15" hidden="false" customHeight="true" outlineLevel="0" collapsed="false">
      <c r="A232" s="3" t="s">
        <v>837</v>
      </c>
      <c r="B232" s="4" t="n">
        <v>45440</v>
      </c>
      <c r="C232" s="4" t="n">
        <v>45446</v>
      </c>
      <c r="D232" s="3" t="s">
        <v>838</v>
      </c>
      <c r="E232" s="3" t="s">
        <v>104</v>
      </c>
      <c r="F232" s="3" t="s">
        <v>58</v>
      </c>
      <c r="G232" s="3" t="s">
        <v>42</v>
      </c>
      <c r="H232" s="3" t="s">
        <v>43</v>
      </c>
      <c r="I232" s="3" t="s">
        <v>44</v>
      </c>
      <c r="J232" s="3" t="s">
        <v>45</v>
      </c>
      <c r="K232" s="3" t="s">
        <v>46</v>
      </c>
      <c r="L232" s="3" t="s">
        <v>47</v>
      </c>
      <c r="M232" s="3" t="s">
        <v>839</v>
      </c>
      <c r="N232" s="3" t="s">
        <v>83</v>
      </c>
      <c r="O232" s="3" t="s">
        <v>43</v>
      </c>
      <c r="P232" s="5" t="n">
        <v>8</v>
      </c>
      <c r="Q232" s="6" t="n">
        <v>1540.33</v>
      </c>
      <c r="R232" s="3" t="s">
        <v>203</v>
      </c>
      <c r="S232" s="7" t="n">
        <v>0.1</v>
      </c>
      <c r="T232" s="3" t="s">
        <v>51</v>
      </c>
      <c r="U232" s="7" t="n">
        <f aca="false">IF(T232="Valid",S232,0)</f>
        <v>0.1</v>
      </c>
      <c r="V232" s="6" t="n">
        <v>11090.38</v>
      </c>
      <c r="W232" s="6" t="n">
        <v>8840.95</v>
      </c>
      <c r="X232" s="6" t="n">
        <v>2249.43</v>
      </c>
      <c r="Y232" s="6" t="n">
        <f aca="false">P232*Q232*(1-U232)</f>
        <v>11090.376</v>
      </c>
      <c r="Z232" s="6" t="n">
        <f aca="false">Y232-W232</f>
        <v>2249.426</v>
      </c>
      <c r="AA232" s="8" t="n">
        <f aca="false">IF(Y232=0,0,Z232/Y232)</f>
        <v>0.20282684734945</v>
      </c>
      <c r="AB232" s="3" t="str">
        <f aca="false">IF(ABS(V232-Y232)&gt;1,"Mismatch","OK")</f>
        <v>OK</v>
      </c>
      <c r="AC232" s="3" t="str">
        <f aca="false">IF(ABS(X232-Z232)&gt;1,"Mismatch","OK")</f>
        <v>OK</v>
      </c>
      <c r="AD232" s="5" t="n">
        <f aca="false">IF(OR(B232="",C232=""),"",C232-B232)</f>
        <v>6</v>
      </c>
      <c r="AE232" s="3" t="str">
        <f aca="false">IF(AD232="","Unknown",IF(AD232&lt;0,"Invalid - Ship Before Order","OK"))</f>
        <v>OK</v>
      </c>
      <c r="AF232" s="5" t="n">
        <f aca="false">IF(B232="","",MONTH(B232))</f>
        <v>5</v>
      </c>
      <c r="AG232" s="5" t="n">
        <f aca="false">IF(B232="","",YEAR(B232))</f>
        <v>2024</v>
      </c>
      <c r="AH232" s="3" t="s">
        <v>52</v>
      </c>
      <c r="AI232" s="3" t="s">
        <v>53</v>
      </c>
      <c r="AJ232" s="3" t="str">
        <f aca="false">IF(AND(AI232="Completed",AH232="Failed"),"Inconsistent - Completed Order with Failed Payment","OK")</f>
        <v>OK</v>
      </c>
      <c r="AK232" s="3" t="s">
        <v>54</v>
      </c>
      <c r="AL232" s="3" t="str">
        <f aca="false">IF(OR(T232="Negative - Invalid",T232="Above Allowed Range - Invalid",AE232="Invalid - Ship Before Order",AK232&lt;&gt;"Unique",AB232="Mismatch",AC232="Mismatch",AJ232&lt;&gt;"OK"),"Invalid",IF(OR(H232="Yes",O232="Yes",T232="Missing"),"Warning","Clean"))</f>
        <v>Clean</v>
      </c>
    </row>
    <row r="233" customFormat="false" ht="15" hidden="false" customHeight="true" outlineLevel="0" collapsed="false">
      <c r="A233" s="3" t="s">
        <v>840</v>
      </c>
      <c r="B233" s="4" t="n">
        <v>45414</v>
      </c>
      <c r="C233" s="4" t="n">
        <v>45414</v>
      </c>
      <c r="D233" s="3" t="s">
        <v>841</v>
      </c>
      <c r="E233" s="3" t="s">
        <v>87</v>
      </c>
      <c r="F233" s="3" t="s">
        <v>116</v>
      </c>
      <c r="G233" s="3" t="s">
        <v>42</v>
      </c>
      <c r="H233" s="3" t="s">
        <v>43</v>
      </c>
      <c r="I233" s="3" t="s">
        <v>44</v>
      </c>
      <c r="J233" s="3" t="s">
        <v>45</v>
      </c>
      <c r="K233" s="3" t="s">
        <v>46</v>
      </c>
      <c r="L233" s="3" t="s">
        <v>117</v>
      </c>
      <c r="M233" s="3" t="s">
        <v>842</v>
      </c>
      <c r="N233" s="3" t="s">
        <v>72</v>
      </c>
      <c r="O233" s="3" t="s">
        <v>43</v>
      </c>
      <c r="P233" s="5" t="n">
        <v>7</v>
      </c>
      <c r="Q233" s="6" t="n">
        <v>2183.38</v>
      </c>
      <c r="R233" s="3" t="s">
        <v>84</v>
      </c>
      <c r="S233" s="7" t="n">
        <v>0.25</v>
      </c>
      <c r="T233" s="3" t="s">
        <v>51</v>
      </c>
      <c r="U233" s="7" t="n">
        <f aca="false">IF(T233="Valid",S233,0)</f>
        <v>0.25</v>
      </c>
      <c r="V233" s="6" t="n">
        <v>11462.74</v>
      </c>
      <c r="W233" s="6" t="n">
        <v>7163.54</v>
      </c>
      <c r="X233" s="6" t="n">
        <v>4299.2</v>
      </c>
      <c r="Y233" s="6" t="n">
        <f aca="false">P233*Q233*(1-U233)</f>
        <v>11462.745</v>
      </c>
      <c r="Z233" s="6" t="n">
        <f aca="false">Y233-W233</f>
        <v>4299.205</v>
      </c>
      <c r="AA233" s="8" t="n">
        <f aca="false">IF(Y233=0,0,Z233/Y233)</f>
        <v>0.375058940943029</v>
      </c>
      <c r="AB233" s="3" t="str">
        <f aca="false">IF(ABS(V233-Y233)&gt;1,"Mismatch","OK")</f>
        <v>OK</v>
      </c>
      <c r="AC233" s="3" t="str">
        <f aca="false">IF(ABS(X233-Z233)&gt;1,"Mismatch","OK")</f>
        <v>OK</v>
      </c>
      <c r="AD233" s="5" t="n">
        <f aca="false">IF(OR(B233="",C233=""),"",C233-B233)</f>
        <v>0</v>
      </c>
      <c r="AE233" s="3" t="str">
        <f aca="false">IF(AD233="","Unknown",IF(AD233&lt;0,"Invalid - Ship Before Order","OK"))</f>
        <v>OK</v>
      </c>
      <c r="AF233" s="5" t="n">
        <f aca="false">IF(B233="","",MONTH(B233))</f>
        <v>5</v>
      </c>
      <c r="AG233" s="5" t="n">
        <f aca="false">IF(B233="","",YEAR(B233))</f>
        <v>2024</v>
      </c>
      <c r="AH233" s="3" t="s">
        <v>129</v>
      </c>
      <c r="AI233" s="3" t="s">
        <v>93</v>
      </c>
      <c r="AJ233" s="3" t="str">
        <f aca="false">IF(AND(AI233="Completed",AH233="Failed"),"Inconsistent - Completed Order with Failed Payment","OK")</f>
        <v>OK</v>
      </c>
      <c r="AK233" s="3" t="s">
        <v>54</v>
      </c>
      <c r="AL233" s="3" t="str">
        <f aca="false">IF(OR(T233="Negative - Invalid",T233="Above Allowed Range - Invalid",AE233="Invalid - Ship Before Order",AK233&lt;&gt;"Unique",AB233="Mismatch",AC233="Mismatch",AJ233&lt;&gt;"OK"),"Invalid",IF(OR(H233="Yes",O233="Yes",T233="Missing"),"Warning","Clean"))</f>
        <v>Clean</v>
      </c>
    </row>
    <row r="234" customFormat="false" ht="15" hidden="false" customHeight="true" outlineLevel="0" collapsed="false">
      <c r="A234" s="3" t="s">
        <v>843</v>
      </c>
      <c r="B234" s="4" t="n">
        <v>45812</v>
      </c>
      <c r="C234" s="4" t="n">
        <v>45818</v>
      </c>
      <c r="D234" s="3" t="s">
        <v>844</v>
      </c>
      <c r="E234" s="3" t="s">
        <v>145</v>
      </c>
      <c r="F234" s="3" t="s">
        <v>41</v>
      </c>
      <c r="G234" s="3" t="s">
        <v>78</v>
      </c>
      <c r="H234" s="3" t="s">
        <v>43</v>
      </c>
      <c r="I234" s="3" t="s">
        <v>110</v>
      </c>
      <c r="J234" s="3" t="s">
        <v>111</v>
      </c>
      <c r="K234" s="3" t="s">
        <v>99</v>
      </c>
      <c r="L234" s="3" t="s">
        <v>201</v>
      </c>
      <c r="M234" s="3" t="s">
        <v>845</v>
      </c>
      <c r="N234" s="3" t="s">
        <v>83</v>
      </c>
      <c r="O234" s="3" t="s">
        <v>43</v>
      </c>
      <c r="P234" s="5" t="n">
        <v>4</v>
      </c>
      <c r="Q234" s="6" t="n">
        <v>223.37</v>
      </c>
      <c r="R234" s="3" t="s">
        <v>84</v>
      </c>
      <c r="S234" s="7" t="n">
        <v>0.25</v>
      </c>
      <c r="T234" s="3" t="s">
        <v>51</v>
      </c>
      <c r="U234" s="7" t="n">
        <f aca="false">IF(T234="Valid",S234,0)</f>
        <v>0.25</v>
      </c>
      <c r="V234" s="6" t="n">
        <v>670.11</v>
      </c>
      <c r="W234" s="6" t="n">
        <v>559.57</v>
      </c>
      <c r="X234" s="6" t="n">
        <v>110.54</v>
      </c>
      <c r="Y234" s="6" t="n">
        <f aca="false">P234*Q234*(1-U234)</f>
        <v>670.11</v>
      </c>
      <c r="Z234" s="6" t="n">
        <f aca="false">Y234-W234</f>
        <v>110.54</v>
      </c>
      <c r="AA234" s="8" t="n">
        <f aca="false">IF(Y234=0,0,Z234/Y234)</f>
        <v>0.164957991971467</v>
      </c>
      <c r="AB234" s="3" t="str">
        <f aca="false">IF(ABS(V234-Y234)&gt;1,"Mismatch","OK")</f>
        <v>OK</v>
      </c>
      <c r="AC234" s="3" t="str">
        <f aca="false">IF(ABS(X234-Z234)&gt;1,"Mismatch","OK")</f>
        <v>OK</v>
      </c>
      <c r="AD234" s="5" t="n">
        <f aca="false">IF(OR(B234="",C234=""),"",C234-B234)</f>
        <v>6</v>
      </c>
      <c r="AE234" s="3" t="str">
        <f aca="false">IF(AD234="","Unknown",IF(AD234&lt;0,"Invalid - Ship Before Order","OK"))</f>
        <v>OK</v>
      </c>
      <c r="AF234" s="5" t="n">
        <f aca="false">IF(B234="","",MONTH(B234))</f>
        <v>6</v>
      </c>
      <c r="AG234" s="5" t="n">
        <f aca="false">IF(B234="","",YEAR(B234))</f>
        <v>2025</v>
      </c>
      <c r="AH234" s="3" t="s">
        <v>52</v>
      </c>
      <c r="AI234" s="3" t="s">
        <v>53</v>
      </c>
      <c r="AJ234" s="3" t="str">
        <f aca="false">IF(AND(AI234="Completed",AH234="Failed"),"Inconsistent - Completed Order with Failed Payment","OK")</f>
        <v>OK</v>
      </c>
      <c r="AK234" s="3" t="s">
        <v>54</v>
      </c>
      <c r="AL234" s="3" t="str">
        <f aca="false">IF(OR(T234="Negative - Invalid",T234="Above Allowed Range - Invalid",AE234="Invalid - Ship Before Order",AK234&lt;&gt;"Unique",AB234="Mismatch",AC234="Mismatch",AJ234&lt;&gt;"OK"),"Invalid",IF(OR(H234="Yes",O234="Yes",T234="Missing"),"Warning","Clean"))</f>
        <v>Clean</v>
      </c>
    </row>
    <row r="235" customFormat="false" ht="15" hidden="false" customHeight="true" outlineLevel="0" collapsed="false">
      <c r="A235" s="3" t="s">
        <v>846</v>
      </c>
      <c r="B235" s="4" t="n">
        <v>45579</v>
      </c>
      <c r="C235" s="4" t="n">
        <v>45579</v>
      </c>
      <c r="D235" s="3" t="s">
        <v>847</v>
      </c>
      <c r="E235" s="3" t="s">
        <v>96</v>
      </c>
      <c r="F235" s="3" t="s">
        <v>116</v>
      </c>
      <c r="G235" s="3" t="s">
        <v>78</v>
      </c>
      <c r="H235" s="3" t="s">
        <v>43</v>
      </c>
      <c r="I235" s="3" t="s">
        <v>206</v>
      </c>
      <c r="J235" s="3" t="s">
        <v>207</v>
      </c>
      <c r="K235" s="3" t="s">
        <v>62</v>
      </c>
      <c r="L235" s="3" t="s">
        <v>188</v>
      </c>
      <c r="M235" s="3" t="s">
        <v>848</v>
      </c>
      <c r="N235" s="3" t="s">
        <v>237</v>
      </c>
      <c r="O235" s="3" t="s">
        <v>238</v>
      </c>
      <c r="P235" s="5" t="n">
        <v>8</v>
      </c>
      <c r="Q235" s="6" t="n">
        <v>3904.59</v>
      </c>
      <c r="R235" s="3" t="s">
        <v>66</v>
      </c>
      <c r="S235" s="7" t="n">
        <v>0</v>
      </c>
      <c r="T235" s="3" t="s">
        <v>51</v>
      </c>
      <c r="U235" s="7" t="n">
        <f aca="false">IF(T235="Valid",S235,0)</f>
        <v>0</v>
      </c>
      <c r="V235" s="6" t="n">
        <v>31236.72</v>
      </c>
      <c r="W235" s="6" t="n">
        <v>26377.7</v>
      </c>
      <c r="X235" s="6" t="n">
        <v>4859.02</v>
      </c>
      <c r="Y235" s="6" t="n">
        <f aca="false">P235*Q235*(1-U235)</f>
        <v>31236.72</v>
      </c>
      <c r="Z235" s="6" t="n">
        <f aca="false">Y235-W235</f>
        <v>4859.02</v>
      </c>
      <c r="AA235" s="8" t="n">
        <f aca="false">IF(Y235=0,0,Z235/Y235)</f>
        <v>0.155554744544242</v>
      </c>
      <c r="AB235" s="3" t="str">
        <f aca="false">IF(ABS(V235-Y235)&gt;1,"Mismatch","OK")</f>
        <v>OK</v>
      </c>
      <c r="AC235" s="3" t="str">
        <f aca="false">IF(ABS(X235-Z235)&gt;1,"Mismatch","OK")</f>
        <v>OK</v>
      </c>
      <c r="AD235" s="5" t="n">
        <f aca="false">IF(OR(B235="",C235=""),"",C235-B235)</f>
        <v>0</v>
      </c>
      <c r="AE235" s="3" t="str">
        <f aca="false">IF(AD235="","Unknown",IF(AD235&lt;0,"Invalid - Ship Before Order","OK"))</f>
        <v>OK</v>
      </c>
      <c r="AF235" s="5" t="n">
        <f aca="false">IF(B235="","",MONTH(B235))</f>
        <v>10</v>
      </c>
      <c r="AG235" s="5" t="n">
        <f aca="false">IF(B235="","",YEAR(B235))</f>
        <v>2024</v>
      </c>
      <c r="AH235" s="3" t="s">
        <v>52</v>
      </c>
      <c r="AI235" s="3" t="s">
        <v>53</v>
      </c>
      <c r="AJ235" s="3" t="str">
        <f aca="false">IF(AND(AI235="Completed",AH235="Failed"),"Inconsistent - Completed Order with Failed Payment","OK")</f>
        <v>OK</v>
      </c>
      <c r="AK235" s="3" t="s">
        <v>54</v>
      </c>
      <c r="AL235" s="3" t="str">
        <f aca="false">IF(OR(T235="Negative - Invalid",T235="Above Allowed Range - Invalid",AE235="Invalid - Ship Before Order",AK235&lt;&gt;"Unique",AB235="Mismatch",AC235="Mismatch",AJ235&lt;&gt;"OK"),"Invalid",IF(OR(H235="Yes",O235="Yes",T235="Missing"),"Warning","Clean"))</f>
        <v>Warning</v>
      </c>
    </row>
    <row r="236" customFormat="false" ht="15" hidden="false" customHeight="true" outlineLevel="0" collapsed="false">
      <c r="A236" s="3" t="s">
        <v>849</v>
      </c>
      <c r="B236" s="4" t="n">
        <v>45537</v>
      </c>
      <c r="C236" s="4" t="n">
        <v>45538</v>
      </c>
      <c r="D236" s="3" t="s">
        <v>850</v>
      </c>
      <c r="E236" s="3" t="s">
        <v>298</v>
      </c>
      <c r="F236" s="3" t="s">
        <v>121</v>
      </c>
      <c r="G236" s="3" t="s">
        <v>42</v>
      </c>
      <c r="H236" s="3" t="s">
        <v>43</v>
      </c>
      <c r="I236" s="3" t="s">
        <v>384</v>
      </c>
      <c r="J236" s="3" t="s">
        <v>385</v>
      </c>
      <c r="K236" s="3" t="s">
        <v>62</v>
      </c>
      <c r="L236" s="3" t="s">
        <v>81</v>
      </c>
      <c r="M236" s="3" t="s">
        <v>851</v>
      </c>
      <c r="N236" s="3" t="s">
        <v>72</v>
      </c>
      <c r="O236" s="3" t="s">
        <v>43</v>
      </c>
      <c r="P236" s="5" t="n">
        <v>9</v>
      </c>
      <c r="Q236" s="6" t="n">
        <v>1353.61</v>
      </c>
      <c r="R236" s="3" t="s">
        <v>203</v>
      </c>
      <c r="S236" s="7" t="n">
        <v>0.1</v>
      </c>
      <c r="T236" s="3" t="s">
        <v>51</v>
      </c>
      <c r="U236" s="7" t="n">
        <f aca="false">IF(T236="Valid",S236,0)</f>
        <v>0.1</v>
      </c>
      <c r="V236" s="6" t="n">
        <v>10964.24</v>
      </c>
      <c r="W236" s="6" t="n">
        <v>9262.47</v>
      </c>
      <c r="X236" s="6" t="n">
        <v>1701.77</v>
      </c>
      <c r="Y236" s="6" t="n">
        <f aca="false">P236*Q236*(1-U236)</f>
        <v>10964.241</v>
      </c>
      <c r="Z236" s="6" t="n">
        <f aca="false">Y236-W236</f>
        <v>1701.771</v>
      </c>
      <c r="AA236" s="8" t="n">
        <f aca="false">IF(Y236=0,0,Z236/Y236)</f>
        <v>0.155211017342651</v>
      </c>
      <c r="AB236" s="3" t="str">
        <f aca="false">IF(ABS(V236-Y236)&gt;1,"Mismatch","OK")</f>
        <v>OK</v>
      </c>
      <c r="AC236" s="3" t="str">
        <f aca="false">IF(ABS(X236-Z236)&gt;1,"Mismatch","OK")</f>
        <v>OK</v>
      </c>
      <c r="AD236" s="5" t="n">
        <f aca="false">IF(OR(B236="",C236=""),"",C236-B236)</f>
        <v>1</v>
      </c>
      <c r="AE236" s="3" t="str">
        <f aca="false">IF(AD236="","Unknown",IF(AD236&lt;0,"Invalid - Ship Before Order","OK"))</f>
        <v>OK</v>
      </c>
      <c r="AF236" s="5" t="n">
        <f aca="false">IF(B236="","",MONTH(B236))</f>
        <v>9</v>
      </c>
      <c r="AG236" s="5" t="n">
        <f aca="false">IF(B236="","",YEAR(B236))</f>
        <v>2024</v>
      </c>
      <c r="AH236" s="3" t="s">
        <v>52</v>
      </c>
      <c r="AI236" s="3" t="s">
        <v>53</v>
      </c>
      <c r="AJ236" s="3" t="str">
        <f aca="false">IF(AND(AI236="Completed",AH236="Failed"),"Inconsistent - Completed Order with Failed Payment","OK")</f>
        <v>OK</v>
      </c>
      <c r="AK236" s="3" t="s">
        <v>54</v>
      </c>
      <c r="AL236" s="3" t="str">
        <f aca="false">IF(OR(T236="Negative - Invalid",T236="Above Allowed Range - Invalid",AE236="Invalid - Ship Before Order",AK236&lt;&gt;"Unique",AB236="Mismatch",AC236="Mismatch",AJ236&lt;&gt;"OK"),"Invalid",IF(OR(H236="Yes",O236="Yes",T236="Missing"),"Warning","Clean"))</f>
        <v>Clean</v>
      </c>
    </row>
    <row r="237" customFormat="false" ht="15" hidden="false" customHeight="true" outlineLevel="0" collapsed="false">
      <c r="A237" s="3" t="s">
        <v>852</v>
      </c>
      <c r="B237" s="4" t="n">
        <v>45598</v>
      </c>
      <c r="C237" s="4" t="n">
        <v>45599</v>
      </c>
      <c r="D237" s="3" t="s">
        <v>853</v>
      </c>
      <c r="E237" s="3" t="s">
        <v>145</v>
      </c>
      <c r="F237" s="3" t="s">
        <v>58</v>
      </c>
      <c r="G237" s="3" t="s">
        <v>88</v>
      </c>
      <c r="H237" s="3" t="s">
        <v>43</v>
      </c>
      <c r="I237" s="3" t="s">
        <v>44</v>
      </c>
      <c r="J237" s="3" t="s">
        <v>136</v>
      </c>
      <c r="K237" s="3" t="s">
        <v>46</v>
      </c>
      <c r="L237" s="3" t="s">
        <v>151</v>
      </c>
      <c r="M237" s="3" t="s">
        <v>854</v>
      </c>
      <c r="N237" s="3" t="s">
        <v>83</v>
      </c>
      <c r="O237" s="3" t="s">
        <v>43</v>
      </c>
      <c r="P237" s="5" t="n">
        <v>6</v>
      </c>
      <c r="Q237" s="6" t="n">
        <v>2671.29</v>
      </c>
      <c r="R237" s="3" t="s">
        <v>128</v>
      </c>
      <c r="S237" s="7" t="n">
        <v>0.05</v>
      </c>
      <c r="T237" s="3" t="s">
        <v>51</v>
      </c>
      <c r="U237" s="7" t="n">
        <f aca="false">IF(T237="Valid",S237,0)</f>
        <v>0.05</v>
      </c>
      <c r="V237" s="6" t="n">
        <v>15226.35</v>
      </c>
      <c r="W237" s="6" t="n">
        <v>11145.28</v>
      </c>
      <c r="X237" s="6" t="n">
        <v>4081.07</v>
      </c>
      <c r="Y237" s="6" t="n">
        <f aca="false">P237*Q237*(1-U237)</f>
        <v>15226.353</v>
      </c>
      <c r="Z237" s="6" t="n">
        <f aca="false">Y237-W237</f>
        <v>4081.073</v>
      </c>
      <c r="AA237" s="8" t="n">
        <f aca="false">IF(Y237=0,0,Z237/Y237)</f>
        <v>0.268026953007066</v>
      </c>
      <c r="AB237" s="3" t="str">
        <f aca="false">IF(ABS(V237-Y237)&gt;1,"Mismatch","OK")</f>
        <v>OK</v>
      </c>
      <c r="AC237" s="3" t="str">
        <f aca="false">IF(ABS(X237-Z237)&gt;1,"Mismatch","OK")</f>
        <v>OK</v>
      </c>
      <c r="AD237" s="5" t="n">
        <f aca="false">IF(OR(B237="",C237=""),"",C237-B237)</f>
        <v>1</v>
      </c>
      <c r="AE237" s="3" t="str">
        <f aca="false">IF(AD237="","Unknown",IF(AD237&lt;0,"Invalid - Ship Before Order","OK"))</f>
        <v>OK</v>
      </c>
      <c r="AF237" s="5" t="n">
        <f aca="false">IF(B237="","",MONTH(B237))</f>
        <v>11</v>
      </c>
      <c r="AG237" s="5" t="n">
        <f aca="false">IF(B237="","",YEAR(B237))</f>
        <v>2024</v>
      </c>
      <c r="AH237" s="3" t="s">
        <v>52</v>
      </c>
      <c r="AI237" s="3" t="s">
        <v>53</v>
      </c>
      <c r="AJ237" s="3" t="str">
        <f aca="false">IF(AND(AI237="Completed",AH237="Failed"),"Inconsistent - Completed Order with Failed Payment","OK")</f>
        <v>OK</v>
      </c>
      <c r="AK237" s="3" t="s">
        <v>54</v>
      </c>
      <c r="AL237" s="3" t="str">
        <f aca="false">IF(OR(T237="Negative - Invalid",T237="Above Allowed Range - Invalid",AE237="Invalid - Ship Before Order",AK237&lt;&gt;"Unique",AB237="Mismatch",AC237="Mismatch",AJ237&lt;&gt;"OK"),"Invalid",IF(OR(H237="Yes",O237="Yes",T237="Missing"),"Warning","Clean"))</f>
        <v>Clean</v>
      </c>
    </row>
    <row r="238" customFormat="false" ht="15" hidden="false" customHeight="true" outlineLevel="0" collapsed="false">
      <c r="A238" s="3" t="s">
        <v>855</v>
      </c>
      <c r="B238" s="4" t="n">
        <v>45579</v>
      </c>
      <c r="C238" s="4" t="n">
        <v>45586</v>
      </c>
      <c r="D238" s="3" t="s">
        <v>856</v>
      </c>
      <c r="E238" s="3" t="s">
        <v>141</v>
      </c>
      <c r="F238" s="3" t="s">
        <v>116</v>
      </c>
      <c r="G238" s="3" t="s">
        <v>42</v>
      </c>
      <c r="H238" s="3" t="s">
        <v>43</v>
      </c>
      <c r="I238" s="3" t="s">
        <v>163</v>
      </c>
      <c r="J238" s="3" t="s">
        <v>164</v>
      </c>
      <c r="K238" s="3" t="s">
        <v>62</v>
      </c>
      <c r="L238" s="3" t="s">
        <v>188</v>
      </c>
      <c r="M238" s="3" t="s">
        <v>857</v>
      </c>
      <c r="N238" s="3" t="s">
        <v>72</v>
      </c>
      <c r="O238" s="3" t="s">
        <v>43</v>
      </c>
      <c r="P238" s="5" t="n">
        <v>6</v>
      </c>
      <c r="Q238" s="6" t="n">
        <v>4062.78</v>
      </c>
      <c r="R238" s="3" t="s">
        <v>66</v>
      </c>
      <c r="S238" s="7" t="n">
        <v>0</v>
      </c>
      <c r="T238" s="3" t="s">
        <v>51</v>
      </c>
      <c r="U238" s="7" t="n">
        <f aca="false">IF(T238="Valid",S238,0)</f>
        <v>0</v>
      </c>
      <c r="V238" s="6" t="n">
        <v>24376.68</v>
      </c>
      <c r="W238" s="6" t="n">
        <v>18533.39</v>
      </c>
      <c r="X238" s="6" t="n">
        <v>5843.29</v>
      </c>
      <c r="Y238" s="6" t="n">
        <f aca="false">P238*Q238*(1-U238)</f>
        <v>24376.68</v>
      </c>
      <c r="Z238" s="6" t="n">
        <f aca="false">Y238-W238</f>
        <v>5843.29</v>
      </c>
      <c r="AA238" s="8" t="n">
        <f aca="false">IF(Y238=0,0,Z238/Y238)</f>
        <v>0.23970819652225</v>
      </c>
      <c r="AB238" s="3" t="str">
        <f aca="false">IF(ABS(V238-Y238)&gt;1,"Mismatch","OK")</f>
        <v>OK</v>
      </c>
      <c r="AC238" s="3" t="str">
        <f aca="false">IF(ABS(X238-Z238)&gt;1,"Mismatch","OK")</f>
        <v>OK</v>
      </c>
      <c r="AD238" s="5" t="n">
        <f aca="false">IF(OR(B238="",C238=""),"",C238-B238)</f>
        <v>7</v>
      </c>
      <c r="AE238" s="3" t="str">
        <f aca="false">IF(AD238="","Unknown",IF(AD238&lt;0,"Invalid - Ship Before Order","OK"))</f>
        <v>OK</v>
      </c>
      <c r="AF238" s="5" t="n">
        <f aca="false">IF(B238="","",MONTH(B238))</f>
        <v>10</v>
      </c>
      <c r="AG238" s="5" t="n">
        <f aca="false">IF(B238="","",YEAR(B238))</f>
        <v>2024</v>
      </c>
      <c r="AH238" s="3" t="s">
        <v>52</v>
      </c>
      <c r="AI238" s="3" t="s">
        <v>53</v>
      </c>
      <c r="AJ238" s="3" t="str">
        <f aca="false">IF(AND(AI238="Completed",AH238="Failed"),"Inconsistent - Completed Order with Failed Payment","OK")</f>
        <v>OK</v>
      </c>
      <c r="AK238" s="3" t="s">
        <v>54</v>
      </c>
      <c r="AL238" s="3" t="str">
        <f aca="false">IF(OR(T238="Negative - Invalid",T238="Above Allowed Range - Invalid",AE238="Invalid - Ship Before Order",AK238&lt;&gt;"Unique",AB238="Mismatch",AC238="Mismatch",AJ238&lt;&gt;"OK"),"Invalid",IF(OR(H238="Yes",O238="Yes",T238="Missing"),"Warning","Clean"))</f>
        <v>Clean</v>
      </c>
    </row>
    <row r="239" customFormat="false" ht="15" hidden="false" customHeight="true" outlineLevel="0" collapsed="false">
      <c r="A239" s="3" t="s">
        <v>858</v>
      </c>
      <c r="B239" s="4" t="n">
        <v>45531</v>
      </c>
      <c r="C239" s="4" t="n">
        <v>45531</v>
      </c>
      <c r="D239" s="3" t="s">
        <v>859</v>
      </c>
      <c r="E239" s="3" t="s">
        <v>57</v>
      </c>
      <c r="F239" s="3" t="s">
        <v>41</v>
      </c>
      <c r="G239" s="3" t="s">
        <v>42</v>
      </c>
      <c r="H239" s="3" t="s">
        <v>43</v>
      </c>
      <c r="I239" s="3" t="s">
        <v>270</v>
      </c>
      <c r="J239" s="3" t="s">
        <v>271</v>
      </c>
      <c r="K239" s="3" t="s">
        <v>99</v>
      </c>
      <c r="L239" s="3" t="s">
        <v>105</v>
      </c>
      <c r="M239" s="3" t="s">
        <v>860</v>
      </c>
      <c r="N239" s="3" t="s">
        <v>83</v>
      </c>
      <c r="O239" s="3" t="s">
        <v>43</v>
      </c>
      <c r="P239" s="5" t="n">
        <v>9</v>
      </c>
      <c r="Q239" s="6" t="n">
        <v>2330.3</v>
      </c>
      <c r="R239" s="3" t="s">
        <v>66</v>
      </c>
      <c r="S239" s="7" t="n">
        <v>0</v>
      </c>
      <c r="T239" s="3" t="s">
        <v>51</v>
      </c>
      <c r="U239" s="7" t="n">
        <f aca="false">IF(T239="Valid",S239,0)</f>
        <v>0</v>
      </c>
      <c r="V239" s="6" t="n">
        <v>20972.7</v>
      </c>
      <c r="W239" s="6" t="n">
        <v>13504.88</v>
      </c>
      <c r="X239" s="6" t="n">
        <v>7467.82</v>
      </c>
      <c r="Y239" s="6" t="n">
        <f aca="false">P239*Q239*(1-U239)</f>
        <v>20972.7</v>
      </c>
      <c r="Z239" s="6" t="n">
        <f aca="false">Y239-W239</f>
        <v>7467.82</v>
      </c>
      <c r="AA239" s="8" t="n">
        <f aca="false">IF(Y239=0,0,Z239/Y239)</f>
        <v>0.356073371573522</v>
      </c>
      <c r="AB239" s="3" t="str">
        <f aca="false">IF(ABS(V239-Y239)&gt;1,"Mismatch","OK")</f>
        <v>OK</v>
      </c>
      <c r="AC239" s="3" t="str">
        <f aca="false">IF(ABS(X239-Z239)&gt;1,"Mismatch","OK")</f>
        <v>OK</v>
      </c>
      <c r="AD239" s="5" t="n">
        <f aca="false">IF(OR(B239="",C239=""),"",C239-B239)</f>
        <v>0</v>
      </c>
      <c r="AE239" s="3" t="str">
        <f aca="false">IF(AD239="","Unknown",IF(AD239&lt;0,"Invalid - Ship Before Order","OK"))</f>
        <v>OK</v>
      </c>
      <c r="AF239" s="5" t="n">
        <f aca="false">IF(B239="","",MONTH(B239))</f>
        <v>8</v>
      </c>
      <c r="AG239" s="5" t="n">
        <f aca="false">IF(B239="","",YEAR(B239))</f>
        <v>2024</v>
      </c>
      <c r="AH239" s="3" t="s">
        <v>52</v>
      </c>
      <c r="AI239" s="3" t="s">
        <v>53</v>
      </c>
      <c r="AJ239" s="3" t="str">
        <f aca="false">IF(AND(AI239="Completed",AH239="Failed"),"Inconsistent - Completed Order with Failed Payment","OK")</f>
        <v>OK</v>
      </c>
      <c r="AK239" s="3" t="s">
        <v>54</v>
      </c>
      <c r="AL239" s="3" t="str">
        <f aca="false">IF(OR(T239="Negative - Invalid",T239="Above Allowed Range - Invalid",AE239="Invalid - Ship Before Order",AK239&lt;&gt;"Unique",AB239="Mismatch",AC239="Mismatch",AJ239&lt;&gt;"OK"),"Invalid",IF(OR(H239="Yes",O239="Yes",T239="Missing"),"Warning","Clean"))</f>
        <v>Clean</v>
      </c>
    </row>
    <row r="240" customFormat="false" ht="15" hidden="false" customHeight="true" outlineLevel="0" collapsed="false">
      <c r="A240" s="3" t="s">
        <v>861</v>
      </c>
      <c r="B240" s="4" t="n">
        <v>45303</v>
      </c>
      <c r="C240" s="4" t="n">
        <v>45308</v>
      </c>
      <c r="D240" s="3" t="s">
        <v>862</v>
      </c>
      <c r="E240" s="3" t="s">
        <v>77</v>
      </c>
      <c r="F240" s="3" t="s">
        <v>41</v>
      </c>
      <c r="G240" s="3" t="s">
        <v>78</v>
      </c>
      <c r="H240" s="3" t="s">
        <v>43</v>
      </c>
      <c r="I240" s="3" t="s">
        <v>110</v>
      </c>
      <c r="J240" s="3" t="s">
        <v>111</v>
      </c>
      <c r="K240" s="3" t="s">
        <v>46</v>
      </c>
      <c r="L240" s="3" t="s">
        <v>151</v>
      </c>
      <c r="M240" s="3" t="s">
        <v>863</v>
      </c>
      <c r="N240" s="3" t="s">
        <v>72</v>
      </c>
      <c r="O240" s="3" t="s">
        <v>43</v>
      </c>
      <c r="P240" s="5" t="n">
        <v>7</v>
      </c>
      <c r="Q240" s="6" t="n">
        <v>4005.05</v>
      </c>
      <c r="R240" s="3" t="s">
        <v>73</v>
      </c>
      <c r="S240" s="7" t="n">
        <v>0.55</v>
      </c>
      <c r="T240" s="3" t="s">
        <v>74</v>
      </c>
      <c r="U240" s="7" t="n">
        <f aca="false">IF(T240="Valid",S240,0)</f>
        <v>0</v>
      </c>
      <c r="V240" s="6" t="n">
        <v>26633.58</v>
      </c>
      <c r="W240" s="6" t="n">
        <v>18838.75</v>
      </c>
      <c r="X240" s="6" t="n">
        <v>7794.83</v>
      </c>
      <c r="Y240" s="6" t="n">
        <f aca="false">P240*Q240*(1-U240)</f>
        <v>28035.35</v>
      </c>
      <c r="Z240" s="6" t="n">
        <f aca="false">Y240-W240</f>
        <v>9196.6</v>
      </c>
      <c r="AA240" s="8" t="n">
        <f aca="false">IF(Y240=0,0,Z240/Y240)</f>
        <v>0.328035854733399</v>
      </c>
      <c r="AB240" s="3" t="str">
        <f aca="false">IF(ABS(V240-Y240)&gt;1,"Mismatch","OK")</f>
        <v>Mismatch</v>
      </c>
      <c r="AC240" s="3" t="str">
        <f aca="false">IF(ABS(X240-Z240)&gt;1,"Mismatch","OK")</f>
        <v>Mismatch</v>
      </c>
      <c r="AD240" s="5" t="n">
        <f aca="false">IF(OR(B240="",C240=""),"",C240-B240)</f>
        <v>5</v>
      </c>
      <c r="AE240" s="3" t="str">
        <f aca="false">IF(AD240="","Unknown",IF(AD240&lt;0,"Invalid - Ship Before Order","OK"))</f>
        <v>OK</v>
      </c>
      <c r="AF240" s="5" t="n">
        <f aca="false">IF(B240="","",MONTH(B240))</f>
        <v>1</v>
      </c>
      <c r="AG240" s="5" t="n">
        <f aca="false">IF(B240="","",YEAR(B240))</f>
        <v>2024</v>
      </c>
      <c r="AH240" s="3" t="s">
        <v>52</v>
      </c>
      <c r="AI240" s="3" t="s">
        <v>53</v>
      </c>
      <c r="AJ240" s="3" t="str">
        <f aca="false">IF(AND(AI240="Completed",AH240="Failed"),"Inconsistent - Completed Order with Failed Payment","OK")</f>
        <v>OK</v>
      </c>
      <c r="AK240" s="3" t="s">
        <v>54</v>
      </c>
      <c r="AL240" s="3" t="str">
        <f aca="false">IF(OR(T240="Negative - Invalid",T240="Above Allowed Range - Invalid",AE240="Invalid - Ship Before Order",AK240&lt;&gt;"Unique",AB240="Mismatch",AC240="Mismatch",AJ240&lt;&gt;"OK"),"Invalid",IF(OR(H240="Yes",O240="Yes",T240="Missing"),"Warning","Clean"))</f>
        <v>Invalid</v>
      </c>
    </row>
    <row r="241" customFormat="false" ht="15" hidden="false" customHeight="true" outlineLevel="0" collapsed="false">
      <c r="A241" s="3" t="s">
        <v>864</v>
      </c>
      <c r="B241" s="4" t="n">
        <v>45556</v>
      </c>
      <c r="C241" s="4" t="n">
        <v>45556</v>
      </c>
      <c r="D241" s="3" t="s">
        <v>865</v>
      </c>
      <c r="E241" s="3" t="s">
        <v>298</v>
      </c>
      <c r="F241" s="3" t="s">
        <v>116</v>
      </c>
      <c r="G241" s="3" t="s">
        <v>78</v>
      </c>
      <c r="H241" s="3" t="s">
        <v>43</v>
      </c>
      <c r="I241" s="3" t="s">
        <v>206</v>
      </c>
      <c r="J241" s="3" t="s">
        <v>207</v>
      </c>
      <c r="K241" s="3" t="s">
        <v>99</v>
      </c>
      <c r="L241" s="3" t="s">
        <v>308</v>
      </c>
      <c r="M241" s="3" t="s">
        <v>866</v>
      </c>
      <c r="N241" s="3" t="s">
        <v>72</v>
      </c>
      <c r="O241" s="3" t="s">
        <v>43</v>
      </c>
      <c r="P241" s="5" t="n">
        <v>2</v>
      </c>
      <c r="Q241" s="6" t="n">
        <v>1960.06</v>
      </c>
      <c r="R241" s="3" t="s">
        <v>50</v>
      </c>
      <c r="S241" s="7" t="n">
        <v>0.2</v>
      </c>
      <c r="T241" s="3" t="s">
        <v>51</v>
      </c>
      <c r="U241" s="7" t="n">
        <f aca="false">IF(T241="Valid",S241,0)</f>
        <v>0.2</v>
      </c>
      <c r="V241" s="6" t="n">
        <v>3136.1</v>
      </c>
      <c r="W241" s="6" t="n">
        <v>2279.49</v>
      </c>
      <c r="X241" s="6" t="n">
        <v>856.61</v>
      </c>
      <c r="Y241" s="6" t="n">
        <f aca="false">P241*Q241*(1-U241)</f>
        <v>3136.096</v>
      </c>
      <c r="Z241" s="6" t="n">
        <f aca="false">Y241-W241</f>
        <v>856.606</v>
      </c>
      <c r="AA241" s="8" t="n">
        <f aca="false">IF(Y241=0,0,Z241/Y241)</f>
        <v>0.273144061916472</v>
      </c>
      <c r="AB241" s="3" t="str">
        <f aca="false">IF(ABS(V241-Y241)&gt;1,"Mismatch","OK")</f>
        <v>OK</v>
      </c>
      <c r="AC241" s="3" t="str">
        <f aca="false">IF(ABS(X241-Z241)&gt;1,"Mismatch","OK")</f>
        <v>OK</v>
      </c>
      <c r="AD241" s="5" t="n">
        <f aca="false">IF(OR(B241="",C241=""),"",C241-B241)</f>
        <v>0</v>
      </c>
      <c r="AE241" s="3" t="str">
        <f aca="false">IF(AD241="","Unknown",IF(AD241&lt;0,"Invalid - Ship Before Order","OK"))</f>
        <v>OK</v>
      </c>
      <c r="AF241" s="5" t="n">
        <f aca="false">IF(B241="","",MONTH(B241))</f>
        <v>9</v>
      </c>
      <c r="AG241" s="5" t="n">
        <f aca="false">IF(B241="","",YEAR(B241))</f>
        <v>2024</v>
      </c>
      <c r="AH241" s="3" t="s">
        <v>52</v>
      </c>
      <c r="AI241" s="3" t="s">
        <v>53</v>
      </c>
      <c r="AJ241" s="3" t="str">
        <f aca="false">IF(AND(AI241="Completed",AH241="Failed"),"Inconsistent - Completed Order with Failed Payment","OK")</f>
        <v>OK</v>
      </c>
      <c r="AK241" s="3" t="s">
        <v>54</v>
      </c>
      <c r="AL241" s="3" t="str">
        <f aca="false">IF(OR(T241="Negative - Invalid",T241="Above Allowed Range - Invalid",AE241="Invalid - Ship Before Order",AK241&lt;&gt;"Unique",AB241="Mismatch",AC241="Mismatch",AJ241&lt;&gt;"OK"),"Invalid",IF(OR(H241="Yes",O241="Yes",T241="Missing"),"Warning","Clean"))</f>
        <v>Clean</v>
      </c>
    </row>
    <row r="242" customFormat="false" ht="15" hidden="false" customHeight="true" outlineLevel="0" collapsed="false">
      <c r="A242" s="3" t="s">
        <v>867</v>
      </c>
      <c r="B242" s="4" t="n">
        <v>45643</v>
      </c>
      <c r="C242" s="4" t="n">
        <v>45649</v>
      </c>
      <c r="D242" s="3" t="s">
        <v>868</v>
      </c>
      <c r="E242" s="3" t="s">
        <v>155</v>
      </c>
      <c r="F242" s="3" t="s">
        <v>116</v>
      </c>
      <c r="G242" s="3" t="s">
        <v>78</v>
      </c>
      <c r="H242" s="3" t="s">
        <v>43</v>
      </c>
      <c r="I242" s="3" t="s">
        <v>79</v>
      </c>
      <c r="J242" s="3" t="s">
        <v>80</v>
      </c>
      <c r="K242" s="3" t="s">
        <v>46</v>
      </c>
      <c r="L242" s="3" t="s">
        <v>183</v>
      </c>
      <c r="M242" s="3" t="s">
        <v>869</v>
      </c>
      <c r="N242" s="3" t="s">
        <v>72</v>
      </c>
      <c r="O242" s="3" t="s">
        <v>43</v>
      </c>
      <c r="P242" s="5" t="n">
        <v>9</v>
      </c>
      <c r="Q242" s="6" t="n">
        <v>2315.1</v>
      </c>
      <c r="R242" s="3" t="s">
        <v>66</v>
      </c>
      <c r="S242" s="7" t="n">
        <v>0</v>
      </c>
      <c r="T242" s="3" t="s">
        <v>51</v>
      </c>
      <c r="U242" s="7" t="n">
        <f aca="false">IF(T242="Valid",S242,0)</f>
        <v>0</v>
      </c>
      <c r="V242" s="6" t="n">
        <v>20835.9</v>
      </c>
      <c r="W242" s="6" t="n">
        <v>13928.19</v>
      </c>
      <c r="X242" s="6" t="n">
        <v>6907.71</v>
      </c>
      <c r="Y242" s="6" t="n">
        <f aca="false">P242*Q242*(1-U242)</f>
        <v>20835.9</v>
      </c>
      <c r="Z242" s="6" t="n">
        <f aca="false">Y242-W242</f>
        <v>6907.71</v>
      </c>
      <c r="AA242" s="8" t="n">
        <f aca="false">IF(Y242=0,0,Z242/Y242)</f>
        <v>0.331529235598174</v>
      </c>
      <c r="AB242" s="3" t="str">
        <f aca="false">IF(ABS(V242-Y242)&gt;1,"Mismatch","OK")</f>
        <v>OK</v>
      </c>
      <c r="AC242" s="3" t="str">
        <f aca="false">IF(ABS(X242-Z242)&gt;1,"Mismatch","OK")</f>
        <v>OK</v>
      </c>
      <c r="AD242" s="5" t="n">
        <f aca="false">IF(OR(B242="",C242=""),"",C242-B242)</f>
        <v>6</v>
      </c>
      <c r="AE242" s="3" t="str">
        <f aca="false">IF(AD242="","Unknown",IF(AD242&lt;0,"Invalid - Ship Before Order","OK"))</f>
        <v>OK</v>
      </c>
      <c r="AF242" s="5" t="n">
        <f aca="false">IF(B242="","",MONTH(B242))</f>
        <v>12</v>
      </c>
      <c r="AG242" s="5" t="n">
        <f aca="false">IF(B242="","",YEAR(B242))</f>
        <v>2024</v>
      </c>
      <c r="AH242" s="3" t="s">
        <v>52</v>
      </c>
      <c r="AI242" s="3" t="s">
        <v>53</v>
      </c>
      <c r="AJ242" s="3" t="str">
        <f aca="false">IF(AND(AI242="Completed",AH242="Failed"),"Inconsistent - Completed Order with Failed Payment","OK")</f>
        <v>OK</v>
      </c>
      <c r="AK242" s="3" t="s">
        <v>54</v>
      </c>
      <c r="AL242" s="3" t="str">
        <f aca="false">IF(OR(T242="Negative - Invalid",T242="Above Allowed Range - Invalid",AE242="Invalid - Ship Before Order",AK242&lt;&gt;"Unique",AB242="Mismatch",AC242="Mismatch",AJ242&lt;&gt;"OK"),"Invalid",IF(OR(H242="Yes",O242="Yes",T242="Missing"),"Warning","Clean"))</f>
        <v>Clean</v>
      </c>
    </row>
    <row r="243" customFormat="false" ht="15" hidden="false" customHeight="true" outlineLevel="0" collapsed="false">
      <c r="A243" s="3" t="s">
        <v>870</v>
      </c>
      <c r="B243" s="4" t="n">
        <v>45844</v>
      </c>
      <c r="C243" s="4" t="n">
        <v>45844</v>
      </c>
      <c r="D243" s="3" t="s">
        <v>871</v>
      </c>
      <c r="E243" s="3" t="s">
        <v>159</v>
      </c>
      <c r="F243" s="3" t="s">
        <v>116</v>
      </c>
      <c r="G243" s="3" t="s">
        <v>42</v>
      </c>
      <c r="H243" s="3" t="s">
        <v>43</v>
      </c>
      <c r="I243" s="3" t="s">
        <v>270</v>
      </c>
      <c r="J243" s="3" t="s">
        <v>271</v>
      </c>
      <c r="K243" s="3" t="s">
        <v>46</v>
      </c>
      <c r="L243" s="3" t="s">
        <v>151</v>
      </c>
      <c r="M243" s="3" t="s">
        <v>872</v>
      </c>
      <c r="N243" s="3" t="s">
        <v>83</v>
      </c>
      <c r="O243" s="3" t="s">
        <v>43</v>
      </c>
      <c r="P243" s="5" t="n">
        <v>1</v>
      </c>
      <c r="Q243" s="6" t="n">
        <v>1617.2</v>
      </c>
      <c r="R243" s="3" t="s">
        <v>84</v>
      </c>
      <c r="S243" s="7" t="n">
        <v>0.25</v>
      </c>
      <c r="T243" s="3" t="s">
        <v>51</v>
      </c>
      <c r="U243" s="7" t="n">
        <f aca="false">IF(T243="Valid",S243,0)</f>
        <v>0.25</v>
      </c>
      <c r="V243" s="6" t="n">
        <v>1212.9</v>
      </c>
      <c r="W243" s="6" t="n">
        <v>690.52</v>
      </c>
      <c r="X243" s="6" t="n">
        <v>522.38</v>
      </c>
      <c r="Y243" s="6" t="n">
        <f aca="false">P243*Q243*(1-U243)</f>
        <v>1212.9</v>
      </c>
      <c r="Z243" s="6" t="n">
        <f aca="false">Y243-W243</f>
        <v>522.38</v>
      </c>
      <c r="AA243" s="8" t="n">
        <f aca="false">IF(Y243=0,0,Z243/Y243)</f>
        <v>0.430686783741446</v>
      </c>
      <c r="AB243" s="3" t="str">
        <f aca="false">IF(ABS(V243-Y243)&gt;1,"Mismatch","OK")</f>
        <v>OK</v>
      </c>
      <c r="AC243" s="3" t="str">
        <f aca="false">IF(ABS(X243-Z243)&gt;1,"Mismatch","OK")</f>
        <v>OK</v>
      </c>
      <c r="AD243" s="5" t="n">
        <f aca="false">IF(OR(B243="",C243=""),"",C243-B243)</f>
        <v>0</v>
      </c>
      <c r="AE243" s="3" t="str">
        <f aca="false">IF(AD243="","Unknown",IF(AD243&lt;0,"Invalid - Ship Before Order","OK"))</f>
        <v>OK</v>
      </c>
      <c r="AF243" s="5" t="n">
        <f aca="false">IF(B243="","",MONTH(B243))</f>
        <v>7</v>
      </c>
      <c r="AG243" s="5" t="n">
        <f aca="false">IF(B243="","",YEAR(B243))</f>
        <v>2025</v>
      </c>
      <c r="AH243" s="3" t="s">
        <v>138</v>
      </c>
      <c r="AI243" s="3" t="s">
        <v>130</v>
      </c>
      <c r="AJ243" s="3" t="str">
        <f aca="false">IF(AND(AI243="Completed",AH243="Failed"),"Inconsistent - Completed Order with Failed Payment","OK")</f>
        <v>OK</v>
      </c>
      <c r="AK243" s="3" t="s">
        <v>54</v>
      </c>
      <c r="AL243" s="3" t="str">
        <f aca="false">IF(OR(T243="Negative - Invalid",T243="Above Allowed Range - Invalid",AE243="Invalid - Ship Before Order",AK243&lt;&gt;"Unique",AB243="Mismatch",AC243="Mismatch",AJ243&lt;&gt;"OK"),"Invalid",IF(OR(H243="Yes",O243="Yes",T243="Missing"),"Warning","Clean"))</f>
        <v>Clean</v>
      </c>
    </row>
    <row r="244" customFormat="false" ht="15" hidden="false" customHeight="true" outlineLevel="0" collapsed="false">
      <c r="A244" s="3" t="s">
        <v>873</v>
      </c>
      <c r="B244" s="4" t="n">
        <v>45695</v>
      </c>
      <c r="C244" s="4" t="n">
        <v>45695</v>
      </c>
      <c r="D244" s="3" t="s">
        <v>874</v>
      </c>
      <c r="E244" s="3" t="s">
        <v>77</v>
      </c>
      <c r="F244" s="3" t="s">
        <v>41</v>
      </c>
      <c r="G244" s="3" t="s">
        <v>42</v>
      </c>
      <c r="H244" s="3" t="s">
        <v>43</v>
      </c>
      <c r="I244" s="3" t="s">
        <v>163</v>
      </c>
      <c r="J244" s="3" t="s">
        <v>164</v>
      </c>
      <c r="K244" s="3" t="s">
        <v>46</v>
      </c>
      <c r="L244" s="3" t="s">
        <v>70</v>
      </c>
      <c r="M244" s="3" t="s">
        <v>875</v>
      </c>
      <c r="N244" s="3" t="s">
        <v>49</v>
      </c>
      <c r="O244" s="3" t="s">
        <v>43</v>
      </c>
      <c r="P244" s="5" t="n">
        <v>3</v>
      </c>
      <c r="Q244" s="6" t="n">
        <v>1999.24</v>
      </c>
      <c r="R244" s="3" t="s">
        <v>128</v>
      </c>
      <c r="S244" s="7" t="n">
        <v>0.05</v>
      </c>
      <c r="T244" s="3" t="s">
        <v>51</v>
      </c>
      <c r="U244" s="7" t="n">
        <f aca="false">IF(T244="Valid",S244,0)</f>
        <v>0.05</v>
      </c>
      <c r="V244" s="6" t="n">
        <v>5697.83</v>
      </c>
      <c r="W244" s="6" t="n">
        <v>4251.5</v>
      </c>
      <c r="X244" s="6" t="n">
        <v>1446.33</v>
      </c>
      <c r="Y244" s="6" t="n">
        <f aca="false">P244*Q244*(1-U244)</f>
        <v>5697.834</v>
      </c>
      <c r="Z244" s="6" t="n">
        <f aca="false">Y244-W244</f>
        <v>1446.334</v>
      </c>
      <c r="AA244" s="8" t="n">
        <f aca="false">IF(Y244=0,0,Z244/Y244)</f>
        <v>0.253839265938601</v>
      </c>
      <c r="AB244" s="3" t="str">
        <f aca="false">IF(ABS(V244-Y244)&gt;1,"Mismatch","OK")</f>
        <v>OK</v>
      </c>
      <c r="AC244" s="3" t="str">
        <f aca="false">IF(ABS(X244-Z244)&gt;1,"Mismatch","OK")</f>
        <v>OK</v>
      </c>
      <c r="AD244" s="5" t="n">
        <f aca="false">IF(OR(B244="",C244=""),"",C244-B244)</f>
        <v>0</v>
      </c>
      <c r="AE244" s="3" t="str">
        <f aca="false">IF(AD244="","Unknown",IF(AD244&lt;0,"Invalid - Ship Before Order","OK"))</f>
        <v>OK</v>
      </c>
      <c r="AF244" s="5" t="n">
        <f aca="false">IF(B244="","",MONTH(B244))</f>
        <v>2</v>
      </c>
      <c r="AG244" s="5" t="n">
        <f aca="false">IF(B244="","",YEAR(B244))</f>
        <v>2025</v>
      </c>
      <c r="AH244" s="3" t="s">
        <v>52</v>
      </c>
      <c r="AI244" s="3" t="s">
        <v>53</v>
      </c>
      <c r="AJ244" s="3" t="str">
        <f aca="false">IF(AND(AI244="Completed",AH244="Failed"),"Inconsistent - Completed Order with Failed Payment","OK")</f>
        <v>OK</v>
      </c>
      <c r="AK244" s="3" t="s">
        <v>54</v>
      </c>
      <c r="AL244" s="3" t="str">
        <f aca="false">IF(OR(T244="Negative - Invalid",T244="Above Allowed Range - Invalid",AE244="Invalid - Ship Before Order",AK244&lt;&gt;"Unique",AB244="Mismatch",AC244="Mismatch",AJ244&lt;&gt;"OK"),"Invalid",IF(OR(H244="Yes",O244="Yes",T244="Missing"),"Warning","Clean"))</f>
        <v>Clean</v>
      </c>
    </row>
    <row r="245" customFormat="false" ht="15" hidden="false" customHeight="true" outlineLevel="0" collapsed="false">
      <c r="A245" s="3" t="s">
        <v>876</v>
      </c>
      <c r="B245" s="4" t="n">
        <v>45867</v>
      </c>
      <c r="C245" s="4" t="n">
        <v>45871</v>
      </c>
      <c r="D245" s="3" t="s">
        <v>877</v>
      </c>
      <c r="E245" s="3" t="s">
        <v>159</v>
      </c>
      <c r="F245" s="3" t="s">
        <v>58</v>
      </c>
      <c r="G245" s="3" t="s">
        <v>237</v>
      </c>
      <c r="H245" s="3" t="s">
        <v>238</v>
      </c>
      <c r="I245" s="3" t="s">
        <v>97</v>
      </c>
      <c r="J245" s="3" t="s">
        <v>98</v>
      </c>
      <c r="K245" s="3" t="s">
        <v>99</v>
      </c>
      <c r="L245" s="3" t="s">
        <v>100</v>
      </c>
      <c r="M245" s="3" t="s">
        <v>878</v>
      </c>
      <c r="N245" s="3" t="s">
        <v>72</v>
      </c>
      <c r="O245" s="3" t="s">
        <v>43</v>
      </c>
      <c r="P245" s="5" t="n">
        <v>1</v>
      </c>
      <c r="Q245" s="6" t="n">
        <v>4499.46</v>
      </c>
      <c r="R245" s="3" t="s">
        <v>203</v>
      </c>
      <c r="S245" s="7" t="n">
        <v>0.1</v>
      </c>
      <c r="T245" s="3" t="s">
        <v>51</v>
      </c>
      <c r="U245" s="7" t="n">
        <f aca="false">IF(T245="Valid",S245,0)</f>
        <v>0.1</v>
      </c>
      <c r="V245" s="6" t="n">
        <v>4049.51</v>
      </c>
      <c r="W245" s="6" t="n">
        <v>2509.2</v>
      </c>
      <c r="X245" s="6" t="n">
        <v>1540.31</v>
      </c>
      <c r="Y245" s="6" t="n">
        <f aca="false">P245*Q245*(1-U245)</f>
        <v>4049.514</v>
      </c>
      <c r="Z245" s="6" t="n">
        <f aca="false">Y245-W245</f>
        <v>1540.314</v>
      </c>
      <c r="AA245" s="8" t="n">
        <f aca="false">IF(Y245=0,0,Z245/Y245)</f>
        <v>0.380370088855107</v>
      </c>
      <c r="AB245" s="3" t="str">
        <f aca="false">IF(ABS(V245-Y245)&gt;1,"Mismatch","OK")</f>
        <v>OK</v>
      </c>
      <c r="AC245" s="3" t="str">
        <f aca="false">IF(ABS(X245-Z245)&gt;1,"Mismatch","OK")</f>
        <v>OK</v>
      </c>
      <c r="AD245" s="5" t="n">
        <f aca="false">IF(OR(B245="",C245=""),"",C245-B245)</f>
        <v>4</v>
      </c>
      <c r="AE245" s="3" t="str">
        <f aca="false">IF(AD245="","Unknown",IF(AD245&lt;0,"Invalid - Ship Before Order","OK"))</f>
        <v>OK</v>
      </c>
      <c r="AF245" s="5" t="n">
        <f aca="false">IF(B245="","",MONTH(B245))</f>
        <v>7</v>
      </c>
      <c r="AG245" s="5" t="n">
        <f aca="false">IF(B245="","",YEAR(B245))</f>
        <v>2025</v>
      </c>
      <c r="AH245" s="3" t="s">
        <v>52</v>
      </c>
      <c r="AI245" s="3" t="s">
        <v>53</v>
      </c>
      <c r="AJ245" s="3" t="str">
        <f aca="false">IF(AND(AI245="Completed",AH245="Failed"),"Inconsistent - Completed Order with Failed Payment","OK")</f>
        <v>OK</v>
      </c>
      <c r="AK245" s="3" t="s">
        <v>54</v>
      </c>
      <c r="AL245" s="3" t="str">
        <f aca="false">IF(OR(T245="Negative - Invalid",T245="Above Allowed Range - Invalid",AE245="Invalid - Ship Before Order",AK245&lt;&gt;"Unique",AB245="Mismatch",AC245="Mismatch",AJ245&lt;&gt;"OK"),"Invalid",IF(OR(H245="Yes",O245="Yes",T245="Missing"),"Warning","Clean"))</f>
        <v>Warning</v>
      </c>
    </row>
    <row r="246" customFormat="false" ht="15" hidden="false" customHeight="true" outlineLevel="0" collapsed="false">
      <c r="A246" s="3" t="s">
        <v>879</v>
      </c>
      <c r="B246" s="4" t="n">
        <v>45527</v>
      </c>
      <c r="C246" s="4" t="n">
        <v>45528</v>
      </c>
      <c r="D246" s="3" t="s">
        <v>880</v>
      </c>
      <c r="E246" s="3" t="s">
        <v>104</v>
      </c>
      <c r="F246" s="3" t="s">
        <v>41</v>
      </c>
      <c r="G246" s="3" t="s">
        <v>78</v>
      </c>
      <c r="H246" s="3" t="s">
        <v>43</v>
      </c>
      <c r="I246" s="3" t="s">
        <v>79</v>
      </c>
      <c r="J246" s="3" t="s">
        <v>80</v>
      </c>
      <c r="K246" s="3" t="s">
        <v>62</v>
      </c>
      <c r="L246" s="3" t="s">
        <v>188</v>
      </c>
      <c r="M246" s="3" t="s">
        <v>881</v>
      </c>
      <c r="N246" s="3" t="s">
        <v>65</v>
      </c>
      <c r="O246" s="3" t="s">
        <v>43</v>
      </c>
      <c r="P246" s="5" t="n">
        <v>6</v>
      </c>
      <c r="Q246" s="6" t="n">
        <v>1021.89</v>
      </c>
      <c r="R246" s="3" t="s">
        <v>66</v>
      </c>
      <c r="S246" s="7" t="n">
        <v>0</v>
      </c>
      <c r="T246" s="3" t="s">
        <v>51</v>
      </c>
      <c r="U246" s="7" t="n">
        <f aca="false">IF(T246="Valid",S246,0)</f>
        <v>0</v>
      </c>
      <c r="V246" s="6" t="n">
        <v>6131.34</v>
      </c>
      <c r="W246" s="6" t="n">
        <v>4060.88</v>
      </c>
      <c r="X246" s="6" t="n">
        <v>2070.46</v>
      </c>
      <c r="Y246" s="6" t="n">
        <f aca="false">P246*Q246*(1-U246)</f>
        <v>6131.34</v>
      </c>
      <c r="Z246" s="6" t="n">
        <f aca="false">Y246-W246</f>
        <v>2070.46</v>
      </c>
      <c r="AA246" s="8" t="n">
        <f aca="false">IF(Y246=0,0,Z246/Y246)</f>
        <v>0.337684747542951</v>
      </c>
      <c r="AB246" s="3" t="str">
        <f aca="false">IF(ABS(V246-Y246)&gt;1,"Mismatch","OK")</f>
        <v>OK</v>
      </c>
      <c r="AC246" s="3" t="str">
        <f aca="false">IF(ABS(X246-Z246)&gt;1,"Mismatch","OK")</f>
        <v>OK</v>
      </c>
      <c r="AD246" s="5" t="n">
        <f aca="false">IF(OR(B246="",C246=""),"",C246-B246)</f>
        <v>1</v>
      </c>
      <c r="AE246" s="3" t="str">
        <f aca="false">IF(AD246="","Unknown",IF(AD246&lt;0,"Invalid - Ship Before Order","OK"))</f>
        <v>OK</v>
      </c>
      <c r="AF246" s="5" t="n">
        <f aca="false">IF(B246="","",MONTH(B246))</f>
        <v>8</v>
      </c>
      <c r="AG246" s="5" t="n">
        <f aca="false">IF(B246="","",YEAR(B246))</f>
        <v>2024</v>
      </c>
      <c r="AH246" s="3" t="s">
        <v>52</v>
      </c>
      <c r="AI246" s="3" t="s">
        <v>53</v>
      </c>
      <c r="AJ246" s="3" t="str">
        <f aca="false">IF(AND(AI246="Completed",AH246="Failed"),"Inconsistent - Completed Order with Failed Payment","OK")</f>
        <v>OK</v>
      </c>
      <c r="AK246" s="3" t="s">
        <v>54</v>
      </c>
      <c r="AL246" s="3" t="str">
        <f aca="false">IF(OR(T246="Negative - Invalid",T246="Above Allowed Range - Invalid",AE246="Invalid - Ship Before Order",AK246&lt;&gt;"Unique",AB246="Mismatch",AC246="Mismatch",AJ246&lt;&gt;"OK"),"Invalid",IF(OR(H246="Yes",O246="Yes",T246="Missing"),"Warning","Clean"))</f>
        <v>Clean</v>
      </c>
    </row>
    <row r="247" customFormat="false" ht="15" hidden="false" customHeight="true" outlineLevel="0" collapsed="false">
      <c r="A247" s="3" t="s">
        <v>882</v>
      </c>
      <c r="B247" s="4" t="n">
        <v>45583</v>
      </c>
      <c r="C247" s="4" t="n">
        <v>45589</v>
      </c>
      <c r="D247" s="3" t="s">
        <v>883</v>
      </c>
      <c r="E247" s="3" t="s">
        <v>104</v>
      </c>
      <c r="F247" s="3" t="s">
        <v>121</v>
      </c>
      <c r="G247" s="3" t="s">
        <v>78</v>
      </c>
      <c r="H247" s="3" t="s">
        <v>43</v>
      </c>
      <c r="I247" s="3" t="s">
        <v>216</v>
      </c>
      <c r="J247" s="3" t="s">
        <v>217</v>
      </c>
      <c r="K247" s="3" t="s">
        <v>62</v>
      </c>
      <c r="L247" s="3" t="s">
        <v>91</v>
      </c>
      <c r="M247" s="3" t="s">
        <v>884</v>
      </c>
      <c r="N247" s="3" t="s">
        <v>49</v>
      </c>
      <c r="O247" s="3" t="s">
        <v>43</v>
      </c>
      <c r="P247" s="5" t="n">
        <v>3</v>
      </c>
      <c r="Q247" s="6" t="n">
        <v>3275.93</v>
      </c>
      <c r="R247" s="3" t="s">
        <v>66</v>
      </c>
      <c r="S247" s="7" t="n">
        <v>0</v>
      </c>
      <c r="T247" s="3" t="s">
        <v>51</v>
      </c>
      <c r="U247" s="7" t="n">
        <f aca="false">IF(T247="Valid",S247,0)</f>
        <v>0</v>
      </c>
      <c r="V247" s="6" t="n">
        <v>9827.79</v>
      </c>
      <c r="W247" s="6" t="n">
        <v>5478.28</v>
      </c>
      <c r="X247" s="6" t="n">
        <v>4349.51</v>
      </c>
      <c r="Y247" s="6" t="n">
        <f aca="false">P247*Q247*(1-U247)</f>
        <v>9827.79</v>
      </c>
      <c r="Z247" s="6" t="n">
        <f aca="false">Y247-W247</f>
        <v>4349.51</v>
      </c>
      <c r="AA247" s="8" t="n">
        <f aca="false">IF(Y247=0,0,Z247/Y247)</f>
        <v>0.442572541741327</v>
      </c>
      <c r="AB247" s="3" t="str">
        <f aca="false">IF(ABS(V247-Y247)&gt;1,"Mismatch","OK")</f>
        <v>OK</v>
      </c>
      <c r="AC247" s="3" t="str">
        <f aca="false">IF(ABS(X247-Z247)&gt;1,"Mismatch","OK")</f>
        <v>OK</v>
      </c>
      <c r="AD247" s="5" t="n">
        <f aca="false">IF(OR(B247="",C247=""),"",C247-B247)</f>
        <v>6</v>
      </c>
      <c r="AE247" s="3" t="str">
        <f aca="false">IF(AD247="","Unknown",IF(AD247&lt;0,"Invalid - Ship Before Order","OK"))</f>
        <v>OK</v>
      </c>
      <c r="AF247" s="5" t="n">
        <f aca="false">IF(B247="","",MONTH(B247))</f>
        <v>10</v>
      </c>
      <c r="AG247" s="5" t="n">
        <f aca="false">IF(B247="","",YEAR(B247))</f>
        <v>2024</v>
      </c>
      <c r="AH247" s="3" t="s">
        <v>52</v>
      </c>
      <c r="AI247" s="3" t="s">
        <v>53</v>
      </c>
      <c r="AJ247" s="3" t="str">
        <f aca="false">IF(AND(AI247="Completed",AH247="Failed"),"Inconsistent - Completed Order with Failed Payment","OK")</f>
        <v>OK</v>
      </c>
      <c r="AK247" s="3" t="s">
        <v>54</v>
      </c>
      <c r="AL247" s="3" t="str">
        <f aca="false">IF(OR(T247="Negative - Invalid",T247="Above Allowed Range - Invalid",AE247="Invalid - Ship Before Order",AK247&lt;&gt;"Unique",AB247="Mismatch",AC247="Mismatch",AJ247&lt;&gt;"OK"),"Invalid",IF(OR(H247="Yes",O247="Yes",T247="Missing"),"Warning","Clean"))</f>
        <v>Clean</v>
      </c>
    </row>
    <row r="248" customFormat="false" ht="15" hidden="false" customHeight="true" outlineLevel="0" collapsed="false">
      <c r="A248" s="3" t="s">
        <v>885</v>
      </c>
      <c r="B248" s="4" t="n">
        <v>45416</v>
      </c>
      <c r="C248" s="4" t="n">
        <v>45421</v>
      </c>
      <c r="D248" s="3" t="s">
        <v>886</v>
      </c>
      <c r="E248" s="3" t="s">
        <v>87</v>
      </c>
      <c r="F248" s="3" t="s">
        <v>116</v>
      </c>
      <c r="G248" s="3" t="s">
        <v>42</v>
      </c>
      <c r="H248" s="3" t="s">
        <v>43</v>
      </c>
      <c r="I248" s="3" t="s">
        <v>149</v>
      </c>
      <c r="J248" s="3" t="s">
        <v>150</v>
      </c>
      <c r="K248" s="3" t="s">
        <v>99</v>
      </c>
      <c r="L248" s="3" t="s">
        <v>308</v>
      </c>
      <c r="M248" s="3" t="s">
        <v>887</v>
      </c>
      <c r="N248" s="3" t="s">
        <v>65</v>
      </c>
      <c r="O248" s="3" t="s">
        <v>43</v>
      </c>
      <c r="P248" s="5" t="n">
        <v>3</v>
      </c>
      <c r="Q248" s="6" t="n">
        <v>231.95</v>
      </c>
      <c r="R248" s="3" t="s">
        <v>84</v>
      </c>
      <c r="S248" s="7" t="n">
        <v>0.25</v>
      </c>
      <c r="T248" s="3" t="s">
        <v>51</v>
      </c>
      <c r="U248" s="7" t="n">
        <f aca="false">IF(T248="Valid",S248,0)</f>
        <v>0.25</v>
      </c>
      <c r="V248" s="6" t="n">
        <v>521.89</v>
      </c>
      <c r="W248" s="6" t="n">
        <v>444.52</v>
      </c>
      <c r="X248" s="6" t="n">
        <v>77.37</v>
      </c>
      <c r="Y248" s="6" t="n">
        <f aca="false">P248*Q248*(1-U248)</f>
        <v>521.8875</v>
      </c>
      <c r="Z248" s="6" t="n">
        <f aca="false">Y248-W248</f>
        <v>77.3675</v>
      </c>
      <c r="AA248" s="8" t="n">
        <f aca="false">IF(Y248=0,0,Z248/Y248)</f>
        <v>0.148245551004766</v>
      </c>
      <c r="AB248" s="3" t="str">
        <f aca="false">IF(ABS(V248-Y248)&gt;1,"Mismatch","OK")</f>
        <v>OK</v>
      </c>
      <c r="AC248" s="3" t="str">
        <f aca="false">IF(ABS(X248-Z248)&gt;1,"Mismatch","OK")</f>
        <v>OK</v>
      </c>
      <c r="AD248" s="5" t="n">
        <f aca="false">IF(OR(B248="",C248=""),"",C248-B248)</f>
        <v>5</v>
      </c>
      <c r="AE248" s="3" t="str">
        <f aca="false">IF(AD248="","Unknown",IF(AD248&lt;0,"Invalid - Ship Before Order","OK"))</f>
        <v>OK</v>
      </c>
      <c r="AF248" s="5" t="n">
        <f aca="false">IF(B248="","",MONTH(B248))</f>
        <v>5</v>
      </c>
      <c r="AG248" s="5" t="n">
        <f aca="false">IF(B248="","",YEAR(B248))</f>
        <v>2024</v>
      </c>
      <c r="AH248" s="3" t="s">
        <v>129</v>
      </c>
      <c r="AI248" s="3" t="s">
        <v>93</v>
      </c>
      <c r="AJ248" s="3" t="str">
        <f aca="false">IF(AND(AI248="Completed",AH248="Failed"),"Inconsistent - Completed Order with Failed Payment","OK")</f>
        <v>OK</v>
      </c>
      <c r="AK248" s="3" t="s">
        <v>54</v>
      </c>
      <c r="AL248" s="3" t="str">
        <f aca="false">IF(OR(T248="Negative - Invalid",T248="Above Allowed Range - Invalid",AE248="Invalid - Ship Before Order",AK248&lt;&gt;"Unique",AB248="Mismatch",AC248="Mismatch",AJ248&lt;&gt;"OK"),"Invalid",IF(OR(H248="Yes",O248="Yes",T248="Missing"),"Warning","Clean"))</f>
        <v>Clean</v>
      </c>
    </row>
    <row r="249" customFormat="false" ht="15" hidden="false" customHeight="true" outlineLevel="0" collapsed="false">
      <c r="A249" s="3" t="s">
        <v>888</v>
      </c>
      <c r="B249" s="4" t="n">
        <v>45498</v>
      </c>
      <c r="C249" s="4" t="n">
        <v>45505</v>
      </c>
      <c r="D249" s="3" t="s">
        <v>889</v>
      </c>
      <c r="E249" s="3" t="s">
        <v>145</v>
      </c>
      <c r="F249" s="3" t="s">
        <v>116</v>
      </c>
      <c r="G249" s="3" t="s">
        <v>42</v>
      </c>
      <c r="H249" s="3" t="s">
        <v>43</v>
      </c>
      <c r="I249" s="3" t="s">
        <v>44</v>
      </c>
      <c r="J249" s="3" t="s">
        <v>45</v>
      </c>
      <c r="K249" s="3" t="s">
        <v>99</v>
      </c>
      <c r="L249" s="3" t="s">
        <v>100</v>
      </c>
      <c r="M249" s="3" t="s">
        <v>890</v>
      </c>
      <c r="N249" s="3" t="s">
        <v>49</v>
      </c>
      <c r="O249" s="3" t="s">
        <v>43</v>
      </c>
      <c r="P249" s="5" t="n">
        <v>8</v>
      </c>
      <c r="Q249" s="6" t="n">
        <v>2493.4</v>
      </c>
      <c r="R249" s="3" t="s">
        <v>84</v>
      </c>
      <c r="S249" s="7" t="n">
        <v>0.25</v>
      </c>
      <c r="T249" s="3" t="s">
        <v>51</v>
      </c>
      <c r="U249" s="7" t="n">
        <f aca="false">IF(T249="Valid",S249,0)</f>
        <v>0.25</v>
      </c>
      <c r="V249" s="6" t="n">
        <v>14960.4</v>
      </c>
      <c r="W249" s="6" t="n">
        <v>12500.84</v>
      </c>
      <c r="X249" s="6" t="n">
        <v>2459.56</v>
      </c>
      <c r="Y249" s="6" t="n">
        <f aca="false">P249*Q249*(1-U249)</f>
        <v>14960.4</v>
      </c>
      <c r="Z249" s="6" t="n">
        <f aca="false">Y249-W249</f>
        <v>2459.56</v>
      </c>
      <c r="AA249" s="8" t="n">
        <f aca="false">IF(Y249=0,0,Z249/Y249)</f>
        <v>0.164404695061629</v>
      </c>
      <c r="AB249" s="3" t="str">
        <f aca="false">IF(ABS(V249-Y249)&gt;1,"Mismatch","OK")</f>
        <v>OK</v>
      </c>
      <c r="AC249" s="3" t="str">
        <f aca="false">IF(ABS(X249-Z249)&gt;1,"Mismatch","OK")</f>
        <v>OK</v>
      </c>
      <c r="AD249" s="5" t="n">
        <f aca="false">IF(OR(B249="",C249=""),"",C249-B249)</f>
        <v>7</v>
      </c>
      <c r="AE249" s="3" t="str">
        <f aca="false">IF(AD249="","Unknown",IF(AD249&lt;0,"Invalid - Ship Before Order","OK"))</f>
        <v>OK</v>
      </c>
      <c r="AF249" s="5" t="n">
        <f aca="false">IF(B249="","",MONTH(B249))</f>
        <v>7</v>
      </c>
      <c r="AG249" s="5" t="n">
        <f aca="false">IF(B249="","",YEAR(B249))</f>
        <v>2024</v>
      </c>
      <c r="AH249" s="3" t="s">
        <v>52</v>
      </c>
      <c r="AI249" s="3" t="s">
        <v>53</v>
      </c>
      <c r="AJ249" s="3" t="str">
        <f aca="false">IF(AND(AI249="Completed",AH249="Failed"),"Inconsistent - Completed Order with Failed Payment","OK")</f>
        <v>OK</v>
      </c>
      <c r="AK249" s="3" t="s">
        <v>54</v>
      </c>
      <c r="AL249" s="3" t="str">
        <f aca="false">IF(OR(T249="Negative - Invalid",T249="Above Allowed Range - Invalid",AE249="Invalid - Ship Before Order",AK249&lt;&gt;"Unique",AB249="Mismatch",AC249="Mismatch",AJ249&lt;&gt;"OK"),"Invalid",IF(OR(H249="Yes",O249="Yes",T249="Missing"),"Warning","Clean"))</f>
        <v>Clean</v>
      </c>
    </row>
    <row r="250" customFormat="false" ht="15" hidden="false" customHeight="true" outlineLevel="0" collapsed="false">
      <c r="A250" s="3" t="s">
        <v>891</v>
      </c>
      <c r="B250" s="4" t="n">
        <v>45445</v>
      </c>
      <c r="C250" s="4" t="n">
        <v>45450</v>
      </c>
      <c r="D250" s="3" t="s">
        <v>892</v>
      </c>
      <c r="E250" s="3" t="s">
        <v>168</v>
      </c>
      <c r="F250" s="3" t="s">
        <v>121</v>
      </c>
      <c r="G250" s="3" t="s">
        <v>59</v>
      </c>
      <c r="H250" s="3" t="s">
        <v>43</v>
      </c>
      <c r="I250" s="3" t="s">
        <v>60</v>
      </c>
      <c r="J250" s="3" t="s">
        <v>61</v>
      </c>
      <c r="K250" s="3" t="s">
        <v>46</v>
      </c>
      <c r="L250" s="3" t="s">
        <v>117</v>
      </c>
      <c r="M250" s="3" t="s">
        <v>893</v>
      </c>
      <c r="N250" s="3" t="s">
        <v>49</v>
      </c>
      <c r="O250" s="3" t="s">
        <v>43</v>
      </c>
      <c r="P250" s="5" t="n">
        <v>9</v>
      </c>
      <c r="Q250" s="6" t="n">
        <v>787.91</v>
      </c>
      <c r="R250" s="3" t="s">
        <v>107</v>
      </c>
      <c r="S250" s="7" t="n">
        <v>0.15</v>
      </c>
      <c r="T250" s="3" t="s">
        <v>51</v>
      </c>
      <c r="U250" s="7" t="n">
        <f aca="false">IF(T250="Valid",S250,0)</f>
        <v>0.15</v>
      </c>
      <c r="V250" s="6" t="n">
        <v>6027.51</v>
      </c>
      <c r="W250" s="6" t="n">
        <v>4883.82</v>
      </c>
      <c r="X250" s="6" t="n">
        <v>1143.69</v>
      </c>
      <c r="Y250" s="6" t="n">
        <f aca="false">P250*Q250*(1-U250)</f>
        <v>6027.5115</v>
      </c>
      <c r="Z250" s="6" t="n">
        <f aca="false">Y250-W250</f>
        <v>1143.6915</v>
      </c>
      <c r="AA250" s="8" t="n">
        <f aca="false">IF(Y250=0,0,Z250/Y250)</f>
        <v>0.189745220726663</v>
      </c>
      <c r="AB250" s="3" t="str">
        <f aca="false">IF(ABS(V250-Y250)&gt;1,"Mismatch","OK")</f>
        <v>OK</v>
      </c>
      <c r="AC250" s="3" t="str">
        <f aca="false">IF(ABS(X250-Z250)&gt;1,"Mismatch","OK")</f>
        <v>OK</v>
      </c>
      <c r="AD250" s="5" t="n">
        <f aca="false">IF(OR(B250="",C250=""),"",C250-B250)</f>
        <v>5</v>
      </c>
      <c r="AE250" s="3" t="str">
        <f aca="false">IF(AD250="","Unknown",IF(AD250&lt;0,"Invalid - Ship Before Order","OK"))</f>
        <v>OK</v>
      </c>
      <c r="AF250" s="5" t="n">
        <f aca="false">IF(B250="","",MONTH(B250))</f>
        <v>6</v>
      </c>
      <c r="AG250" s="5" t="n">
        <f aca="false">IF(B250="","",YEAR(B250))</f>
        <v>2024</v>
      </c>
      <c r="AH250" s="3" t="s">
        <v>52</v>
      </c>
      <c r="AI250" s="3" t="s">
        <v>53</v>
      </c>
      <c r="AJ250" s="3" t="str">
        <f aca="false">IF(AND(AI250="Completed",AH250="Failed"),"Inconsistent - Completed Order with Failed Payment","OK")</f>
        <v>OK</v>
      </c>
      <c r="AK250" s="3" t="s">
        <v>54</v>
      </c>
      <c r="AL250" s="3" t="str">
        <f aca="false">IF(OR(T250="Negative - Invalid",T250="Above Allowed Range - Invalid",AE250="Invalid - Ship Before Order",AK250&lt;&gt;"Unique",AB250="Mismatch",AC250="Mismatch",AJ250&lt;&gt;"OK"),"Invalid",IF(OR(H250="Yes",O250="Yes",T250="Missing"),"Warning","Clean"))</f>
        <v>Clean</v>
      </c>
    </row>
    <row r="251" customFormat="false" ht="15" hidden="false" customHeight="true" outlineLevel="0" collapsed="false">
      <c r="A251" s="3" t="s">
        <v>894</v>
      </c>
      <c r="B251" s="4" t="n">
        <v>45870</v>
      </c>
      <c r="C251" s="4" t="n">
        <v>45871</v>
      </c>
      <c r="D251" s="3" t="s">
        <v>895</v>
      </c>
      <c r="E251" s="3" t="s">
        <v>57</v>
      </c>
      <c r="F251" s="3" t="s">
        <v>116</v>
      </c>
      <c r="G251" s="3" t="s">
        <v>42</v>
      </c>
      <c r="H251" s="3" t="s">
        <v>43</v>
      </c>
      <c r="I251" s="3" t="s">
        <v>44</v>
      </c>
      <c r="J251" s="3" t="s">
        <v>45</v>
      </c>
      <c r="K251" s="3" t="s">
        <v>62</v>
      </c>
      <c r="L251" s="3" t="s">
        <v>81</v>
      </c>
      <c r="M251" s="3" t="s">
        <v>896</v>
      </c>
      <c r="N251" s="3" t="s">
        <v>72</v>
      </c>
      <c r="O251" s="3" t="s">
        <v>43</v>
      </c>
      <c r="P251" s="5" t="n">
        <v>4</v>
      </c>
      <c r="Q251" s="6" t="n">
        <v>2790.29</v>
      </c>
      <c r="R251" s="3" t="s">
        <v>50</v>
      </c>
      <c r="S251" s="7" t="n">
        <v>0.2</v>
      </c>
      <c r="T251" s="3" t="s">
        <v>51</v>
      </c>
      <c r="U251" s="7" t="n">
        <f aca="false">IF(T251="Valid",S251,0)</f>
        <v>0.2</v>
      </c>
      <c r="V251" s="6" t="n">
        <v>8928.93</v>
      </c>
      <c r="W251" s="6" t="n">
        <v>5634.38</v>
      </c>
      <c r="X251" s="6" t="n">
        <v>3294.55</v>
      </c>
      <c r="Y251" s="6" t="n">
        <f aca="false">P251*Q251*(1-U251)</f>
        <v>8928.928</v>
      </c>
      <c r="Z251" s="6" t="n">
        <f aca="false">Y251-W251</f>
        <v>3294.548</v>
      </c>
      <c r="AA251" s="8" t="n">
        <f aca="false">IF(Y251=0,0,Z251/Y251)</f>
        <v>0.368974640628752</v>
      </c>
      <c r="AB251" s="3" t="str">
        <f aca="false">IF(ABS(V251-Y251)&gt;1,"Mismatch","OK")</f>
        <v>OK</v>
      </c>
      <c r="AC251" s="3" t="str">
        <f aca="false">IF(ABS(X251-Z251)&gt;1,"Mismatch","OK")</f>
        <v>OK</v>
      </c>
      <c r="AD251" s="5" t="n">
        <f aca="false">IF(OR(B251="",C251=""),"",C251-B251)</f>
        <v>1</v>
      </c>
      <c r="AE251" s="3" t="str">
        <f aca="false">IF(AD251="","Unknown",IF(AD251&lt;0,"Invalid - Ship Before Order","OK"))</f>
        <v>OK</v>
      </c>
      <c r="AF251" s="5" t="n">
        <f aca="false">IF(B251="","",MONTH(B251))</f>
        <v>8</v>
      </c>
      <c r="AG251" s="5" t="n">
        <f aca="false">IF(B251="","",YEAR(B251))</f>
        <v>2025</v>
      </c>
      <c r="AH251" s="3" t="s">
        <v>52</v>
      </c>
      <c r="AI251" s="3" t="s">
        <v>53</v>
      </c>
      <c r="AJ251" s="3" t="str">
        <f aca="false">IF(AND(AI251="Completed",AH251="Failed"),"Inconsistent - Completed Order with Failed Payment","OK")</f>
        <v>OK</v>
      </c>
      <c r="AK251" s="3" t="s">
        <v>54</v>
      </c>
      <c r="AL251" s="3" t="str">
        <f aca="false">IF(OR(T251="Negative - Invalid",T251="Above Allowed Range - Invalid",AE251="Invalid - Ship Before Order",AK251&lt;&gt;"Unique",AB251="Mismatch",AC251="Mismatch",AJ251&lt;&gt;"OK"),"Invalid",IF(OR(H251="Yes",O251="Yes",T251="Missing"),"Warning","Clean"))</f>
        <v>Clean</v>
      </c>
    </row>
    <row r="252" customFormat="false" ht="15" hidden="false" customHeight="true" outlineLevel="0" collapsed="false">
      <c r="A252" s="3" t="s">
        <v>897</v>
      </c>
      <c r="B252" s="4" t="n">
        <v>45343</v>
      </c>
      <c r="C252" s="4" t="n">
        <v>45349</v>
      </c>
      <c r="D252" s="3" t="s">
        <v>898</v>
      </c>
      <c r="E252" s="3" t="s">
        <v>77</v>
      </c>
      <c r="F252" s="3" t="s">
        <v>58</v>
      </c>
      <c r="G252" s="3" t="s">
        <v>59</v>
      </c>
      <c r="H252" s="3" t="s">
        <v>43</v>
      </c>
      <c r="I252" s="3" t="s">
        <v>125</v>
      </c>
      <c r="J252" s="3" t="s">
        <v>126</v>
      </c>
      <c r="K252" s="3" t="s">
        <v>62</v>
      </c>
      <c r="L252" s="3" t="s">
        <v>81</v>
      </c>
      <c r="M252" s="3" t="s">
        <v>899</v>
      </c>
      <c r="N252" s="3" t="s">
        <v>83</v>
      </c>
      <c r="O252" s="3" t="s">
        <v>43</v>
      </c>
      <c r="P252" s="5" t="n">
        <v>5</v>
      </c>
      <c r="Q252" s="6" t="n">
        <v>3373.86</v>
      </c>
      <c r="R252" s="3" t="s">
        <v>107</v>
      </c>
      <c r="S252" s="7" t="n">
        <v>0.15</v>
      </c>
      <c r="T252" s="3" t="s">
        <v>51</v>
      </c>
      <c r="U252" s="7" t="n">
        <f aca="false">IF(T252="Valid",S252,0)</f>
        <v>0.15</v>
      </c>
      <c r="V252" s="6" t="n">
        <v>14338.9</v>
      </c>
      <c r="W252" s="6" t="n">
        <v>11897.65</v>
      </c>
      <c r="X252" s="6" t="n">
        <v>2441.25</v>
      </c>
      <c r="Y252" s="6" t="n">
        <f aca="false">P252*Q252*(1-U252)</f>
        <v>14338.905</v>
      </c>
      <c r="Z252" s="6" t="n">
        <f aca="false">Y252-W252</f>
        <v>2441.255</v>
      </c>
      <c r="AA252" s="8" t="n">
        <f aca="false">IF(Y252=0,0,Z252/Y252)</f>
        <v>0.170253935011076</v>
      </c>
      <c r="AB252" s="3" t="str">
        <f aca="false">IF(ABS(V252-Y252)&gt;1,"Mismatch","OK")</f>
        <v>OK</v>
      </c>
      <c r="AC252" s="3" t="str">
        <f aca="false">IF(ABS(X252-Z252)&gt;1,"Mismatch","OK")</f>
        <v>OK</v>
      </c>
      <c r="AD252" s="5" t="n">
        <f aca="false">IF(OR(B252="",C252=""),"",C252-B252)</f>
        <v>6</v>
      </c>
      <c r="AE252" s="3" t="str">
        <f aca="false">IF(AD252="","Unknown",IF(AD252&lt;0,"Invalid - Ship Before Order","OK"))</f>
        <v>OK</v>
      </c>
      <c r="AF252" s="5" t="n">
        <f aca="false">IF(B252="","",MONTH(B252))</f>
        <v>2</v>
      </c>
      <c r="AG252" s="5" t="n">
        <f aca="false">IF(B252="","",YEAR(B252))</f>
        <v>2024</v>
      </c>
      <c r="AH252" s="3" t="s">
        <v>138</v>
      </c>
      <c r="AI252" s="3" t="s">
        <v>130</v>
      </c>
      <c r="AJ252" s="3" t="str">
        <f aca="false">IF(AND(AI252="Completed",AH252="Failed"),"Inconsistent - Completed Order with Failed Payment","OK")</f>
        <v>OK</v>
      </c>
      <c r="AK252" s="3" t="s">
        <v>54</v>
      </c>
      <c r="AL252" s="3" t="str">
        <f aca="false">IF(OR(T252="Negative - Invalid",T252="Above Allowed Range - Invalid",AE252="Invalid - Ship Before Order",AK252&lt;&gt;"Unique",AB252="Mismatch",AC252="Mismatch",AJ252&lt;&gt;"OK"),"Invalid",IF(OR(H252="Yes",O252="Yes",T252="Missing"),"Warning","Clean"))</f>
        <v>Clean</v>
      </c>
    </row>
    <row r="253" customFormat="false" ht="15" hidden="false" customHeight="true" outlineLevel="0" collapsed="false">
      <c r="A253" s="3" t="s">
        <v>900</v>
      </c>
      <c r="B253" s="4" t="n">
        <v>45753</v>
      </c>
      <c r="C253" s="4" t="n">
        <v>45757</v>
      </c>
      <c r="D253" s="3" t="s">
        <v>901</v>
      </c>
      <c r="E253" s="3" t="s">
        <v>87</v>
      </c>
      <c r="F253" s="3" t="s">
        <v>116</v>
      </c>
      <c r="G253" s="3" t="s">
        <v>88</v>
      </c>
      <c r="H253" s="3" t="s">
        <v>43</v>
      </c>
      <c r="I253" s="3" t="s">
        <v>211</v>
      </c>
      <c r="J253" s="3" t="s">
        <v>212</v>
      </c>
      <c r="K253" s="3" t="s">
        <v>62</v>
      </c>
      <c r="L253" s="3" t="s">
        <v>63</v>
      </c>
      <c r="M253" s="3" t="s">
        <v>902</v>
      </c>
      <c r="N253" s="3" t="s">
        <v>49</v>
      </c>
      <c r="O253" s="3" t="s">
        <v>43</v>
      </c>
      <c r="P253" s="5" t="n">
        <v>6</v>
      </c>
      <c r="Q253" s="6" t="n">
        <v>1022.16</v>
      </c>
      <c r="R253" s="3" t="s">
        <v>66</v>
      </c>
      <c r="S253" s="7" t="n">
        <v>0</v>
      </c>
      <c r="T253" s="3" t="s">
        <v>51</v>
      </c>
      <c r="U253" s="7" t="n">
        <f aca="false">IF(T253="Valid",S253,0)</f>
        <v>0</v>
      </c>
      <c r="V253" s="6" t="n">
        <v>6132.96</v>
      </c>
      <c r="W253" s="6" t="n">
        <v>4881.1</v>
      </c>
      <c r="X253" s="6" t="n">
        <v>1251.86</v>
      </c>
      <c r="Y253" s="6" t="n">
        <f aca="false">P253*Q253*(1-U253)</f>
        <v>6132.96</v>
      </c>
      <c r="Z253" s="6" t="n">
        <f aca="false">Y253-W253</f>
        <v>1251.86</v>
      </c>
      <c r="AA253" s="8" t="n">
        <f aca="false">IF(Y253=0,0,Z253/Y253)</f>
        <v>0.204120033393337</v>
      </c>
      <c r="AB253" s="3" t="str">
        <f aca="false">IF(ABS(V253-Y253)&gt;1,"Mismatch","OK")</f>
        <v>OK</v>
      </c>
      <c r="AC253" s="3" t="str">
        <f aca="false">IF(ABS(X253-Z253)&gt;1,"Mismatch","OK")</f>
        <v>OK</v>
      </c>
      <c r="AD253" s="5" t="n">
        <f aca="false">IF(OR(B253="",C253=""),"",C253-B253)</f>
        <v>4</v>
      </c>
      <c r="AE253" s="3" t="str">
        <f aca="false">IF(AD253="","Unknown",IF(AD253&lt;0,"Invalid - Ship Before Order","OK"))</f>
        <v>OK</v>
      </c>
      <c r="AF253" s="5" t="n">
        <f aca="false">IF(B253="","",MONTH(B253))</f>
        <v>4</v>
      </c>
      <c r="AG253" s="5" t="n">
        <f aca="false">IF(B253="","",YEAR(B253))</f>
        <v>2025</v>
      </c>
      <c r="AH253" s="3" t="s">
        <v>52</v>
      </c>
      <c r="AI253" s="3" t="s">
        <v>53</v>
      </c>
      <c r="AJ253" s="3" t="str">
        <f aca="false">IF(AND(AI253="Completed",AH253="Failed"),"Inconsistent - Completed Order with Failed Payment","OK")</f>
        <v>OK</v>
      </c>
      <c r="AK253" s="3" t="s">
        <v>54</v>
      </c>
      <c r="AL253" s="3" t="str">
        <f aca="false">IF(OR(T253="Negative - Invalid",T253="Above Allowed Range - Invalid",AE253="Invalid - Ship Before Order",AK253&lt;&gt;"Unique",AB253="Mismatch",AC253="Mismatch",AJ253&lt;&gt;"OK"),"Invalid",IF(OR(H253="Yes",O253="Yes",T253="Missing"),"Warning","Clean"))</f>
        <v>Clean</v>
      </c>
    </row>
    <row r="254" customFormat="false" ht="15" hidden="false" customHeight="true" outlineLevel="0" collapsed="false">
      <c r="A254" s="3" t="s">
        <v>903</v>
      </c>
      <c r="B254" s="4" t="n">
        <v>45833</v>
      </c>
      <c r="C254" s="4" t="n">
        <v>45836</v>
      </c>
      <c r="D254" s="3" t="s">
        <v>904</v>
      </c>
      <c r="E254" s="3" t="s">
        <v>77</v>
      </c>
      <c r="F254" s="3" t="s">
        <v>116</v>
      </c>
      <c r="G254" s="3" t="s">
        <v>42</v>
      </c>
      <c r="H254" s="3" t="s">
        <v>43</v>
      </c>
      <c r="I254" s="3" t="s">
        <v>270</v>
      </c>
      <c r="J254" s="3" t="s">
        <v>271</v>
      </c>
      <c r="K254" s="3" t="s">
        <v>46</v>
      </c>
      <c r="L254" s="3" t="s">
        <v>151</v>
      </c>
      <c r="M254" s="3" t="s">
        <v>905</v>
      </c>
      <c r="N254" s="3" t="s">
        <v>72</v>
      </c>
      <c r="O254" s="3" t="s">
        <v>43</v>
      </c>
      <c r="P254" s="5" t="n">
        <v>2</v>
      </c>
      <c r="Q254" s="6" t="n">
        <v>1455.92</v>
      </c>
      <c r="R254" s="3" t="s">
        <v>50</v>
      </c>
      <c r="S254" s="7" t="n">
        <v>0.2</v>
      </c>
      <c r="T254" s="3" t="s">
        <v>51</v>
      </c>
      <c r="U254" s="7" t="n">
        <f aca="false">IF(T254="Valid",S254,0)</f>
        <v>0.2</v>
      </c>
      <c r="V254" s="6" t="n">
        <v>2329.47</v>
      </c>
      <c r="W254" s="6" t="n">
        <v>1603.62</v>
      </c>
      <c r="X254" s="6" t="n">
        <v>725.85</v>
      </c>
      <c r="Y254" s="6" t="n">
        <f aca="false">P254*Q254*(1-U254)</f>
        <v>2329.472</v>
      </c>
      <c r="Z254" s="6" t="n">
        <f aca="false">Y254-W254</f>
        <v>725.852</v>
      </c>
      <c r="AA254" s="8" t="n">
        <f aca="false">IF(Y254=0,0,Z254/Y254)</f>
        <v>0.31159507390516</v>
      </c>
      <c r="AB254" s="3" t="str">
        <f aca="false">IF(ABS(V254-Y254)&gt;1,"Mismatch","OK")</f>
        <v>OK</v>
      </c>
      <c r="AC254" s="3" t="str">
        <f aca="false">IF(ABS(X254-Z254)&gt;1,"Mismatch","OK")</f>
        <v>OK</v>
      </c>
      <c r="AD254" s="5" t="n">
        <f aca="false">IF(OR(B254="",C254=""),"",C254-B254)</f>
        <v>3</v>
      </c>
      <c r="AE254" s="3" t="str">
        <f aca="false">IF(AD254="","Unknown",IF(AD254&lt;0,"Invalid - Ship Before Order","OK"))</f>
        <v>OK</v>
      </c>
      <c r="AF254" s="5" t="n">
        <f aca="false">IF(B254="","",MONTH(B254))</f>
        <v>6</v>
      </c>
      <c r="AG254" s="5" t="n">
        <f aca="false">IF(B254="","",YEAR(B254))</f>
        <v>2025</v>
      </c>
      <c r="AH254" s="3" t="s">
        <v>138</v>
      </c>
      <c r="AI254" s="3" t="s">
        <v>130</v>
      </c>
      <c r="AJ254" s="3" t="str">
        <f aca="false">IF(AND(AI254="Completed",AH254="Failed"),"Inconsistent - Completed Order with Failed Payment","OK")</f>
        <v>OK</v>
      </c>
      <c r="AK254" s="3" t="s">
        <v>54</v>
      </c>
      <c r="AL254" s="3" t="str">
        <f aca="false">IF(OR(T254="Negative - Invalid",T254="Above Allowed Range - Invalid",AE254="Invalid - Ship Before Order",AK254&lt;&gt;"Unique",AB254="Mismatch",AC254="Mismatch",AJ254&lt;&gt;"OK"),"Invalid",IF(OR(H254="Yes",O254="Yes",T254="Missing"),"Warning","Clean"))</f>
        <v>Clean</v>
      </c>
    </row>
    <row r="255" customFormat="false" ht="15" hidden="false" customHeight="true" outlineLevel="0" collapsed="false">
      <c r="A255" s="3" t="s">
        <v>906</v>
      </c>
      <c r="B255" s="4" t="n">
        <v>45547</v>
      </c>
      <c r="C255" s="4" t="n">
        <v>45548</v>
      </c>
      <c r="D255" s="3" t="s">
        <v>907</v>
      </c>
      <c r="E255" s="3" t="s">
        <v>141</v>
      </c>
      <c r="F255" s="3" t="s">
        <v>58</v>
      </c>
      <c r="G255" s="3" t="s">
        <v>42</v>
      </c>
      <c r="H255" s="3" t="s">
        <v>43</v>
      </c>
      <c r="I255" s="3" t="s">
        <v>44</v>
      </c>
      <c r="J255" s="3" t="s">
        <v>45</v>
      </c>
      <c r="K255" s="3" t="s">
        <v>99</v>
      </c>
      <c r="L255" s="3" t="s">
        <v>201</v>
      </c>
      <c r="M255" s="3" t="s">
        <v>908</v>
      </c>
      <c r="N255" s="3" t="s">
        <v>65</v>
      </c>
      <c r="O255" s="3" t="s">
        <v>43</v>
      </c>
      <c r="P255" s="5" t="n">
        <v>6</v>
      </c>
      <c r="Q255" s="6" t="n">
        <v>832.79</v>
      </c>
      <c r="R255" s="3" t="s">
        <v>128</v>
      </c>
      <c r="S255" s="7" t="n">
        <v>0.05</v>
      </c>
      <c r="T255" s="3" t="s">
        <v>51</v>
      </c>
      <c r="U255" s="7" t="n">
        <f aca="false">IF(T255="Valid",S255,0)</f>
        <v>0.05</v>
      </c>
      <c r="V255" s="6" t="n">
        <v>4746.9</v>
      </c>
      <c r="W255" s="6" t="n">
        <v>2825.38</v>
      </c>
      <c r="X255" s="6" t="n">
        <v>1472.89</v>
      </c>
      <c r="Y255" s="6" t="n">
        <f aca="false">P255*Q255*(1-U255)</f>
        <v>4746.903</v>
      </c>
      <c r="Z255" s="6" t="n">
        <f aca="false">Y255-W255</f>
        <v>1921.523</v>
      </c>
      <c r="AA255" s="8" t="n">
        <f aca="false">IF(Y255=0,0,Z255/Y255)</f>
        <v>0.404795084289694</v>
      </c>
      <c r="AB255" s="3" t="str">
        <f aca="false">IF(ABS(V255-Y255)&gt;1,"Mismatch","OK")</f>
        <v>OK</v>
      </c>
      <c r="AC255" s="3" t="str">
        <f aca="false">IF(ABS(X255-Z255)&gt;1,"Mismatch","OK")</f>
        <v>Mismatch</v>
      </c>
      <c r="AD255" s="5" t="n">
        <f aca="false">IF(OR(B255="",C255=""),"",C255-B255)</f>
        <v>1</v>
      </c>
      <c r="AE255" s="3" t="str">
        <f aca="false">IF(AD255="","Unknown",IF(AD255&lt;0,"Invalid - Ship Before Order","OK"))</f>
        <v>OK</v>
      </c>
      <c r="AF255" s="5" t="n">
        <f aca="false">IF(B255="","",MONTH(B255))</f>
        <v>9</v>
      </c>
      <c r="AG255" s="5" t="n">
        <f aca="false">IF(B255="","",YEAR(B255))</f>
        <v>2024</v>
      </c>
      <c r="AH255" s="3" t="s">
        <v>129</v>
      </c>
      <c r="AI255" s="3" t="s">
        <v>93</v>
      </c>
      <c r="AJ255" s="3" t="str">
        <f aca="false">IF(AND(AI255="Completed",AH255="Failed"),"Inconsistent - Completed Order with Failed Payment","OK")</f>
        <v>OK</v>
      </c>
      <c r="AK255" s="3" t="s">
        <v>54</v>
      </c>
      <c r="AL255" s="3" t="str">
        <f aca="false">IF(OR(T255="Negative - Invalid",T255="Above Allowed Range - Invalid",AE255="Invalid - Ship Before Order",AK255&lt;&gt;"Unique",AB255="Mismatch",AC255="Mismatch",AJ255&lt;&gt;"OK"),"Invalid",IF(OR(H255="Yes",O255="Yes",T255="Missing"),"Warning","Clean"))</f>
        <v>Invalid</v>
      </c>
    </row>
    <row r="256" customFormat="false" ht="15" hidden="false" customHeight="true" outlineLevel="0" collapsed="false">
      <c r="A256" s="3" t="s">
        <v>909</v>
      </c>
      <c r="B256" s="4" t="n">
        <v>45658</v>
      </c>
      <c r="C256" s="4" t="n">
        <v>45660</v>
      </c>
      <c r="D256" s="3" t="s">
        <v>910</v>
      </c>
      <c r="E256" s="3" t="s">
        <v>87</v>
      </c>
      <c r="F256" s="3" t="s">
        <v>41</v>
      </c>
      <c r="G256" s="3" t="s">
        <v>88</v>
      </c>
      <c r="H256" s="3" t="s">
        <v>43</v>
      </c>
      <c r="I256" s="3" t="s">
        <v>97</v>
      </c>
      <c r="J256" s="3" t="s">
        <v>98</v>
      </c>
      <c r="K256" s="3" t="s">
        <v>99</v>
      </c>
      <c r="L256" s="3" t="s">
        <v>100</v>
      </c>
      <c r="M256" s="3" t="s">
        <v>911</v>
      </c>
      <c r="N256" s="3" t="s">
        <v>65</v>
      </c>
      <c r="O256" s="3" t="s">
        <v>43</v>
      </c>
      <c r="P256" s="5" t="n">
        <v>7</v>
      </c>
      <c r="Q256" s="6" t="n">
        <v>1000.55</v>
      </c>
      <c r="R256" s="3" t="s">
        <v>50</v>
      </c>
      <c r="S256" s="7" t="n">
        <v>0.2</v>
      </c>
      <c r="T256" s="3" t="s">
        <v>51</v>
      </c>
      <c r="U256" s="7" t="n">
        <f aca="false">IF(T256="Valid",S256,0)</f>
        <v>0.2</v>
      </c>
      <c r="V256" s="6" t="n">
        <v>5603.08</v>
      </c>
      <c r="W256" s="6" t="n">
        <v>3132.52</v>
      </c>
      <c r="X256" s="6" t="n">
        <v>2470.56</v>
      </c>
      <c r="Y256" s="6" t="n">
        <f aca="false">P256*Q256*(1-U256)</f>
        <v>5603.08</v>
      </c>
      <c r="Z256" s="6" t="n">
        <f aca="false">Y256-W256</f>
        <v>2470.56</v>
      </c>
      <c r="AA256" s="8" t="n">
        <f aca="false">IF(Y256=0,0,Z256/Y256)</f>
        <v>0.440928917666712</v>
      </c>
      <c r="AB256" s="3" t="str">
        <f aca="false">IF(ABS(V256-Y256)&gt;1,"Mismatch","OK")</f>
        <v>OK</v>
      </c>
      <c r="AC256" s="3" t="str">
        <f aca="false">IF(ABS(X256-Z256)&gt;1,"Mismatch","OK")</f>
        <v>OK</v>
      </c>
      <c r="AD256" s="5" t="n">
        <f aca="false">IF(OR(B256="",C256=""),"",C256-B256)</f>
        <v>2</v>
      </c>
      <c r="AE256" s="3" t="str">
        <f aca="false">IF(AD256="","Unknown",IF(AD256&lt;0,"Invalid - Ship Before Order","OK"))</f>
        <v>OK</v>
      </c>
      <c r="AF256" s="5" t="n">
        <f aca="false">IF(B256="","",MONTH(B256))</f>
        <v>1</v>
      </c>
      <c r="AG256" s="5" t="n">
        <f aca="false">IF(B256="","",YEAR(B256))</f>
        <v>2025</v>
      </c>
      <c r="AH256" s="3" t="s">
        <v>52</v>
      </c>
      <c r="AI256" s="3" t="s">
        <v>130</v>
      </c>
      <c r="AJ256" s="3" t="str">
        <f aca="false">IF(AND(AI256="Completed",AH256="Failed"),"Inconsistent - Completed Order with Failed Payment","OK")</f>
        <v>OK</v>
      </c>
      <c r="AK256" s="3" t="s">
        <v>54</v>
      </c>
      <c r="AL256" s="3" t="str">
        <f aca="false">IF(OR(T256="Negative - Invalid",T256="Above Allowed Range - Invalid",AE256="Invalid - Ship Before Order",AK256&lt;&gt;"Unique",AB256="Mismatch",AC256="Mismatch",AJ256&lt;&gt;"OK"),"Invalid",IF(OR(H256="Yes",O256="Yes",T256="Missing"),"Warning","Clean"))</f>
        <v>Clean</v>
      </c>
    </row>
    <row r="257" customFormat="false" ht="15" hidden="false" customHeight="true" outlineLevel="0" collapsed="false">
      <c r="A257" s="3" t="s">
        <v>912</v>
      </c>
      <c r="B257" s="4" t="n">
        <v>45692</v>
      </c>
      <c r="C257" s="4" t="n">
        <v>45698</v>
      </c>
      <c r="D257" s="3" t="s">
        <v>913</v>
      </c>
      <c r="E257" s="3" t="s">
        <v>69</v>
      </c>
      <c r="F257" s="3" t="s">
        <v>116</v>
      </c>
      <c r="G257" s="3" t="s">
        <v>88</v>
      </c>
      <c r="H257" s="3" t="s">
        <v>43</v>
      </c>
      <c r="I257" s="3" t="s">
        <v>89</v>
      </c>
      <c r="J257" s="3" t="s">
        <v>90</v>
      </c>
      <c r="K257" s="3" t="s">
        <v>99</v>
      </c>
      <c r="L257" s="3" t="s">
        <v>201</v>
      </c>
      <c r="M257" s="3" t="s">
        <v>914</v>
      </c>
      <c r="N257" s="3" t="s">
        <v>72</v>
      </c>
      <c r="O257" s="3" t="s">
        <v>43</v>
      </c>
      <c r="P257" s="5" t="n">
        <v>7</v>
      </c>
      <c r="Q257" s="6" t="n">
        <v>1830</v>
      </c>
      <c r="R257" s="3" t="s">
        <v>66</v>
      </c>
      <c r="S257" s="7" t="n">
        <v>0</v>
      </c>
      <c r="T257" s="3" t="s">
        <v>51</v>
      </c>
      <c r="U257" s="7" t="n">
        <f aca="false">IF(T257="Valid",S257,0)</f>
        <v>0</v>
      </c>
      <c r="V257" s="6" t="n">
        <v>12810</v>
      </c>
      <c r="W257" s="6" t="n">
        <v>9334.12</v>
      </c>
      <c r="X257" s="6" t="n">
        <v>3475.88</v>
      </c>
      <c r="Y257" s="6" t="n">
        <f aca="false">P257*Q257*(1-U257)</f>
        <v>12810</v>
      </c>
      <c r="Z257" s="6" t="n">
        <f aca="false">Y257-W257</f>
        <v>3475.88</v>
      </c>
      <c r="AA257" s="8" t="n">
        <f aca="false">IF(Y257=0,0,Z257/Y257)</f>
        <v>0.271341139734582</v>
      </c>
      <c r="AB257" s="3" t="str">
        <f aca="false">IF(ABS(V257-Y257)&gt;1,"Mismatch","OK")</f>
        <v>OK</v>
      </c>
      <c r="AC257" s="3" t="str">
        <f aca="false">IF(ABS(X257-Z257)&gt;1,"Mismatch","OK")</f>
        <v>OK</v>
      </c>
      <c r="AD257" s="5" t="n">
        <f aca="false">IF(OR(B257="",C257=""),"",C257-B257)</f>
        <v>6</v>
      </c>
      <c r="AE257" s="3" t="str">
        <f aca="false">IF(AD257="","Unknown",IF(AD257&lt;0,"Invalid - Ship Before Order","OK"))</f>
        <v>OK</v>
      </c>
      <c r="AF257" s="5" t="n">
        <f aca="false">IF(B257="","",MONTH(B257))</f>
        <v>2</v>
      </c>
      <c r="AG257" s="5" t="n">
        <f aca="false">IF(B257="","",YEAR(B257))</f>
        <v>2025</v>
      </c>
      <c r="AH257" s="3" t="s">
        <v>52</v>
      </c>
      <c r="AI257" s="3" t="s">
        <v>53</v>
      </c>
      <c r="AJ257" s="3" t="str">
        <f aca="false">IF(AND(AI257="Completed",AH257="Failed"),"Inconsistent - Completed Order with Failed Payment","OK")</f>
        <v>OK</v>
      </c>
      <c r="AK257" s="3" t="s">
        <v>54</v>
      </c>
      <c r="AL257" s="3" t="str">
        <f aca="false">IF(OR(T257="Negative - Invalid",T257="Above Allowed Range - Invalid",AE257="Invalid - Ship Before Order",AK257&lt;&gt;"Unique",AB257="Mismatch",AC257="Mismatch",AJ257&lt;&gt;"OK"),"Invalid",IF(OR(H257="Yes",O257="Yes",T257="Missing"),"Warning","Clean"))</f>
        <v>Clean</v>
      </c>
    </row>
    <row r="258" customFormat="false" ht="15" hidden="false" customHeight="true" outlineLevel="0" collapsed="false">
      <c r="A258" s="3" t="s">
        <v>915</v>
      </c>
      <c r="B258" s="4" t="n">
        <v>45601</v>
      </c>
      <c r="C258" s="4" t="n">
        <v>45599</v>
      </c>
      <c r="D258" s="3" t="s">
        <v>916</v>
      </c>
      <c r="E258" s="3" t="s">
        <v>87</v>
      </c>
      <c r="F258" s="3" t="s">
        <v>41</v>
      </c>
      <c r="G258" s="3" t="s">
        <v>59</v>
      </c>
      <c r="H258" s="3" t="s">
        <v>43</v>
      </c>
      <c r="I258" s="3" t="s">
        <v>125</v>
      </c>
      <c r="J258" s="3" t="s">
        <v>126</v>
      </c>
      <c r="K258" s="3" t="s">
        <v>62</v>
      </c>
      <c r="L258" s="3" t="s">
        <v>63</v>
      </c>
      <c r="M258" s="3" t="s">
        <v>917</v>
      </c>
      <c r="N258" s="3" t="s">
        <v>72</v>
      </c>
      <c r="O258" s="3" t="s">
        <v>43</v>
      </c>
      <c r="P258" s="5" t="n">
        <v>9</v>
      </c>
      <c r="Q258" s="6" t="n">
        <v>2260.61</v>
      </c>
      <c r="R258" s="3" t="s">
        <v>128</v>
      </c>
      <c r="S258" s="7" t="n">
        <v>0.05</v>
      </c>
      <c r="T258" s="3" t="s">
        <v>51</v>
      </c>
      <c r="U258" s="7" t="n">
        <f aca="false">IF(T258="Valid",S258,0)</f>
        <v>0.05</v>
      </c>
      <c r="V258" s="6" t="n">
        <v>19328.22</v>
      </c>
      <c r="W258" s="6" t="n">
        <v>12039.5</v>
      </c>
      <c r="X258" s="6" t="n">
        <v>7288.72</v>
      </c>
      <c r="Y258" s="6" t="n">
        <f aca="false">P258*Q258*(1-U258)</f>
        <v>19328.2155</v>
      </c>
      <c r="Z258" s="6" t="n">
        <f aca="false">Y258-W258</f>
        <v>7288.7155</v>
      </c>
      <c r="AA258" s="8" t="n">
        <f aca="false">IF(Y258=0,0,Z258/Y258)</f>
        <v>0.377102350705889</v>
      </c>
      <c r="AB258" s="3" t="str">
        <f aca="false">IF(ABS(V258-Y258)&gt;1,"Mismatch","OK")</f>
        <v>OK</v>
      </c>
      <c r="AC258" s="3" t="str">
        <f aca="false">IF(ABS(X258-Z258)&gt;1,"Mismatch","OK")</f>
        <v>OK</v>
      </c>
      <c r="AD258" s="5" t="n">
        <f aca="false">IF(OR(B258="",C258=""),"",C258-B258)</f>
        <v>-2</v>
      </c>
      <c r="AE258" s="3" t="str">
        <f aca="false">IF(AD258="","Unknown",IF(AD258&lt;0,"Invalid - Ship Before Order","OK"))</f>
        <v>Invalid - Ship Before Order</v>
      </c>
      <c r="AF258" s="5" t="n">
        <f aca="false">IF(B258="","",MONTH(B258))</f>
        <v>11</v>
      </c>
      <c r="AG258" s="5" t="n">
        <f aca="false">IF(B258="","",YEAR(B258))</f>
        <v>2024</v>
      </c>
      <c r="AH258" s="3" t="s">
        <v>52</v>
      </c>
      <c r="AI258" s="3" t="s">
        <v>53</v>
      </c>
      <c r="AJ258" s="3" t="str">
        <f aca="false">IF(AND(AI258="Completed",AH258="Failed"),"Inconsistent - Completed Order with Failed Payment","OK")</f>
        <v>OK</v>
      </c>
      <c r="AK258" s="3" t="s">
        <v>54</v>
      </c>
      <c r="AL258" s="3" t="str">
        <f aca="false">IF(OR(T258="Negative - Invalid",T258="Above Allowed Range - Invalid",AE258="Invalid - Ship Before Order",AK258&lt;&gt;"Unique",AB258="Mismatch",AC258="Mismatch",AJ258&lt;&gt;"OK"),"Invalid",IF(OR(H258="Yes",O258="Yes",T258="Missing"),"Warning","Clean"))</f>
        <v>Invalid</v>
      </c>
    </row>
    <row r="259" customFormat="false" ht="15" hidden="false" customHeight="true" outlineLevel="0" collapsed="false">
      <c r="A259" s="3" t="s">
        <v>918</v>
      </c>
      <c r="B259" s="4" t="n">
        <v>45878</v>
      </c>
      <c r="C259" s="4" t="n">
        <v>45881</v>
      </c>
      <c r="D259" s="3" t="s">
        <v>919</v>
      </c>
      <c r="E259" s="3" t="s">
        <v>192</v>
      </c>
      <c r="F259" s="3" t="s">
        <v>116</v>
      </c>
      <c r="G259" s="3" t="s">
        <v>78</v>
      </c>
      <c r="H259" s="3" t="s">
        <v>43</v>
      </c>
      <c r="I259" s="3" t="s">
        <v>206</v>
      </c>
      <c r="J259" s="3" t="s">
        <v>207</v>
      </c>
      <c r="K259" s="3" t="s">
        <v>99</v>
      </c>
      <c r="L259" s="3" t="s">
        <v>100</v>
      </c>
      <c r="M259" s="3" t="s">
        <v>920</v>
      </c>
      <c r="N259" s="3" t="s">
        <v>49</v>
      </c>
      <c r="O259" s="3" t="s">
        <v>43</v>
      </c>
      <c r="P259" s="5" t="n">
        <v>2</v>
      </c>
      <c r="Q259" s="6" t="n">
        <v>3237.27</v>
      </c>
      <c r="R259" s="3" t="s">
        <v>66</v>
      </c>
      <c r="S259" s="7" t="n">
        <v>0</v>
      </c>
      <c r="T259" s="3" t="s">
        <v>51</v>
      </c>
      <c r="U259" s="7" t="n">
        <f aca="false">IF(T259="Valid",S259,0)</f>
        <v>0</v>
      </c>
      <c r="V259" s="6" t="n">
        <v>6474.54</v>
      </c>
      <c r="W259" s="6" t="n">
        <v>5095.91</v>
      </c>
      <c r="X259" s="6" t="n">
        <v>1378.63</v>
      </c>
      <c r="Y259" s="6" t="n">
        <f aca="false">P259*Q259*(1-U259)</f>
        <v>6474.54</v>
      </c>
      <c r="Z259" s="6" t="n">
        <f aca="false">Y259-W259</f>
        <v>1378.63</v>
      </c>
      <c r="AA259" s="8" t="n">
        <f aca="false">IF(Y259=0,0,Z259/Y259)</f>
        <v>0.212930957257195</v>
      </c>
      <c r="AB259" s="3" t="str">
        <f aca="false">IF(ABS(V259-Y259)&gt;1,"Mismatch","OK")</f>
        <v>OK</v>
      </c>
      <c r="AC259" s="3" t="str">
        <f aca="false">IF(ABS(X259-Z259)&gt;1,"Mismatch","OK")</f>
        <v>OK</v>
      </c>
      <c r="AD259" s="5" t="n">
        <f aca="false">IF(OR(B259="",C259=""),"",C259-B259)</f>
        <v>3</v>
      </c>
      <c r="AE259" s="3" t="str">
        <f aca="false">IF(AD259="","Unknown",IF(AD259&lt;0,"Invalid - Ship Before Order","OK"))</f>
        <v>OK</v>
      </c>
      <c r="AF259" s="5" t="n">
        <f aca="false">IF(B259="","",MONTH(B259))</f>
        <v>8</v>
      </c>
      <c r="AG259" s="5" t="n">
        <f aca="false">IF(B259="","",YEAR(B259))</f>
        <v>2025</v>
      </c>
      <c r="AH259" s="3" t="s">
        <v>52</v>
      </c>
      <c r="AI259" s="3" t="s">
        <v>93</v>
      </c>
      <c r="AJ259" s="3" t="str">
        <f aca="false">IF(AND(AI259="Completed",AH259="Failed"),"Inconsistent - Completed Order with Failed Payment","OK")</f>
        <v>OK</v>
      </c>
      <c r="AK259" s="3" t="s">
        <v>54</v>
      </c>
      <c r="AL259" s="3" t="str">
        <f aca="false">IF(OR(T259="Negative - Invalid",T259="Above Allowed Range - Invalid",AE259="Invalid - Ship Before Order",AK259&lt;&gt;"Unique",AB259="Mismatch",AC259="Mismatch",AJ259&lt;&gt;"OK"),"Invalid",IF(OR(H259="Yes",O259="Yes",T259="Missing"),"Warning","Clean"))</f>
        <v>Clean</v>
      </c>
    </row>
    <row r="260" customFormat="false" ht="15" hidden="false" customHeight="true" outlineLevel="0" collapsed="false">
      <c r="A260" s="3" t="s">
        <v>921</v>
      </c>
      <c r="B260" s="4" t="n">
        <v>45656</v>
      </c>
      <c r="C260" s="4" t="n">
        <v>45661</v>
      </c>
      <c r="D260" s="3" t="s">
        <v>922</v>
      </c>
      <c r="E260" s="3" t="s">
        <v>159</v>
      </c>
      <c r="F260" s="3" t="s">
        <v>116</v>
      </c>
      <c r="G260" s="3" t="s">
        <v>78</v>
      </c>
      <c r="H260" s="3" t="s">
        <v>43</v>
      </c>
      <c r="I260" s="3" t="s">
        <v>281</v>
      </c>
      <c r="J260" s="3" t="s">
        <v>282</v>
      </c>
      <c r="K260" s="3" t="s">
        <v>62</v>
      </c>
      <c r="L260" s="3" t="s">
        <v>63</v>
      </c>
      <c r="M260" s="3" t="s">
        <v>923</v>
      </c>
      <c r="N260" s="3" t="s">
        <v>65</v>
      </c>
      <c r="O260" s="3" t="s">
        <v>43</v>
      </c>
      <c r="P260" s="5" t="n">
        <v>2</v>
      </c>
      <c r="Q260" s="6" t="n">
        <v>3720.07</v>
      </c>
      <c r="R260" s="3" t="s">
        <v>84</v>
      </c>
      <c r="S260" s="7" t="n">
        <v>0.25</v>
      </c>
      <c r="T260" s="3" t="s">
        <v>51</v>
      </c>
      <c r="U260" s="7" t="n">
        <f aca="false">IF(T260="Valid",S260,0)</f>
        <v>0.25</v>
      </c>
      <c r="V260" s="6" t="n">
        <v>5580.11</v>
      </c>
      <c r="W260" s="6" t="n">
        <v>4307.01</v>
      </c>
      <c r="X260" s="6" t="n">
        <v>1273.1</v>
      </c>
      <c r="Y260" s="6" t="n">
        <f aca="false">P260*Q260*(1-U260)</f>
        <v>5580.105</v>
      </c>
      <c r="Z260" s="6" t="n">
        <f aca="false">Y260-W260</f>
        <v>1273.095</v>
      </c>
      <c r="AA260" s="8" t="n">
        <f aca="false">IF(Y260=0,0,Z260/Y260)</f>
        <v>0.228148932681374</v>
      </c>
      <c r="AB260" s="3" t="str">
        <f aca="false">IF(ABS(V260-Y260)&gt;1,"Mismatch","OK")</f>
        <v>OK</v>
      </c>
      <c r="AC260" s="3" t="str">
        <f aca="false">IF(ABS(X260-Z260)&gt;1,"Mismatch","OK")</f>
        <v>OK</v>
      </c>
      <c r="AD260" s="5" t="n">
        <f aca="false">IF(OR(B260="",C260=""),"",C260-B260)</f>
        <v>5</v>
      </c>
      <c r="AE260" s="3" t="str">
        <f aca="false">IF(AD260="","Unknown",IF(AD260&lt;0,"Invalid - Ship Before Order","OK"))</f>
        <v>OK</v>
      </c>
      <c r="AF260" s="5" t="n">
        <f aca="false">IF(B260="","",MONTH(B260))</f>
        <v>12</v>
      </c>
      <c r="AG260" s="5" t="n">
        <f aca="false">IF(B260="","",YEAR(B260))</f>
        <v>2024</v>
      </c>
      <c r="AH260" s="3" t="s">
        <v>52</v>
      </c>
      <c r="AI260" s="3" t="s">
        <v>53</v>
      </c>
      <c r="AJ260" s="3" t="str">
        <f aca="false">IF(AND(AI260="Completed",AH260="Failed"),"Inconsistent - Completed Order with Failed Payment","OK")</f>
        <v>OK</v>
      </c>
      <c r="AK260" s="3" t="s">
        <v>54</v>
      </c>
      <c r="AL260" s="3" t="str">
        <f aca="false">IF(OR(T260="Negative - Invalid",T260="Above Allowed Range - Invalid",AE260="Invalid - Ship Before Order",AK260&lt;&gt;"Unique",AB260="Mismatch",AC260="Mismatch",AJ260&lt;&gt;"OK"),"Invalid",IF(OR(H260="Yes",O260="Yes",T260="Missing"),"Warning","Clean"))</f>
        <v>Clean</v>
      </c>
    </row>
    <row r="261" customFormat="false" ht="15" hidden="false" customHeight="true" outlineLevel="0" collapsed="false">
      <c r="A261" s="3" t="s">
        <v>924</v>
      </c>
      <c r="B261" s="4" t="n">
        <v>45464</v>
      </c>
      <c r="C261" s="4" t="n">
        <v>45472</v>
      </c>
      <c r="D261" s="3" t="s">
        <v>925</v>
      </c>
      <c r="E261" s="3" t="s">
        <v>104</v>
      </c>
      <c r="F261" s="3" t="s">
        <v>41</v>
      </c>
      <c r="G261" s="3" t="s">
        <v>78</v>
      </c>
      <c r="H261" s="3" t="s">
        <v>43</v>
      </c>
      <c r="I261" s="3" t="s">
        <v>281</v>
      </c>
      <c r="J261" s="3" t="s">
        <v>282</v>
      </c>
      <c r="K261" s="3" t="s">
        <v>99</v>
      </c>
      <c r="L261" s="3" t="s">
        <v>308</v>
      </c>
      <c r="M261" s="3" t="s">
        <v>926</v>
      </c>
      <c r="N261" s="3" t="s">
        <v>83</v>
      </c>
      <c r="O261" s="3" t="s">
        <v>43</v>
      </c>
      <c r="P261" s="5" t="n">
        <v>8</v>
      </c>
      <c r="Q261" s="6" t="n">
        <v>2853.92</v>
      </c>
      <c r="R261" s="3" t="s">
        <v>50</v>
      </c>
      <c r="S261" s="7" t="n">
        <v>0.2</v>
      </c>
      <c r="T261" s="3" t="s">
        <v>51</v>
      </c>
      <c r="U261" s="7" t="n">
        <f aca="false">IF(T261="Valid",S261,0)</f>
        <v>0.2</v>
      </c>
      <c r="V261" s="6" t="n">
        <v>18265.09</v>
      </c>
      <c r="W261" s="6" t="n">
        <v>10437.14</v>
      </c>
      <c r="X261" s="6" t="n">
        <v>7827.95</v>
      </c>
      <c r="Y261" s="6" t="n">
        <f aca="false">P261*Q261*(1-U261)</f>
        <v>18265.088</v>
      </c>
      <c r="Z261" s="6" t="n">
        <f aca="false">Y261-W261</f>
        <v>7827.948</v>
      </c>
      <c r="AA261" s="8" t="n">
        <f aca="false">IF(Y261=0,0,Z261/Y261)</f>
        <v>0.428574338103381</v>
      </c>
      <c r="AB261" s="3" t="str">
        <f aca="false">IF(ABS(V261-Y261)&gt;1,"Mismatch","OK")</f>
        <v>OK</v>
      </c>
      <c r="AC261" s="3" t="str">
        <f aca="false">IF(ABS(X261-Z261)&gt;1,"Mismatch","OK")</f>
        <v>OK</v>
      </c>
      <c r="AD261" s="5" t="n">
        <f aca="false">IF(OR(B261="",C261=""),"",C261-B261)</f>
        <v>8</v>
      </c>
      <c r="AE261" s="3" t="str">
        <f aca="false">IF(AD261="","Unknown",IF(AD261&lt;0,"Invalid - Ship Before Order","OK"))</f>
        <v>OK</v>
      </c>
      <c r="AF261" s="5" t="n">
        <f aca="false">IF(B261="","",MONTH(B261))</f>
        <v>6</v>
      </c>
      <c r="AG261" s="5" t="n">
        <f aca="false">IF(B261="","",YEAR(B261))</f>
        <v>2024</v>
      </c>
      <c r="AH261" s="3" t="s">
        <v>52</v>
      </c>
      <c r="AI261" s="3" t="s">
        <v>53</v>
      </c>
      <c r="AJ261" s="3" t="str">
        <f aca="false">IF(AND(AI261="Completed",AH261="Failed"),"Inconsistent - Completed Order with Failed Payment","OK")</f>
        <v>OK</v>
      </c>
      <c r="AK261" s="3" t="s">
        <v>54</v>
      </c>
      <c r="AL261" s="3" t="str">
        <f aca="false">IF(OR(T261="Negative - Invalid",T261="Above Allowed Range - Invalid",AE261="Invalid - Ship Before Order",AK261&lt;&gt;"Unique",AB261="Mismatch",AC261="Mismatch",AJ261&lt;&gt;"OK"),"Invalid",IF(OR(H261="Yes",O261="Yes",T261="Missing"),"Warning","Clean"))</f>
        <v>Clean</v>
      </c>
    </row>
    <row r="262" customFormat="false" ht="15" hidden="false" customHeight="true" outlineLevel="0" collapsed="false">
      <c r="A262" s="3" t="s">
        <v>927</v>
      </c>
      <c r="B262" s="4" t="n">
        <v>45923</v>
      </c>
      <c r="C262" s="4" t="n">
        <v>45927</v>
      </c>
      <c r="D262" s="3" t="s">
        <v>928</v>
      </c>
      <c r="E262" s="3" t="s">
        <v>115</v>
      </c>
      <c r="F262" s="3" t="s">
        <v>116</v>
      </c>
      <c r="G262" s="3" t="s">
        <v>59</v>
      </c>
      <c r="H262" s="3" t="s">
        <v>43</v>
      </c>
      <c r="I262" s="3" t="s">
        <v>125</v>
      </c>
      <c r="J262" s="3" t="s">
        <v>126</v>
      </c>
      <c r="K262" s="3" t="s">
        <v>46</v>
      </c>
      <c r="L262" s="3" t="s">
        <v>183</v>
      </c>
      <c r="M262" s="3" t="s">
        <v>929</v>
      </c>
      <c r="N262" s="3" t="s">
        <v>65</v>
      </c>
      <c r="O262" s="3" t="s">
        <v>43</v>
      </c>
      <c r="P262" s="5" t="n">
        <v>7</v>
      </c>
      <c r="Q262" s="6" t="n">
        <v>2897.12</v>
      </c>
      <c r="R262" s="3" t="s">
        <v>84</v>
      </c>
      <c r="S262" s="7" t="n">
        <v>0.25</v>
      </c>
      <c r="T262" s="3" t="s">
        <v>51</v>
      </c>
      <c r="U262" s="7" t="n">
        <f aca="false">IF(T262="Valid",S262,0)</f>
        <v>0.25</v>
      </c>
      <c r="V262" s="6" t="n">
        <v>15209.88</v>
      </c>
      <c r="W262" s="6" t="n">
        <v>10891.15</v>
      </c>
      <c r="X262" s="6" t="n">
        <v>4318.73</v>
      </c>
      <c r="Y262" s="6" t="n">
        <f aca="false">P262*Q262*(1-U262)</f>
        <v>15209.88</v>
      </c>
      <c r="Z262" s="6" t="n">
        <f aca="false">Y262-W262</f>
        <v>4318.73</v>
      </c>
      <c r="AA262" s="8" t="n">
        <f aca="false">IF(Y262=0,0,Z262/Y262)</f>
        <v>0.283942411116985</v>
      </c>
      <c r="AB262" s="3" t="str">
        <f aca="false">IF(ABS(V262-Y262)&gt;1,"Mismatch","OK")</f>
        <v>OK</v>
      </c>
      <c r="AC262" s="3" t="str">
        <f aca="false">IF(ABS(X262-Z262)&gt;1,"Mismatch","OK")</f>
        <v>OK</v>
      </c>
      <c r="AD262" s="5" t="n">
        <f aca="false">IF(OR(B262="",C262=""),"",C262-B262)</f>
        <v>4</v>
      </c>
      <c r="AE262" s="3" t="str">
        <f aca="false">IF(AD262="","Unknown",IF(AD262&lt;0,"Invalid - Ship Before Order","OK"))</f>
        <v>OK</v>
      </c>
      <c r="AF262" s="5" t="n">
        <f aca="false">IF(B262="","",MONTH(B262))</f>
        <v>9</v>
      </c>
      <c r="AG262" s="5" t="n">
        <f aca="false">IF(B262="","",YEAR(B262))</f>
        <v>2025</v>
      </c>
      <c r="AH262" s="3" t="s">
        <v>185</v>
      </c>
      <c r="AI262" s="3" t="s">
        <v>130</v>
      </c>
      <c r="AJ262" s="3" t="str">
        <f aca="false">IF(AND(AI262="Completed",AH262="Failed"),"Inconsistent - Completed Order with Failed Payment","OK")</f>
        <v>OK</v>
      </c>
      <c r="AK262" s="3" t="s">
        <v>54</v>
      </c>
      <c r="AL262" s="3" t="str">
        <f aca="false">IF(OR(T262="Negative - Invalid",T262="Above Allowed Range - Invalid",AE262="Invalid - Ship Before Order",AK262&lt;&gt;"Unique",AB262="Mismatch",AC262="Mismatch",AJ262&lt;&gt;"OK"),"Invalid",IF(OR(H262="Yes",O262="Yes",T262="Missing"),"Warning","Clean"))</f>
        <v>Clean</v>
      </c>
    </row>
    <row r="263" customFormat="false" ht="15" hidden="false" customHeight="true" outlineLevel="0" collapsed="false">
      <c r="A263" s="3" t="s">
        <v>930</v>
      </c>
      <c r="B263" s="4" t="n">
        <v>45826</v>
      </c>
      <c r="C263" s="4" t="n">
        <v>45832</v>
      </c>
      <c r="D263" s="3" t="s">
        <v>931</v>
      </c>
      <c r="E263" s="3" t="s">
        <v>159</v>
      </c>
      <c r="F263" s="3" t="s">
        <v>116</v>
      </c>
      <c r="G263" s="3" t="s">
        <v>42</v>
      </c>
      <c r="H263" s="3" t="s">
        <v>43</v>
      </c>
      <c r="I263" s="3" t="s">
        <v>44</v>
      </c>
      <c r="J263" s="3" t="s">
        <v>45</v>
      </c>
      <c r="K263" s="3" t="s">
        <v>46</v>
      </c>
      <c r="L263" s="3" t="s">
        <v>117</v>
      </c>
      <c r="M263" s="3" t="s">
        <v>932</v>
      </c>
      <c r="N263" s="3" t="s">
        <v>83</v>
      </c>
      <c r="O263" s="3" t="s">
        <v>43</v>
      </c>
      <c r="P263" s="5" t="n">
        <v>3</v>
      </c>
      <c r="Q263" s="6" t="n">
        <v>686.74</v>
      </c>
      <c r="R263" s="3" t="s">
        <v>50</v>
      </c>
      <c r="S263" s="7" t="n">
        <v>0.2</v>
      </c>
      <c r="T263" s="3" t="s">
        <v>51</v>
      </c>
      <c r="U263" s="7" t="n">
        <f aca="false">IF(T263="Valid",S263,0)</f>
        <v>0.2</v>
      </c>
      <c r="V263" s="6" t="n">
        <v>1648.18</v>
      </c>
      <c r="W263" s="6" t="n">
        <v>987.91</v>
      </c>
      <c r="X263" s="6" t="n">
        <v>660.27</v>
      </c>
      <c r="Y263" s="6" t="n">
        <f aca="false">P263*Q263*(1-U263)</f>
        <v>1648.176</v>
      </c>
      <c r="Z263" s="6" t="n">
        <f aca="false">Y263-W263</f>
        <v>660.266</v>
      </c>
      <c r="AA263" s="8" t="n">
        <f aca="false">IF(Y263=0,0,Z263/Y263)</f>
        <v>0.400604061702148</v>
      </c>
      <c r="AB263" s="3" t="str">
        <f aca="false">IF(ABS(V263-Y263)&gt;1,"Mismatch","OK")</f>
        <v>OK</v>
      </c>
      <c r="AC263" s="3" t="str">
        <f aca="false">IF(ABS(X263-Z263)&gt;1,"Mismatch","OK")</f>
        <v>OK</v>
      </c>
      <c r="AD263" s="5" t="n">
        <f aca="false">IF(OR(B263="",C263=""),"",C263-B263)</f>
        <v>6</v>
      </c>
      <c r="AE263" s="3" t="str">
        <f aca="false">IF(AD263="","Unknown",IF(AD263&lt;0,"Invalid - Ship Before Order","OK"))</f>
        <v>OK</v>
      </c>
      <c r="AF263" s="5" t="n">
        <f aca="false">IF(B263="","",MONTH(B263))</f>
        <v>6</v>
      </c>
      <c r="AG263" s="5" t="n">
        <f aca="false">IF(B263="","",YEAR(B263))</f>
        <v>2025</v>
      </c>
      <c r="AH263" s="3" t="s">
        <v>185</v>
      </c>
      <c r="AI263" s="3" t="s">
        <v>93</v>
      </c>
      <c r="AJ263" s="3" t="str">
        <f aca="false">IF(AND(AI263="Completed",AH263="Failed"),"Inconsistent - Completed Order with Failed Payment","OK")</f>
        <v>OK</v>
      </c>
      <c r="AK263" s="3" t="s">
        <v>54</v>
      </c>
      <c r="AL263" s="3" t="str">
        <f aca="false">IF(OR(T263="Negative - Invalid",T263="Above Allowed Range - Invalid",AE263="Invalid - Ship Before Order",AK263&lt;&gt;"Unique",AB263="Mismatch",AC263="Mismatch",AJ263&lt;&gt;"OK"),"Invalid",IF(OR(H263="Yes",O263="Yes",T263="Missing"),"Warning","Clean"))</f>
        <v>Clean</v>
      </c>
    </row>
    <row r="264" customFormat="false" ht="15" hidden="false" customHeight="true" outlineLevel="0" collapsed="false">
      <c r="A264" s="3" t="s">
        <v>933</v>
      </c>
      <c r="B264" s="4" t="n">
        <v>45803</v>
      </c>
      <c r="C264" s="4" t="n">
        <v>45809</v>
      </c>
      <c r="D264" s="3" t="s">
        <v>666</v>
      </c>
      <c r="E264" s="3" t="s">
        <v>77</v>
      </c>
      <c r="F264" s="3" t="s">
        <v>58</v>
      </c>
      <c r="G264" s="3" t="s">
        <v>42</v>
      </c>
      <c r="H264" s="3" t="s">
        <v>43</v>
      </c>
      <c r="I264" s="3" t="s">
        <v>384</v>
      </c>
      <c r="J264" s="3" t="s">
        <v>385</v>
      </c>
      <c r="K264" s="3" t="s">
        <v>99</v>
      </c>
      <c r="L264" s="3" t="s">
        <v>201</v>
      </c>
      <c r="M264" s="3" t="s">
        <v>934</v>
      </c>
      <c r="N264" s="3" t="s">
        <v>65</v>
      </c>
      <c r="O264" s="3" t="s">
        <v>43</v>
      </c>
      <c r="P264" s="5" t="n">
        <v>4</v>
      </c>
      <c r="Q264" s="6" t="n">
        <v>3349.86</v>
      </c>
      <c r="R264" s="3" t="s">
        <v>66</v>
      </c>
      <c r="S264" s="7" t="n">
        <v>0</v>
      </c>
      <c r="T264" s="3" t="s">
        <v>51</v>
      </c>
      <c r="U264" s="7" t="n">
        <f aca="false">IF(T264="Valid",S264,0)</f>
        <v>0</v>
      </c>
      <c r="V264" s="6" t="n">
        <v>13399.44</v>
      </c>
      <c r="W264" s="6" t="n">
        <v>8581.35</v>
      </c>
      <c r="X264" s="6" t="n">
        <v>4818.09</v>
      </c>
      <c r="Y264" s="6" t="n">
        <f aca="false">P264*Q264*(1-U264)</f>
        <v>13399.44</v>
      </c>
      <c r="Z264" s="6" t="n">
        <f aca="false">Y264-W264</f>
        <v>4818.09</v>
      </c>
      <c r="AA264" s="8" t="n">
        <f aca="false">IF(Y264=0,0,Z264/Y264)</f>
        <v>0.359573982196271</v>
      </c>
      <c r="AB264" s="3" t="str">
        <f aca="false">IF(ABS(V264-Y264)&gt;1,"Mismatch","OK")</f>
        <v>OK</v>
      </c>
      <c r="AC264" s="3" t="str">
        <f aca="false">IF(ABS(X264-Z264)&gt;1,"Mismatch","OK")</f>
        <v>OK</v>
      </c>
      <c r="AD264" s="5" t="n">
        <f aca="false">IF(OR(B264="",C264=""),"",C264-B264)</f>
        <v>6</v>
      </c>
      <c r="AE264" s="3" t="str">
        <f aca="false">IF(AD264="","Unknown",IF(AD264&lt;0,"Invalid - Ship Before Order","OK"))</f>
        <v>OK</v>
      </c>
      <c r="AF264" s="5" t="n">
        <f aca="false">IF(B264="","",MONTH(B264))</f>
        <v>5</v>
      </c>
      <c r="AG264" s="5" t="n">
        <f aca="false">IF(B264="","",YEAR(B264))</f>
        <v>2025</v>
      </c>
      <c r="AH264" s="3" t="s">
        <v>138</v>
      </c>
      <c r="AI264" s="3" t="s">
        <v>130</v>
      </c>
      <c r="AJ264" s="3" t="str">
        <f aca="false">IF(AND(AI264="Completed",AH264="Failed"),"Inconsistent - Completed Order with Failed Payment","OK")</f>
        <v>OK</v>
      </c>
      <c r="AK264" s="3" t="s">
        <v>54</v>
      </c>
      <c r="AL264" s="3" t="str">
        <f aca="false">IF(OR(T264="Negative - Invalid",T264="Above Allowed Range - Invalid",AE264="Invalid - Ship Before Order",AK264&lt;&gt;"Unique",AB264="Mismatch",AC264="Mismatch",AJ264&lt;&gt;"OK"),"Invalid",IF(OR(H264="Yes",O264="Yes",T264="Missing"),"Warning","Clean"))</f>
        <v>Clean</v>
      </c>
    </row>
    <row r="265" customFormat="false" ht="15" hidden="false" customHeight="true" outlineLevel="0" collapsed="false">
      <c r="A265" s="3" t="s">
        <v>935</v>
      </c>
      <c r="B265" s="4" t="n">
        <v>45875</v>
      </c>
      <c r="C265" s="4" t="n">
        <v>45879</v>
      </c>
      <c r="D265" s="3" t="s">
        <v>936</v>
      </c>
      <c r="E265" s="3" t="s">
        <v>168</v>
      </c>
      <c r="F265" s="3" t="s">
        <v>58</v>
      </c>
      <c r="G265" s="3" t="s">
        <v>42</v>
      </c>
      <c r="H265" s="3" t="s">
        <v>43</v>
      </c>
      <c r="I265" s="3" t="s">
        <v>384</v>
      </c>
      <c r="J265" s="3" t="s">
        <v>385</v>
      </c>
      <c r="K265" s="3" t="s">
        <v>46</v>
      </c>
      <c r="L265" s="3" t="s">
        <v>183</v>
      </c>
      <c r="M265" s="3" t="s">
        <v>937</v>
      </c>
      <c r="N265" s="3" t="s">
        <v>49</v>
      </c>
      <c r="O265" s="3" t="s">
        <v>43</v>
      </c>
      <c r="P265" s="5" t="n">
        <v>9</v>
      </c>
      <c r="Q265" s="6" t="n">
        <v>4042.45</v>
      </c>
      <c r="R265" s="3" t="s">
        <v>203</v>
      </c>
      <c r="S265" s="7" t="n">
        <v>0.1</v>
      </c>
      <c r="T265" s="3" t="s">
        <v>51</v>
      </c>
      <c r="U265" s="7" t="n">
        <f aca="false">IF(T265="Valid",S265,0)</f>
        <v>0.1</v>
      </c>
      <c r="V265" s="6" t="n">
        <v>32743.84</v>
      </c>
      <c r="W265" s="6" t="n">
        <v>22452.05</v>
      </c>
      <c r="X265" s="6" t="n">
        <v>10291.79</v>
      </c>
      <c r="Y265" s="6" t="n">
        <f aca="false">P265*Q265*(1-U265)</f>
        <v>32743.845</v>
      </c>
      <c r="Z265" s="6" t="n">
        <f aca="false">Y265-W265</f>
        <v>10291.795</v>
      </c>
      <c r="AA265" s="8" t="n">
        <f aca="false">IF(Y265=0,0,Z265/Y265)</f>
        <v>0.314312353970647</v>
      </c>
      <c r="AB265" s="3" t="str">
        <f aca="false">IF(ABS(V265-Y265)&gt;1,"Mismatch","OK")</f>
        <v>OK</v>
      </c>
      <c r="AC265" s="3" t="str">
        <f aca="false">IF(ABS(X265-Z265)&gt;1,"Mismatch","OK")</f>
        <v>OK</v>
      </c>
      <c r="AD265" s="5" t="n">
        <f aca="false">IF(OR(B265="",C265=""),"",C265-B265)</f>
        <v>4</v>
      </c>
      <c r="AE265" s="3" t="str">
        <f aca="false">IF(AD265="","Unknown",IF(AD265&lt;0,"Invalid - Ship Before Order","OK"))</f>
        <v>OK</v>
      </c>
      <c r="AF265" s="5" t="n">
        <f aca="false">IF(B265="","",MONTH(B265))</f>
        <v>8</v>
      </c>
      <c r="AG265" s="5" t="n">
        <f aca="false">IF(B265="","",YEAR(B265))</f>
        <v>2025</v>
      </c>
      <c r="AH265" s="3" t="s">
        <v>138</v>
      </c>
      <c r="AI265" s="3" t="s">
        <v>130</v>
      </c>
      <c r="AJ265" s="3" t="str">
        <f aca="false">IF(AND(AI265="Completed",AH265="Failed"),"Inconsistent - Completed Order with Failed Payment","OK")</f>
        <v>OK</v>
      </c>
      <c r="AK265" s="3" t="s">
        <v>54</v>
      </c>
      <c r="AL265" s="3" t="str">
        <f aca="false">IF(OR(T265="Negative - Invalid",T265="Above Allowed Range - Invalid",AE265="Invalid - Ship Before Order",AK265&lt;&gt;"Unique",AB265="Mismatch",AC265="Mismatch",AJ265&lt;&gt;"OK"),"Invalid",IF(OR(H265="Yes",O265="Yes",T265="Missing"),"Warning","Clean"))</f>
        <v>Clean</v>
      </c>
    </row>
    <row r="266" customFormat="false" ht="15" hidden="false" customHeight="true" outlineLevel="0" collapsed="false">
      <c r="A266" s="3" t="s">
        <v>938</v>
      </c>
      <c r="B266" s="4" t="n">
        <v>45428</v>
      </c>
      <c r="C266" s="4" t="n">
        <v>45433</v>
      </c>
      <c r="D266" s="3" t="s">
        <v>939</v>
      </c>
      <c r="E266" s="3" t="s">
        <v>192</v>
      </c>
      <c r="F266" s="3" t="s">
        <v>58</v>
      </c>
      <c r="G266" s="3" t="s">
        <v>59</v>
      </c>
      <c r="H266" s="3" t="s">
        <v>43</v>
      </c>
      <c r="I266" s="3" t="s">
        <v>174</v>
      </c>
      <c r="J266" s="3" t="s">
        <v>175</v>
      </c>
      <c r="K266" s="3" t="s">
        <v>99</v>
      </c>
      <c r="L266" s="3" t="s">
        <v>105</v>
      </c>
      <c r="M266" s="3" t="s">
        <v>940</v>
      </c>
      <c r="N266" s="3" t="s">
        <v>83</v>
      </c>
      <c r="O266" s="3" t="s">
        <v>43</v>
      </c>
      <c r="P266" s="5" t="n">
        <v>4</v>
      </c>
      <c r="Q266" s="6" t="n">
        <v>1503.07</v>
      </c>
      <c r="R266" s="3" t="s">
        <v>66</v>
      </c>
      <c r="S266" s="7" t="n">
        <v>0</v>
      </c>
      <c r="T266" s="3" t="s">
        <v>51</v>
      </c>
      <c r="U266" s="7" t="n">
        <f aca="false">IF(T266="Valid",S266,0)</f>
        <v>0</v>
      </c>
      <c r="V266" s="6" t="n">
        <v>6012.28</v>
      </c>
      <c r="W266" s="6" t="n">
        <v>3927.64</v>
      </c>
      <c r="X266" s="6" t="n">
        <v>2084.64</v>
      </c>
      <c r="Y266" s="6" t="n">
        <f aca="false">P266*Q266*(1-U266)</f>
        <v>6012.28</v>
      </c>
      <c r="Z266" s="6" t="n">
        <f aca="false">Y266-W266</f>
        <v>2084.64</v>
      </c>
      <c r="AA266" s="8" t="n">
        <f aca="false">IF(Y266=0,0,Z266/Y266)</f>
        <v>0.346730358532869</v>
      </c>
      <c r="AB266" s="3" t="str">
        <f aca="false">IF(ABS(V266-Y266)&gt;1,"Mismatch","OK")</f>
        <v>OK</v>
      </c>
      <c r="AC266" s="3" t="str">
        <f aca="false">IF(ABS(X266-Z266)&gt;1,"Mismatch","OK")</f>
        <v>OK</v>
      </c>
      <c r="AD266" s="5" t="n">
        <f aca="false">IF(OR(B266="",C266=""),"",C266-B266)</f>
        <v>5</v>
      </c>
      <c r="AE266" s="3" t="str">
        <f aca="false">IF(AD266="","Unknown",IF(AD266&lt;0,"Invalid - Ship Before Order","OK"))</f>
        <v>OK</v>
      </c>
      <c r="AF266" s="5" t="n">
        <f aca="false">IF(B266="","",MONTH(B266))</f>
        <v>5</v>
      </c>
      <c r="AG266" s="5" t="n">
        <f aca="false">IF(B266="","",YEAR(B266))</f>
        <v>2024</v>
      </c>
      <c r="AH266" s="3" t="s">
        <v>52</v>
      </c>
      <c r="AI266" s="3" t="s">
        <v>53</v>
      </c>
      <c r="AJ266" s="3" t="str">
        <f aca="false">IF(AND(AI266="Completed",AH266="Failed"),"Inconsistent - Completed Order with Failed Payment","OK")</f>
        <v>OK</v>
      </c>
      <c r="AK266" s="3" t="s">
        <v>54</v>
      </c>
      <c r="AL266" s="3" t="str">
        <f aca="false">IF(OR(T266="Negative - Invalid",T266="Above Allowed Range - Invalid",AE266="Invalid - Ship Before Order",AK266&lt;&gt;"Unique",AB266="Mismatch",AC266="Mismatch",AJ266&lt;&gt;"OK"),"Invalid",IF(OR(H266="Yes",O266="Yes",T266="Missing"),"Warning","Clean"))</f>
        <v>Clean</v>
      </c>
    </row>
    <row r="267" customFormat="false" ht="15" hidden="false" customHeight="true" outlineLevel="0" collapsed="false">
      <c r="A267" s="3" t="s">
        <v>941</v>
      </c>
      <c r="B267" s="4" t="n">
        <v>45610</v>
      </c>
      <c r="C267" s="4" t="n">
        <v>45618</v>
      </c>
      <c r="D267" s="3" t="s">
        <v>942</v>
      </c>
      <c r="E267" s="3" t="s">
        <v>141</v>
      </c>
      <c r="F267" s="3" t="s">
        <v>116</v>
      </c>
      <c r="G267" s="3" t="s">
        <v>59</v>
      </c>
      <c r="H267" s="3" t="s">
        <v>43</v>
      </c>
      <c r="I267" s="3" t="s">
        <v>174</v>
      </c>
      <c r="J267" s="3" t="s">
        <v>175</v>
      </c>
      <c r="K267" s="3" t="s">
        <v>62</v>
      </c>
      <c r="L267" s="3" t="s">
        <v>188</v>
      </c>
      <c r="M267" s="3" t="s">
        <v>943</v>
      </c>
      <c r="N267" s="3" t="s">
        <v>65</v>
      </c>
      <c r="O267" s="3" t="s">
        <v>43</v>
      </c>
      <c r="P267" s="5" t="n">
        <v>1</v>
      </c>
      <c r="Q267" s="6" t="n">
        <v>582.37</v>
      </c>
      <c r="R267" s="3" t="s">
        <v>107</v>
      </c>
      <c r="S267" s="7" t="n">
        <v>0.15</v>
      </c>
      <c r="T267" s="3" t="s">
        <v>51</v>
      </c>
      <c r="U267" s="7" t="n">
        <f aca="false">IF(T267="Valid",S267,0)</f>
        <v>0.15</v>
      </c>
      <c r="V267" s="6" t="n">
        <v>495.01</v>
      </c>
      <c r="W267" s="6" t="n">
        <v>285.13</v>
      </c>
      <c r="X267" s="6" t="n">
        <v>209.88</v>
      </c>
      <c r="Y267" s="6" t="n">
        <f aca="false">P267*Q267*(1-U267)</f>
        <v>495.0145</v>
      </c>
      <c r="Z267" s="6" t="n">
        <f aca="false">Y267-W267</f>
        <v>209.8845</v>
      </c>
      <c r="AA267" s="8" t="n">
        <f aca="false">IF(Y267=0,0,Z267/Y267)</f>
        <v>0.423996670804593</v>
      </c>
      <c r="AB267" s="3" t="str">
        <f aca="false">IF(ABS(V267-Y267)&gt;1,"Mismatch","OK")</f>
        <v>OK</v>
      </c>
      <c r="AC267" s="3" t="str">
        <f aca="false">IF(ABS(X267-Z267)&gt;1,"Mismatch","OK")</f>
        <v>OK</v>
      </c>
      <c r="AD267" s="5" t="n">
        <f aca="false">IF(OR(B267="",C267=""),"",C267-B267)</f>
        <v>8</v>
      </c>
      <c r="AE267" s="3" t="str">
        <f aca="false">IF(AD267="","Unknown",IF(AD267&lt;0,"Invalid - Ship Before Order","OK"))</f>
        <v>OK</v>
      </c>
      <c r="AF267" s="5" t="n">
        <f aca="false">IF(B267="","",MONTH(B267))</f>
        <v>11</v>
      </c>
      <c r="AG267" s="5" t="n">
        <f aca="false">IF(B267="","",YEAR(B267))</f>
        <v>2024</v>
      </c>
      <c r="AH267" s="3" t="s">
        <v>129</v>
      </c>
      <c r="AI267" s="3" t="s">
        <v>93</v>
      </c>
      <c r="AJ267" s="3" t="str">
        <f aca="false">IF(AND(AI267="Completed",AH267="Failed"),"Inconsistent - Completed Order with Failed Payment","OK")</f>
        <v>OK</v>
      </c>
      <c r="AK267" s="3" t="s">
        <v>54</v>
      </c>
      <c r="AL267" s="3" t="str">
        <f aca="false">IF(OR(T267="Negative - Invalid",T267="Above Allowed Range - Invalid",AE267="Invalid - Ship Before Order",AK267&lt;&gt;"Unique",AB267="Mismatch",AC267="Mismatch",AJ267&lt;&gt;"OK"),"Invalid",IF(OR(H267="Yes",O267="Yes",T267="Missing"),"Warning","Clean"))</f>
        <v>Clean</v>
      </c>
    </row>
    <row r="268" customFormat="false" ht="15" hidden="false" customHeight="true" outlineLevel="0" collapsed="false">
      <c r="A268" s="3" t="s">
        <v>944</v>
      </c>
      <c r="B268" s="4" t="n">
        <v>45780</v>
      </c>
      <c r="C268" s="4" t="n">
        <v>45787</v>
      </c>
      <c r="D268" s="3" t="s">
        <v>945</v>
      </c>
      <c r="E268" s="3" t="s">
        <v>104</v>
      </c>
      <c r="F268" s="3" t="s">
        <v>121</v>
      </c>
      <c r="G268" s="3" t="s">
        <v>88</v>
      </c>
      <c r="H268" s="3" t="s">
        <v>43</v>
      </c>
      <c r="I268" s="3" t="s">
        <v>89</v>
      </c>
      <c r="J268" s="3" t="s">
        <v>90</v>
      </c>
      <c r="K268" s="3" t="s">
        <v>46</v>
      </c>
      <c r="L268" s="3" t="s">
        <v>151</v>
      </c>
      <c r="M268" s="3" t="s">
        <v>946</v>
      </c>
      <c r="N268" s="3" t="s">
        <v>49</v>
      </c>
      <c r="O268" s="3" t="s">
        <v>43</v>
      </c>
      <c r="P268" s="5" t="n">
        <v>3</v>
      </c>
      <c r="Q268" s="6" t="n">
        <v>4339.24</v>
      </c>
      <c r="R268" s="3" t="s">
        <v>66</v>
      </c>
      <c r="S268" s="7" t="n">
        <v>0</v>
      </c>
      <c r="T268" s="3" t="s">
        <v>51</v>
      </c>
      <c r="U268" s="7" t="n">
        <f aca="false">IF(T268="Valid",S268,0)</f>
        <v>0</v>
      </c>
      <c r="V268" s="6" t="n">
        <v>13017.72</v>
      </c>
      <c r="W268" s="6" t="n">
        <v>10170.57</v>
      </c>
      <c r="X268" s="6" t="n">
        <v>2847.15</v>
      </c>
      <c r="Y268" s="6" t="n">
        <f aca="false">P268*Q268*(1-U268)</f>
        <v>13017.72</v>
      </c>
      <c r="Z268" s="6" t="n">
        <f aca="false">Y268-W268</f>
        <v>2847.15</v>
      </c>
      <c r="AA268" s="8" t="n">
        <f aca="false">IF(Y268=0,0,Z268/Y268)</f>
        <v>0.218713415252441</v>
      </c>
      <c r="AB268" s="3" t="str">
        <f aca="false">IF(ABS(V268-Y268)&gt;1,"Mismatch","OK")</f>
        <v>OK</v>
      </c>
      <c r="AC268" s="3" t="str">
        <f aca="false">IF(ABS(X268-Z268)&gt;1,"Mismatch","OK")</f>
        <v>OK</v>
      </c>
      <c r="AD268" s="5" t="n">
        <f aca="false">IF(OR(B268="",C268=""),"",C268-B268)</f>
        <v>7</v>
      </c>
      <c r="AE268" s="3" t="str">
        <f aca="false">IF(AD268="","Unknown",IF(AD268&lt;0,"Invalid - Ship Before Order","OK"))</f>
        <v>OK</v>
      </c>
      <c r="AF268" s="5" t="n">
        <f aca="false">IF(B268="","",MONTH(B268))</f>
        <v>5</v>
      </c>
      <c r="AG268" s="5" t="n">
        <f aca="false">IF(B268="","",YEAR(B268))</f>
        <v>2025</v>
      </c>
      <c r="AH268" s="3" t="s">
        <v>52</v>
      </c>
      <c r="AI268" s="3" t="s">
        <v>53</v>
      </c>
      <c r="AJ268" s="3" t="str">
        <f aca="false">IF(AND(AI268="Completed",AH268="Failed"),"Inconsistent - Completed Order with Failed Payment","OK")</f>
        <v>OK</v>
      </c>
      <c r="AK268" s="3" t="s">
        <v>54</v>
      </c>
      <c r="AL268" s="3" t="str">
        <f aca="false">IF(OR(T268="Negative - Invalid",T268="Above Allowed Range - Invalid",AE268="Invalid - Ship Before Order",AK268&lt;&gt;"Unique",AB268="Mismatch",AC268="Mismatch",AJ268&lt;&gt;"OK"),"Invalid",IF(OR(H268="Yes",O268="Yes",T268="Missing"),"Warning","Clean"))</f>
        <v>Clean</v>
      </c>
    </row>
    <row r="269" customFormat="false" ht="15" hidden="false" customHeight="true" outlineLevel="0" collapsed="false">
      <c r="A269" s="3" t="s">
        <v>947</v>
      </c>
      <c r="B269" s="4" t="n">
        <v>45805</v>
      </c>
      <c r="C269" s="4" t="n">
        <v>45812</v>
      </c>
      <c r="D269" s="3" t="s">
        <v>948</v>
      </c>
      <c r="E269" s="3" t="s">
        <v>192</v>
      </c>
      <c r="F269" s="3" t="s">
        <v>116</v>
      </c>
      <c r="G269" s="3" t="s">
        <v>59</v>
      </c>
      <c r="H269" s="3" t="s">
        <v>43</v>
      </c>
      <c r="I269" s="3" t="s">
        <v>262</v>
      </c>
      <c r="J269" s="3" t="s">
        <v>263</v>
      </c>
      <c r="K269" s="3" t="s">
        <v>62</v>
      </c>
      <c r="L269" s="3" t="s">
        <v>81</v>
      </c>
      <c r="M269" s="3" t="s">
        <v>949</v>
      </c>
      <c r="N269" s="3" t="s">
        <v>72</v>
      </c>
      <c r="O269" s="3" t="s">
        <v>43</v>
      </c>
      <c r="P269" s="5" t="n">
        <v>4</v>
      </c>
      <c r="Q269" s="6" t="n">
        <v>261.8</v>
      </c>
      <c r="R269" s="3" t="s">
        <v>84</v>
      </c>
      <c r="S269" s="7" t="n">
        <v>0.25</v>
      </c>
      <c r="T269" s="3" t="s">
        <v>51</v>
      </c>
      <c r="U269" s="7" t="n">
        <f aca="false">IF(T269="Valid",S269,0)</f>
        <v>0.25</v>
      </c>
      <c r="V269" s="6" t="n">
        <v>785.4</v>
      </c>
      <c r="W269" s="6" t="n">
        <v>557.22</v>
      </c>
      <c r="X269" s="6" t="n">
        <v>228.18</v>
      </c>
      <c r="Y269" s="6" t="n">
        <f aca="false">P269*Q269*(1-U269)</f>
        <v>785.4</v>
      </c>
      <c r="Z269" s="6" t="n">
        <f aca="false">Y269-W269</f>
        <v>228.18</v>
      </c>
      <c r="AA269" s="8" t="n">
        <f aca="false">IF(Y269=0,0,Z269/Y269)</f>
        <v>0.290527119938885</v>
      </c>
      <c r="AB269" s="3" t="str">
        <f aca="false">IF(ABS(V269-Y269)&gt;1,"Mismatch","OK")</f>
        <v>OK</v>
      </c>
      <c r="AC269" s="3" t="str">
        <f aca="false">IF(ABS(X269-Z269)&gt;1,"Mismatch","OK")</f>
        <v>OK</v>
      </c>
      <c r="AD269" s="5" t="n">
        <f aca="false">IF(OR(B269="",C269=""),"",C269-B269)</f>
        <v>7</v>
      </c>
      <c r="AE269" s="3" t="str">
        <f aca="false">IF(AD269="","Unknown",IF(AD269&lt;0,"Invalid - Ship Before Order","OK"))</f>
        <v>OK</v>
      </c>
      <c r="AF269" s="5" t="n">
        <f aca="false">IF(B269="","",MONTH(B269))</f>
        <v>5</v>
      </c>
      <c r="AG269" s="5" t="n">
        <f aca="false">IF(B269="","",YEAR(B269))</f>
        <v>2025</v>
      </c>
      <c r="AH269" s="3" t="s">
        <v>52</v>
      </c>
      <c r="AI269" s="3" t="s">
        <v>53</v>
      </c>
      <c r="AJ269" s="3" t="str">
        <f aca="false">IF(AND(AI269="Completed",AH269="Failed"),"Inconsistent - Completed Order with Failed Payment","OK")</f>
        <v>OK</v>
      </c>
      <c r="AK269" s="3" t="s">
        <v>54</v>
      </c>
      <c r="AL269" s="3" t="str">
        <f aca="false">IF(OR(T269="Negative - Invalid",T269="Above Allowed Range - Invalid",AE269="Invalid - Ship Before Order",AK269&lt;&gt;"Unique",AB269="Mismatch",AC269="Mismatch",AJ269&lt;&gt;"OK"),"Invalid",IF(OR(H269="Yes",O269="Yes",T269="Missing"),"Warning","Clean"))</f>
        <v>Clean</v>
      </c>
    </row>
    <row r="270" customFormat="false" ht="15" hidden="false" customHeight="true" outlineLevel="0" collapsed="false">
      <c r="A270" s="3" t="s">
        <v>950</v>
      </c>
      <c r="B270" s="4" t="n">
        <v>45886</v>
      </c>
      <c r="C270" s="4" t="n">
        <v>45886</v>
      </c>
      <c r="D270" s="3" t="s">
        <v>951</v>
      </c>
      <c r="E270" s="3" t="s">
        <v>155</v>
      </c>
      <c r="F270" s="3" t="s">
        <v>121</v>
      </c>
      <c r="G270" s="3" t="s">
        <v>42</v>
      </c>
      <c r="H270" s="3" t="s">
        <v>43</v>
      </c>
      <c r="I270" s="3" t="s">
        <v>149</v>
      </c>
      <c r="J270" s="3" t="s">
        <v>150</v>
      </c>
      <c r="K270" s="3" t="s">
        <v>99</v>
      </c>
      <c r="L270" s="3" t="s">
        <v>100</v>
      </c>
      <c r="M270" s="3" t="s">
        <v>952</v>
      </c>
      <c r="N270" s="3" t="s">
        <v>72</v>
      </c>
      <c r="O270" s="3" t="s">
        <v>43</v>
      </c>
      <c r="P270" s="5" t="n">
        <v>7</v>
      </c>
      <c r="Q270" s="6" t="n">
        <v>632.2</v>
      </c>
      <c r="R270" s="3" t="s">
        <v>84</v>
      </c>
      <c r="S270" s="7" t="n">
        <v>0.25</v>
      </c>
      <c r="T270" s="3" t="s">
        <v>51</v>
      </c>
      <c r="U270" s="7" t="n">
        <f aca="false">IF(T270="Valid",S270,0)</f>
        <v>0.25</v>
      </c>
      <c r="V270" s="6" t="n">
        <v>3319.05</v>
      </c>
      <c r="W270" s="6" t="n">
        <v>2124.6</v>
      </c>
      <c r="X270" s="6" t="n">
        <v>1194.45</v>
      </c>
      <c r="Y270" s="6" t="n">
        <f aca="false">P270*Q270*(1-U270)</f>
        <v>3319.05</v>
      </c>
      <c r="Z270" s="6" t="n">
        <f aca="false">Y270-W270</f>
        <v>1194.45</v>
      </c>
      <c r="AA270" s="8" t="n">
        <f aca="false">IF(Y270=0,0,Z270/Y270)</f>
        <v>0.359877073258915</v>
      </c>
      <c r="AB270" s="3" t="str">
        <f aca="false">IF(ABS(V270-Y270)&gt;1,"Mismatch","OK")</f>
        <v>OK</v>
      </c>
      <c r="AC270" s="3" t="str">
        <f aca="false">IF(ABS(X270-Z270)&gt;1,"Mismatch","OK")</f>
        <v>OK</v>
      </c>
      <c r="AD270" s="5" t="n">
        <f aca="false">IF(OR(B270="",C270=""),"",C270-B270)</f>
        <v>0</v>
      </c>
      <c r="AE270" s="3" t="str">
        <f aca="false">IF(AD270="","Unknown",IF(AD270&lt;0,"Invalid - Ship Before Order","OK"))</f>
        <v>OK</v>
      </c>
      <c r="AF270" s="5" t="n">
        <f aca="false">IF(B270="","",MONTH(B270))</f>
        <v>8</v>
      </c>
      <c r="AG270" s="5" t="n">
        <f aca="false">IF(B270="","",YEAR(B270))</f>
        <v>2025</v>
      </c>
      <c r="AH270" s="3" t="s">
        <v>52</v>
      </c>
      <c r="AI270" s="3" t="s">
        <v>53</v>
      </c>
      <c r="AJ270" s="3" t="str">
        <f aca="false">IF(AND(AI270="Completed",AH270="Failed"),"Inconsistent - Completed Order with Failed Payment","OK")</f>
        <v>OK</v>
      </c>
      <c r="AK270" s="3" t="s">
        <v>54</v>
      </c>
      <c r="AL270" s="3" t="str">
        <f aca="false">IF(OR(T270="Negative - Invalid",T270="Above Allowed Range - Invalid",AE270="Invalid - Ship Before Order",AK270&lt;&gt;"Unique",AB270="Mismatch",AC270="Mismatch",AJ270&lt;&gt;"OK"),"Invalid",IF(OR(H270="Yes",O270="Yes",T270="Missing"),"Warning","Clean"))</f>
        <v>Clean</v>
      </c>
    </row>
    <row r="271" customFormat="false" ht="15" hidden="false" customHeight="true" outlineLevel="0" collapsed="false">
      <c r="A271" s="3" t="s">
        <v>953</v>
      </c>
      <c r="B271" s="4" t="n">
        <v>45698</v>
      </c>
      <c r="C271" s="4" t="n">
        <v>45700</v>
      </c>
      <c r="D271" s="3" t="s">
        <v>954</v>
      </c>
      <c r="E271" s="3" t="s">
        <v>145</v>
      </c>
      <c r="F271" s="3" t="s">
        <v>58</v>
      </c>
      <c r="G271" s="3" t="s">
        <v>88</v>
      </c>
      <c r="H271" s="3" t="s">
        <v>43</v>
      </c>
      <c r="I271" s="3" t="s">
        <v>44</v>
      </c>
      <c r="J271" s="3" t="s">
        <v>136</v>
      </c>
      <c r="K271" s="3" t="s">
        <v>62</v>
      </c>
      <c r="L271" s="3" t="s">
        <v>63</v>
      </c>
      <c r="M271" s="3" t="s">
        <v>955</v>
      </c>
      <c r="N271" s="3" t="s">
        <v>65</v>
      </c>
      <c r="O271" s="3" t="s">
        <v>43</v>
      </c>
      <c r="P271" s="5" t="n">
        <v>1</v>
      </c>
      <c r="Q271" s="6" t="n">
        <v>1925.86</v>
      </c>
      <c r="R271" s="3" t="s">
        <v>66</v>
      </c>
      <c r="S271" s="7" t="n">
        <v>0</v>
      </c>
      <c r="T271" s="3" t="s">
        <v>51</v>
      </c>
      <c r="U271" s="7" t="n">
        <f aca="false">IF(T271="Valid",S271,0)</f>
        <v>0</v>
      </c>
      <c r="V271" s="6" t="n">
        <v>1925.86</v>
      </c>
      <c r="W271" s="6" t="n">
        <v>1321.89</v>
      </c>
      <c r="X271" s="6" t="n">
        <v>603.97</v>
      </c>
      <c r="Y271" s="6" t="n">
        <f aca="false">P271*Q271*(1-U271)</f>
        <v>1925.86</v>
      </c>
      <c r="Z271" s="6" t="n">
        <f aca="false">Y271-W271</f>
        <v>603.97</v>
      </c>
      <c r="AA271" s="8" t="n">
        <f aca="false">IF(Y271=0,0,Z271/Y271)</f>
        <v>0.313610542822427</v>
      </c>
      <c r="AB271" s="3" t="str">
        <f aca="false">IF(ABS(V271-Y271)&gt;1,"Mismatch","OK")</f>
        <v>OK</v>
      </c>
      <c r="AC271" s="3" t="str">
        <f aca="false">IF(ABS(X271-Z271)&gt;1,"Mismatch","OK")</f>
        <v>OK</v>
      </c>
      <c r="AD271" s="5" t="n">
        <f aca="false">IF(OR(B271="",C271=""),"",C271-B271)</f>
        <v>2</v>
      </c>
      <c r="AE271" s="3" t="str">
        <f aca="false">IF(AD271="","Unknown",IF(AD271&lt;0,"Invalid - Ship Before Order","OK"))</f>
        <v>OK</v>
      </c>
      <c r="AF271" s="5" t="n">
        <f aca="false">IF(B271="","",MONTH(B271))</f>
        <v>2</v>
      </c>
      <c r="AG271" s="5" t="n">
        <f aca="false">IF(B271="","",YEAR(B271))</f>
        <v>2025</v>
      </c>
      <c r="AH271" s="3" t="s">
        <v>52</v>
      </c>
      <c r="AI271" s="3" t="s">
        <v>53</v>
      </c>
      <c r="AJ271" s="3" t="str">
        <f aca="false">IF(AND(AI271="Completed",AH271="Failed"),"Inconsistent - Completed Order with Failed Payment","OK")</f>
        <v>OK</v>
      </c>
      <c r="AK271" s="3" t="s">
        <v>54</v>
      </c>
      <c r="AL271" s="3" t="str">
        <f aca="false">IF(OR(T271="Negative - Invalid",T271="Above Allowed Range - Invalid",AE271="Invalid - Ship Before Order",AK271&lt;&gt;"Unique",AB271="Mismatch",AC271="Mismatch",AJ271&lt;&gt;"OK"),"Invalid",IF(OR(H271="Yes",O271="Yes",T271="Missing"),"Warning","Clean"))</f>
        <v>Clean</v>
      </c>
    </row>
    <row r="272" customFormat="false" ht="15" hidden="false" customHeight="true" outlineLevel="0" collapsed="false">
      <c r="A272" s="3" t="s">
        <v>956</v>
      </c>
      <c r="B272" s="4" t="n">
        <v>45303</v>
      </c>
      <c r="C272" s="4" t="n">
        <v>45304</v>
      </c>
      <c r="D272" s="3" t="s">
        <v>957</v>
      </c>
      <c r="E272" s="3" t="s">
        <v>115</v>
      </c>
      <c r="F272" s="3" t="s">
        <v>116</v>
      </c>
      <c r="G272" s="3" t="s">
        <v>42</v>
      </c>
      <c r="H272" s="3" t="s">
        <v>43</v>
      </c>
      <c r="I272" s="3" t="s">
        <v>163</v>
      </c>
      <c r="J272" s="3" t="s">
        <v>164</v>
      </c>
      <c r="K272" s="3" t="s">
        <v>99</v>
      </c>
      <c r="L272" s="3" t="s">
        <v>308</v>
      </c>
      <c r="M272" s="3" t="s">
        <v>958</v>
      </c>
      <c r="N272" s="3" t="s">
        <v>65</v>
      </c>
      <c r="O272" s="3" t="s">
        <v>43</v>
      </c>
      <c r="P272" s="5" t="n">
        <v>3</v>
      </c>
      <c r="Q272" s="6" t="n">
        <v>827.44</v>
      </c>
      <c r="R272" s="3" t="s">
        <v>66</v>
      </c>
      <c r="S272" s="7" t="n">
        <v>0</v>
      </c>
      <c r="T272" s="3" t="s">
        <v>51</v>
      </c>
      <c r="U272" s="7" t="n">
        <f aca="false">IF(T272="Valid",S272,0)</f>
        <v>0</v>
      </c>
      <c r="V272" s="6" t="n">
        <v>2482.32</v>
      </c>
      <c r="W272" s="6" t="n">
        <v>1520.21</v>
      </c>
      <c r="X272" s="6" t="n">
        <v>962.11</v>
      </c>
      <c r="Y272" s="6" t="n">
        <f aca="false">P272*Q272*(1-U272)</f>
        <v>2482.32</v>
      </c>
      <c r="Z272" s="6" t="n">
        <f aca="false">Y272-W272</f>
        <v>962.11</v>
      </c>
      <c r="AA272" s="8" t="n">
        <f aca="false">IF(Y272=0,0,Z272/Y272)</f>
        <v>0.387585001127977</v>
      </c>
      <c r="AB272" s="3" t="str">
        <f aca="false">IF(ABS(V272-Y272)&gt;1,"Mismatch","OK")</f>
        <v>OK</v>
      </c>
      <c r="AC272" s="3" t="str">
        <f aca="false">IF(ABS(X272-Z272)&gt;1,"Mismatch","OK")</f>
        <v>OK</v>
      </c>
      <c r="AD272" s="5" t="n">
        <f aca="false">IF(OR(B272="",C272=""),"",C272-B272)</f>
        <v>1</v>
      </c>
      <c r="AE272" s="3" t="str">
        <f aca="false">IF(AD272="","Unknown",IF(AD272&lt;0,"Invalid - Ship Before Order","OK"))</f>
        <v>OK</v>
      </c>
      <c r="AF272" s="5" t="n">
        <f aca="false">IF(B272="","",MONTH(B272))</f>
        <v>1</v>
      </c>
      <c r="AG272" s="5" t="n">
        <f aca="false">IF(B272="","",YEAR(B272))</f>
        <v>2024</v>
      </c>
      <c r="AH272" s="3" t="s">
        <v>52</v>
      </c>
      <c r="AI272" s="3" t="s">
        <v>53</v>
      </c>
      <c r="AJ272" s="3" t="str">
        <f aca="false">IF(AND(AI272="Completed",AH272="Failed"),"Inconsistent - Completed Order with Failed Payment","OK")</f>
        <v>OK</v>
      </c>
      <c r="AK272" s="3" t="s">
        <v>54</v>
      </c>
      <c r="AL272" s="3" t="str">
        <f aca="false">IF(OR(T272="Negative - Invalid",T272="Above Allowed Range - Invalid",AE272="Invalid - Ship Before Order",AK272&lt;&gt;"Unique",AB272="Mismatch",AC272="Mismatch",AJ272&lt;&gt;"OK"),"Invalid",IF(OR(H272="Yes",O272="Yes",T272="Missing"),"Warning","Clean"))</f>
        <v>Clean</v>
      </c>
    </row>
    <row r="273" customFormat="false" ht="15" hidden="false" customHeight="true" outlineLevel="0" collapsed="false">
      <c r="A273" s="3" t="s">
        <v>959</v>
      </c>
      <c r="B273" s="4" t="n">
        <v>45647</v>
      </c>
      <c r="C273" s="4" t="n">
        <v>45651</v>
      </c>
      <c r="D273" s="3" t="s">
        <v>960</v>
      </c>
      <c r="E273" s="3" t="s">
        <v>115</v>
      </c>
      <c r="F273" s="3" t="s">
        <v>41</v>
      </c>
      <c r="G273" s="3" t="s">
        <v>78</v>
      </c>
      <c r="H273" s="3" t="s">
        <v>43</v>
      </c>
      <c r="I273" s="3" t="s">
        <v>79</v>
      </c>
      <c r="J273" s="3" t="s">
        <v>80</v>
      </c>
      <c r="K273" s="3" t="s">
        <v>46</v>
      </c>
      <c r="L273" s="3" t="s">
        <v>183</v>
      </c>
      <c r="M273" s="3" t="s">
        <v>961</v>
      </c>
      <c r="N273" s="3" t="s">
        <v>83</v>
      </c>
      <c r="O273" s="3" t="s">
        <v>43</v>
      </c>
      <c r="P273" s="5" t="n">
        <v>7</v>
      </c>
      <c r="Q273" s="6" t="n">
        <v>1667.75</v>
      </c>
      <c r="R273" s="3" t="s">
        <v>66</v>
      </c>
      <c r="S273" s="7" t="n">
        <v>0</v>
      </c>
      <c r="T273" s="3" t="s">
        <v>51</v>
      </c>
      <c r="U273" s="7" t="n">
        <f aca="false">IF(T273="Valid",S273,0)</f>
        <v>0</v>
      </c>
      <c r="V273" s="6" t="n">
        <v>11674.25</v>
      </c>
      <c r="W273" s="6" t="n">
        <v>9621.19</v>
      </c>
      <c r="X273" s="6" t="n">
        <v>2053.06</v>
      </c>
      <c r="Y273" s="6" t="n">
        <f aca="false">P273*Q273*(1-U273)</f>
        <v>11674.25</v>
      </c>
      <c r="Z273" s="6" t="n">
        <f aca="false">Y273-W273</f>
        <v>2053.06</v>
      </c>
      <c r="AA273" s="8" t="n">
        <f aca="false">IF(Y273=0,0,Z273/Y273)</f>
        <v>0.175862260958948</v>
      </c>
      <c r="AB273" s="3" t="str">
        <f aca="false">IF(ABS(V273-Y273)&gt;1,"Mismatch","OK")</f>
        <v>OK</v>
      </c>
      <c r="AC273" s="3" t="str">
        <f aca="false">IF(ABS(X273-Z273)&gt;1,"Mismatch","OK")</f>
        <v>OK</v>
      </c>
      <c r="AD273" s="5" t="n">
        <f aca="false">IF(OR(B273="",C273=""),"",C273-B273)</f>
        <v>4</v>
      </c>
      <c r="AE273" s="3" t="str">
        <f aca="false">IF(AD273="","Unknown",IF(AD273&lt;0,"Invalid - Ship Before Order","OK"))</f>
        <v>OK</v>
      </c>
      <c r="AF273" s="5" t="n">
        <f aca="false">IF(B273="","",MONTH(B273))</f>
        <v>12</v>
      </c>
      <c r="AG273" s="5" t="n">
        <f aca="false">IF(B273="","",YEAR(B273))</f>
        <v>2024</v>
      </c>
      <c r="AH273" s="3" t="s">
        <v>185</v>
      </c>
      <c r="AI273" s="3" t="s">
        <v>93</v>
      </c>
      <c r="AJ273" s="3" t="str">
        <f aca="false">IF(AND(AI273="Completed",AH273="Failed"),"Inconsistent - Completed Order with Failed Payment","OK")</f>
        <v>OK</v>
      </c>
      <c r="AK273" s="3" t="s">
        <v>54</v>
      </c>
      <c r="AL273" s="3" t="str">
        <f aca="false">IF(OR(T273="Negative - Invalid",T273="Above Allowed Range - Invalid",AE273="Invalid - Ship Before Order",AK273&lt;&gt;"Unique",AB273="Mismatch",AC273="Mismatch",AJ273&lt;&gt;"OK"),"Invalid",IF(OR(H273="Yes",O273="Yes",T273="Missing"),"Warning","Clean"))</f>
        <v>Clean</v>
      </c>
    </row>
    <row r="274" customFormat="false" ht="15" hidden="false" customHeight="true" outlineLevel="0" collapsed="false">
      <c r="A274" s="3" t="s">
        <v>962</v>
      </c>
      <c r="B274" s="4" t="n">
        <v>45522</v>
      </c>
      <c r="C274" s="4" t="n">
        <v>45528</v>
      </c>
      <c r="D274" s="3" t="s">
        <v>963</v>
      </c>
      <c r="E274" s="3" t="s">
        <v>77</v>
      </c>
      <c r="F274" s="3" t="s">
        <v>41</v>
      </c>
      <c r="G274" s="3" t="s">
        <v>78</v>
      </c>
      <c r="H274" s="3" t="s">
        <v>43</v>
      </c>
      <c r="I274" s="3" t="s">
        <v>110</v>
      </c>
      <c r="J274" s="3" t="s">
        <v>111</v>
      </c>
      <c r="K274" s="3" t="s">
        <v>62</v>
      </c>
      <c r="L274" s="3" t="s">
        <v>91</v>
      </c>
      <c r="M274" s="3" t="s">
        <v>964</v>
      </c>
      <c r="N274" s="3" t="s">
        <v>72</v>
      </c>
      <c r="O274" s="3" t="s">
        <v>43</v>
      </c>
      <c r="P274" s="5" t="n">
        <v>7</v>
      </c>
      <c r="Q274" s="6" t="n">
        <v>557.21</v>
      </c>
      <c r="R274" s="3" t="s">
        <v>203</v>
      </c>
      <c r="S274" s="7" t="n">
        <v>0.1</v>
      </c>
      <c r="T274" s="3" t="s">
        <v>51</v>
      </c>
      <c r="U274" s="7" t="n">
        <f aca="false">IF(T274="Valid",S274,0)</f>
        <v>0.1</v>
      </c>
      <c r="V274" s="6" t="n">
        <v>3510.42</v>
      </c>
      <c r="W274" s="6" t="n">
        <v>2191.5</v>
      </c>
      <c r="X274" s="6" t="n">
        <v>1213.48</v>
      </c>
      <c r="Y274" s="6" t="n">
        <f aca="false">P274*Q274*(1-U274)</f>
        <v>3510.423</v>
      </c>
      <c r="Z274" s="6" t="n">
        <f aca="false">Y274-W274</f>
        <v>1318.923</v>
      </c>
      <c r="AA274" s="8" t="n">
        <f aca="false">IF(Y274=0,0,Z274/Y274)</f>
        <v>0.375716259835353</v>
      </c>
      <c r="AB274" s="3" t="str">
        <f aca="false">IF(ABS(V274-Y274)&gt;1,"Mismatch","OK")</f>
        <v>OK</v>
      </c>
      <c r="AC274" s="3" t="str">
        <f aca="false">IF(ABS(X274-Z274)&gt;1,"Mismatch","OK")</f>
        <v>Mismatch</v>
      </c>
      <c r="AD274" s="5" t="n">
        <f aca="false">IF(OR(B274="",C274=""),"",C274-B274)</f>
        <v>6</v>
      </c>
      <c r="AE274" s="3" t="str">
        <f aca="false">IF(AD274="","Unknown",IF(AD274&lt;0,"Invalid - Ship Before Order","OK"))</f>
        <v>OK</v>
      </c>
      <c r="AF274" s="5" t="n">
        <f aca="false">IF(B274="","",MONTH(B274))</f>
        <v>8</v>
      </c>
      <c r="AG274" s="5" t="n">
        <f aca="false">IF(B274="","",YEAR(B274))</f>
        <v>2024</v>
      </c>
      <c r="AH274" s="3" t="s">
        <v>52</v>
      </c>
      <c r="AI274" s="3" t="s">
        <v>53</v>
      </c>
      <c r="AJ274" s="3" t="str">
        <f aca="false">IF(AND(AI274="Completed",AH274="Failed"),"Inconsistent - Completed Order with Failed Payment","OK")</f>
        <v>OK</v>
      </c>
      <c r="AK274" s="3" t="s">
        <v>417</v>
      </c>
      <c r="AL274" s="3" t="str">
        <f aca="false">IF(OR(T274="Negative - Invalid",T274="Above Allowed Range - Invalid",AE274="Invalid - Ship Before Order",AK274&lt;&gt;"Unique",AB274="Mismatch",AC274="Mismatch",AJ274&lt;&gt;"OK"),"Invalid",IF(OR(H274="Yes",O274="Yes",T274="Missing"),"Warning","Clean"))</f>
        <v>Invalid</v>
      </c>
    </row>
    <row r="275" customFormat="false" ht="15" hidden="false" customHeight="true" outlineLevel="0" collapsed="false">
      <c r="A275" s="3" t="s">
        <v>965</v>
      </c>
      <c r="B275" s="4" t="n">
        <v>45701</v>
      </c>
      <c r="C275" s="4" t="n">
        <v>45701</v>
      </c>
      <c r="D275" s="3" t="s">
        <v>966</v>
      </c>
      <c r="E275" s="3" t="s">
        <v>69</v>
      </c>
      <c r="F275" s="3" t="s">
        <v>41</v>
      </c>
      <c r="G275" s="3" t="s">
        <v>59</v>
      </c>
      <c r="H275" s="3" t="s">
        <v>43</v>
      </c>
      <c r="I275" s="3" t="s">
        <v>174</v>
      </c>
      <c r="J275" s="3" t="s">
        <v>175</v>
      </c>
      <c r="K275" s="3" t="s">
        <v>46</v>
      </c>
      <c r="L275" s="3" t="s">
        <v>47</v>
      </c>
      <c r="M275" s="3" t="s">
        <v>967</v>
      </c>
      <c r="N275" s="3" t="s">
        <v>49</v>
      </c>
      <c r="O275" s="3" t="s">
        <v>43</v>
      </c>
      <c r="P275" s="5" t="n">
        <v>9</v>
      </c>
      <c r="Q275" s="6" t="n">
        <v>2521.63</v>
      </c>
      <c r="R275" s="3" t="s">
        <v>66</v>
      </c>
      <c r="S275" s="7" t="n">
        <v>0</v>
      </c>
      <c r="T275" s="3" t="s">
        <v>51</v>
      </c>
      <c r="U275" s="7" t="n">
        <f aca="false">IF(T275="Valid",S275,0)</f>
        <v>0</v>
      </c>
      <c r="V275" s="6" t="n">
        <v>22694.67</v>
      </c>
      <c r="W275" s="6" t="n">
        <v>15405.36</v>
      </c>
      <c r="X275" s="6" t="n">
        <v>7289.31</v>
      </c>
      <c r="Y275" s="6" t="n">
        <f aca="false">P275*Q275*(1-U275)</f>
        <v>22694.67</v>
      </c>
      <c r="Z275" s="6" t="n">
        <f aca="false">Y275-W275</f>
        <v>7289.31</v>
      </c>
      <c r="AA275" s="8" t="n">
        <f aca="false">IF(Y275=0,0,Z275/Y275)</f>
        <v>0.321190394044064</v>
      </c>
      <c r="AB275" s="3" t="str">
        <f aca="false">IF(ABS(V275-Y275)&gt;1,"Mismatch","OK")</f>
        <v>OK</v>
      </c>
      <c r="AC275" s="3" t="str">
        <f aca="false">IF(ABS(X275-Z275)&gt;1,"Mismatch","OK")</f>
        <v>OK</v>
      </c>
      <c r="AD275" s="5" t="n">
        <f aca="false">IF(OR(B275="",C275=""),"",C275-B275)</f>
        <v>0</v>
      </c>
      <c r="AE275" s="3" t="str">
        <f aca="false">IF(AD275="","Unknown",IF(AD275&lt;0,"Invalid - Ship Before Order","OK"))</f>
        <v>OK</v>
      </c>
      <c r="AF275" s="5" t="n">
        <f aca="false">IF(B275="","",MONTH(B275))</f>
        <v>2</v>
      </c>
      <c r="AG275" s="5" t="n">
        <f aca="false">IF(B275="","",YEAR(B275))</f>
        <v>2025</v>
      </c>
      <c r="AH275" s="3" t="s">
        <v>52</v>
      </c>
      <c r="AI275" s="3" t="s">
        <v>130</v>
      </c>
      <c r="AJ275" s="3" t="str">
        <f aca="false">IF(AND(AI275="Completed",AH275="Failed"),"Inconsistent - Completed Order with Failed Payment","OK")</f>
        <v>OK</v>
      </c>
      <c r="AK275" s="3" t="s">
        <v>54</v>
      </c>
      <c r="AL275" s="3" t="str">
        <f aca="false">IF(OR(T275="Negative - Invalid",T275="Above Allowed Range - Invalid",AE275="Invalid - Ship Before Order",AK275&lt;&gt;"Unique",AB275="Mismatch",AC275="Mismatch",AJ275&lt;&gt;"OK"),"Invalid",IF(OR(H275="Yes",O275="Yes",T275="Missing"),"Warning","Clean"))</f>
        <v>Clean</v>
      </c>
    </row>
    <row r="276" customFormat="false" ht="15" hidden="false" customHeight="true" outlineLevel="0" collapsed="false">
      <c r="A276" s="3" t="s">
        <v>968</v>
      </c>
      <c r="B276" s="4" t="n">
        <v>45389</v>
      </c>
      <c r="C276" s="4" t="n">
        <v>45396</v>
      </c>
      <c r="D276" s="3" t="s">
        <v>969</v>
      </c>
      <c r="E276" s="3" t="s">
        <v>168</v>
      </c>
      <c r="F276" s="3" t="s">
        <v>41</v>
      </c>
      <c r="G276" s="3" t="s">
        <v>78</v>
      </c>
      <c r="H276" s="3" t="s">
        <v>43</v>
      </c>
      <c r="I276" s="3" t="s">
        <v>216</v>
      </c>
      <c r="J276" s="3" t="s">
        <v>217</v>
      </c>
      <c r="K276" s="3" t="s">
        <v>99</v>
      </c>
      <c r="L276" s="3" t="s">
        <v>105</v>
      </c>
      <c r="M276" s="3" t="s">
        <v>970</v>
      </c>
      <c r="N276" s="3" t="s">
        <v>83</v>
      </c>
      <c r="O276" s="3" t="s">
        <v>43</v>
      </c>
      <c r="P276" s="5" t="n">
        <v>6</v>
      </c>
      <c r="Q276" s="6" t="n">
        <v>4246.71</v>
      </c>
      <c r="R276" s="3" t="s">
        <v>107</v>
      </c>
      <c r="S276" s="7" t="n">
        <v>0.15</v>
      </c>
      <c r="T276" s="3" t="s">
        <v>51</v>
      </c>
      <c r="U276" s="7" t="n">
        <f aca="false">IF(T276="Valid",S276,0)</f>
        <v>0.15</v>
      </c>
      <c r="V276" s="6" t="n">
        <v>21658.22</v>
      </c>
      <c r="W276" s="6" t="n">
        <v>15490.69</v>
      </c>
      <c r="X276" s="6" t="n">
        <v>6167.53</v>
      </c>
      <c r="Y276" s="6" t="n">
        <f aca="false">P276*Q276*(1-U276)</f>
        <v>21658.221</v>
      </c>
      <c r="Z276" s="6" t="n">
        <f aca="false">Y276-W276</f>
        <v>6167.531</v>
      </c>
      <c r="AA276" s="8" t="n">
        <f aca="false">IF(Y276=0,0,Z276/Y276)</f>
        <v>0.28476627881856</v>
      </c>
      <c r="AB276" s="3" t="str">
        <f aca="false">IF(ABS(V276-Y276)&gt;1,"Mismatch","OK")</f>
        <v>OK</v>
      </c>
      <c r="AC276" s="3" t="str">
        <f aca="false">IF(ABS(X276-Z276)&gt;1,"Mismatch","OK")</f>
        <v>OK</v>
      </c>
      <c r="AD276" s="5" t="n">
        <f aca="false">IF(OR(B276="",C276=""),"",C276-B276)</f>
        <v>7</v>
      </c>
      <c r="AE276" s="3" t="str">
        <f aca="false">IF(AD276="","Unknown",IF(AD276&lt;0,"Invalid - Ship Before Order","OK"))</f>
        <v>OK</v>
      </c>
      <c r="AF276" s="5" t="n">
        <f aca="false">IF(B276="","",MONTH(B276))</f>
        <v>4</v>
      </c>
      <c r="AG276" s="5" t="n">
        <f aca="false">IF(B276="","",YEAR(B276))</f>
        <v>2024</v>
      </c>
      <c r="AH276" s="3" t="s">
        <v>185</v>
      </c>
      <c r="AI276" s="3" t="s">
        <v>130</v>
      </c>
      <c r="AJ276" s="3" t="str">
        <f aca="false">IF(AND(AI276="Completed",AH276="Failed"),"Inconsistent - Completed Order with Failed Payment","OK")</f>
        <v>OK</v>
      </c>
      <c r="AK276" s="3" t="s">
        <v>54</v>
      </c>
      <c r="AL276" s="3" t="str">
        <f aca="false">IF(OR(T276="Negative - Invalid",T276="Above Allowed Range - Invalid",AE276="Invalid - Ship Before Order",AK276&lt;&gt;"Unique",AB276="Mismatch",AC276="Mismatch",AJ276&lt;&gt;"OK"),"Invalid",IF(OR(H276="Yes",O276="Yes",T276="Missing"),"Warning","Clean"))</f>
        <v>Clean</v>
      </c>
    </row>
    <row r="277" customFormat="false" ht="15" hidden="false" customHeight="true" outlineLevel="0" collapsed="false">
      <c r="A277" s="3" t="s">
        <v>971</v>
      </c>
      <c r="B277" s="4" t="n">
        <v>45337</v>
      </c>
      <c r="C277" s="4" t="n">
        <v>45344</v>
      </c>
      <c r="D277" s="3" t="s">
        <v>972</v>
      </c>
      <c r="E277" s="3" t="s">
        <v>141</v>
      </c>
      <c r="F277" s="3" t="s">
        <v>58</v>
      </c>
      <c r="G277" s="3" t="s">
        <v>59</v>
      </c>
      <c r="H277" s="3" t="s">
        <v>43</v>
      </c>
      <c r="I277" s="3" t="s">
        <v>125</v>
      </c>
      <c r="J277" s="3" t="s">
        <v>126</v>
      </c>
      <c r="K277" s="3" t="s">
        <v>62</v>
      </c>
      <c r="L277" s="3" t="s">
        <v>81</v>
      </c>
      <c r="M277" s="3" t="s">
        <v>973</v>
      </c>
      <c r="N277" s="3" t="s">
        <v>65</v>
      </c>
      <c r="O277" s="3" t="s">
        <v>43</v>
      </c>
      <c r="P277" s="5" t="n">
        <v>1</v>
      </c>
      <c r="Q277" s="6" t="n">
        <v>980.51</v>
      </c>
      <c r="R277" s="3" t="s">
        <v>66</v>
      </c>
      <c r="S277" s="7" t="n">
        <v>0</v>
      </c>
      <c r="T277" s="3" t="s">
        <v>51</v>
      </c>
      <c r="U277" s="7" t="n">
        <f aca="false">IF(T277="Valid",S277,0)</f>
        <v>0</v>
      </c>
      <c r="V277" s="6" t="n">
        <v>980.51</v>
      </c>
      <c r="W277" s="6" t="n">
        <v>660.92</v>
      </c>
      <c r="X277" s="6" t="n">
        <v>319.59</v>
      </c>
      <c r="Y277" s="6" t="n">
        <f aca="false">P277*Q277*(1-U277)</f>
        <v>980.51</v>
      </c>
      <c r="Z277" s="6" t="n">
        <f aca="false">Y277-W277</f>
        <v>319.59</v>
      </c>
      <c r="AA277" s="8" t="n">
        <f aca="false">IF(Y277=0,0,Z277/Y277)</f>
        <v>0.325942621696872</v>
      </c>
      <c r="AB277" s="3" t="str">
        <f aca="false">IF(ABS(V277-Y277)&gt;1,"Mismatch","OK")</f>
        <v>OK</v>
      </c>
      <c r="AC277" s="3" t="str">
        <f aca="false">IF(ABS(X277-Z277)&gt;1,"Mismatch","OK")</f>
        <v>OK</v>
      </c>
      <c r="AD277" s="5" t="n">
        <f aca="false">IF(OR(B277="",C277=""),"",C277-B277)</f>
        <v>7</v>
      </c>
      <c r="AE277" s="3" t="str">
        <f aca="false">IF(AD277="","Unknown",IF(AD277&lt;0,"Invalid - Ship Before Order","OK"))</f>
        <v>OK</v>
      </c>
      <c r="AF277" s="5" t="n">
        <f aca="false">IF(B277="","",MONTH(B277))</f>
        <v>2</v>
      </c>
      <c r="AG277" s="5" t="n">
        <f aca="false">IF(B277="","",YEAR(B277))</f>
        <v>2024</v>
      </c>
      <c r="AH277" s="3" t="s">
        <v>52</v>
      </c>
      <c r="AI277" s="3" t="s">
        <v>53</v>
      </c>
      <c r="AJ277" s="3" t="str">
        <f aca="false">IF(AND(AI277="Completed",AH277="Failed"),"Inconsistent - Completed Order with Failed Payment","OK")</f>
        <v>OK</v>
      </c>
      <c r="AK277" s="3" t="s">
        <v>54</v>
      </c>
      <c r="AL277" s="3" t="str">
        <f aca="false">IF(OR(T277="Negative - Invalid",T277="Above Allowed Range - Invalid",AE277="Invalid - Ship Before Order",AK277&lt;&gt;"Unique",AB277="Mismatch",AC277="Mismatch",AJ277&lt;&gt;"OK"),"Invalid",IF(OR(H277="Yes",O277="Yes",T277="Missing"),"Warning","Clean"))</f>
        <v>Clean</v>
      </c>
    </row>
    <row r="278" customFormat="false" ht="15" hidden="false" customHeight="true" outlineLevel="0" collapsed="false">
      <c r="A278" s="3" t="s">
        <v>974</v>
      </c>
      <c r="B278" s="4" t="n">
        <v>45313</v>
      </c>
      <c r="C278" s="4" t="n">
        <v>45314</v>
      </c>
      <c r="D278" s="3" t="s">
        <v>975</v>
      </c>
      <c r="E278" s="3" t="s">
        <v>155</v>
      </c>
      <c r="F278" s="3" t="s">
        <v>58</v>
      </c>
      <c r="G278" s="3" t="s">
        <v>237</v>
      </c>
      <c r="H278" s="3" t="s">
        <v>238</v>
      </c>
      <c r="I278" s="3" t="s">
        <v>196</v>
      </c>
      <c r="J278" s="3" t="s">
        <v>197</v>
      </c>
      <c r="K278" s="3" t="s">
        <v>62</v>
      </c>
      <c r="L278" s="3" t="s">
        <v>91</v>
      </c>
      <c r="M278" s="3" t="s">
        <v>976</v>
      </c>
      <c r="N278" s="3" t="s">
        <v>49</v>
      </c>
      <c r="O278" s="3" t="s">
        <v>43</v>
      </c>
      <c r="P278" s="5" t="n">
        <v>6</v>
      </c>
      <c r="Q278" s="6" t="n">
        <v>3391.53</v>
      </c>
      <c r="R278" s="3" t="s">
        <v>977</v>
      </c>
      <c r="S278" s="7" t="n">
        <v>-0.14</v>
      </c>
      <c r="T278" s="3" t="s">
        <v>171</v>
      </c>
      <c r="U278" s="7" t="n">
        <f aca="false">IF(T278="Valid",S278,0)</f>
        <v>0</v>
      </c>
      <c r="V278" s="6" t="n">
        <v>15261.89</v>
      </c>
      <c r="W278" s="6" t="n">
        <v>8413.53</v>
      </c>
      <c r="X278" s="6" t="n">
        <v>6848.36</v>
      </c>
      <c r="Y278" s="6" t="n">
        <f aca="false">P278*Q278*(1-U278)</f>
        <v>20349.18</v>
      </c>
      <c r="Z278" s="6" t="n">
        <f aca="false">Y278-W278</f>
        <v>11935.65</v>
      </c>
      <c r="AA278" s="8" t="n">
        <f aca="false">IF(Y278=0,0,Z278/Y278)</f>
        <v>0.586542062137148</v>
      </c>
      <c r="AB278" s="3" t="str">
        <f aca="false">IF(ABS(V278-Y278)&gt;1,"Mismatch","OK")</f>
        <v>Mismatch</v>
      </c>
      <c r="AC278" s="3" t="str">
        <f aca="false">IF(ABS(X278-Z278)&gt;1,"Mismatch","OK")</f>
        <v>Mismatch</v>
      </c>
      <c r="AD278" s="5" t="n">
        <f aca="false">IF(OR(B278="",C278=""),"",C278-B278)</f>
        <v>1</v>
      </c>
      <c r="AE278" s="3" t="str">
        <f aca="false">IF(AD278="","Unknown",IF(AD278&lt;0,"Invalid - Ship Before Order","OK"))</f>
        <v>OK</v>
      </c>
      <c r="AF278" s="5" t="n">
        <f aca="false">IF(B278="","",MONTH(B278))</f>
        <v>1</v>
      </c>
      <c r="AG278" s="5" t="n">
        <f aca="false">IF(B278="","",YEAR(B278))</f>
        <v>2024</v>
      </c>
      <c r="AH278" s="3" t="s">
        <v>52</v>
      </c>
      <c r="AI278" s="3" t="s">
        <v>53</v>
      </c>
      <c r="AJ278" s="3" t="str">
        <f aca="false">IF(AND(AI278="Completed",AH278="Failed"),"Inconsistent - Completed Order with Failed Payment","OK")</f>
        <v>OK</v>
      </c>
      <c r="AK278" s="3" t="s">
        <v>54</v>
      </c>
      <c r="AL278" s="3" t="str">
        <f aca="false">IF(OR(T278="Negative - Invalid",T278="Above Allowed Range - Invalid",AE278="Invalid - Ship Before Order",AK278&lt;&gt;"Unique",AB278="Mismatch",AC278="Mismatch",AJ278&lt;&gt;"OK"),"Invalid",IF(OR(H278="Yes",O278="Yes",T278="Missing"),"Warning","Clean"))</f>
        <v>Invalid</v>
      </c>
    </row>
    <row r="279" customFormat="false" ht="15" hidden="false" customHeight="true" outlineLevel="0" collapsed="false">
      <c r="A279" s="3" t="s">
        <v>978</v>
      </c>
      <c r="B279" s="4" t="n">
        <v>45812</v>
      </c>
      <c r="C279" s="4" t="n">
        <v>45812</v>
      </c>
      <c r="D279" s="3" t="s">
        <v>829</v>
      </c>
      <c r="E279" s="3" t="s">
        <v>69</v>
      </c>
      <c r="F279" s="3" t="s">
        <v>116</v>
      </c>
      <c r="G279" s="3" t="s">
        <v>42</v>
      </c>
      <c r="H279" s="3" t="s">
        <v>43</v>
      </c>
      <c r="I279" s="3" t="s">
        <v>270</v>
      </c>
      <c r="J279" s="3" t="s">
        <v>271</v>
      </c>
      <c r="K279" s="3" t="s">
        <v>99</v>
      </c>
      <c r="L279" s="3" t="s">
        <v>100</v>
      </c>
      <c r="M279" s="3" t="s">
        <v>979</v>
      </c>
      <c r="N279" s="3" t="s">
        <v>49</v>
      </c>
      <c r="O279" s="3" t="s">
        <v>43</v>
      </c>
      <c r="P279" s="5" t="n">
        <v>1</v>
      </c>
      <c r="Q279" s="6" t="n">
        <v>2133.73</v>
      </c>
      <c r="R279" s="3" t="s">
        <v>107</v>
      </c>
      <c r="S279" s="7" t="n">
        <v>0.15</v>
      </c>
      <c r="T279" s="3" t="s">
        <v>51</v>
      </c>
      <c r="U279" s="7" t="n">
        <f aca="false">IF(T279="Valid",S279,0)</f>
        <v>0.15</v>
      </c>
      <c r="V279" s="6" t="n">
        <v>2008.39</v>
      </c>
      <c r="W279" s="6" t="n">
        <v>1002.57</v>
      </c>
      <c r="X279" s="6" t="n">
        <v>811.1</v>
      </c>
      <c r="Y279" s="6" t="n">
        <f aca="false">P279*Q279*(1-U279)</f>
        <v>1813.6705</v>
      </c>
      <c r="Z279" s="6" t="n">
        <f aca="false">Y279-W279</f>
        <v>811.1005</v>
      </c>
      <c r="AA279" s="8" t="n">
        <f aca="false">IF(Y279=0,0,Z279/Y279)</f>
        <v>0.447214915829529</v>
      </c>
      <c r="AB279" s="3" t="str">
        <f aca="false">IF(ABS(V279-Y279)&gt;1,"Mismatch","OK")</f>
        <v>Mismatch</v>
      </c>
      <c r="AC279" s="3" t="str">
        <f aca="false">IF(ABS(X279-Z279)&gt;1,"Mismatch","OK")</f>
        <v>OK</v>
      </c>
      <c r="AD279" s="5" t="n">
        <f aca="false">IF(OR(B279="",C279=""),"",C279-B279)</f>
        <v>0</v>
      </c>
      <c r="AE279" s="3" t="str">
        <f aca="false">IF(AD279="","Unknown",IF(AD279&lt;0,"Invalid - Ship Before Order","OK"))</f>
        <v>OK</v>
      </c>
      <c r="AF279" s="5" t="n">
        <f aca="false">IF(B279="","",MONTH(B279))</f>
        <v>6</v>
      </c>
      <c r="AG279" s="5" t="n">
        <f aca="false">IF(B279="","",YEAR(B279))</f>
        <v>2025</v>
      </c>
      <c r="AH279" s="3" t="s">
        <v>138</v>
      </c>
      <c r="AI279" s="3" t="s">
        <v>93</v>
      </c>
      <c r="AJ279" s="3" t="str">
        <f aca="false">IF(AND(AI279="Completed",AH279="Failed"),"Inconsistent - Completed Order with Failed Payment","OK")</f>
        <v>OK</v>
      </c>
      <c r="AK279" s="3" t="s">
        <v>54</v>
      </c>
      <c r="AL279" s="3" t="str">
        <f aca="false">IF(OR(T279="Negative - Invalid",T279="Above Allowed Range - Invalid",AE279="Invalid - Ship Before Order",AK279&lt;&gt;"Unique",AB279="Mismatch",AC279="Mismatch",AJ279&lt;&gt;"OK"),"Invalid",IF(OR(H279="Yes",O279="Yes",T279="Missing"),"Warning","Clean"))</f>
        <v>Invalid</v>
      </c>
    </row>
    <row r="280" customFormat="false" ht="15" hidden="false" customHeight="true" outlineLevel="0" collapsed="false">
      <c r="A280" s="3" t="s">
        <v>980</v>
      </c>
      <c r="B280" s="4" t="n">
        <v>45723</v>
      </c>
      <c r="C280" s="4" t="n">
        <v>45730</v>
      </c>
      <c r="D280" s="3" t="s">
        <v>981</v>
      </c>
      <c r="E280" s="3" t="s">
        <v>141</v>
      </c>
      <c r="F280" s="3" t="s">
        <v>58</v>
      </c>
      <c r="G280" s="3" t="s">
        <v>42</v>
      </c>
      <c r="H280" s="3" t="s">
        <v>43</v>
      </c>
      <c r="I280" s="3" t="s">
        <v>384</v>
      </c>
      <c r="J280" s="3" t="s">
        <v>385</v>
      </c>
      <c r="K280" s="3" t="s">
        <v>99</v>
      </c>
      <c r="L280" s="3" t="s">
        <v>100</v>
      </c>
      <c r="M280" s="3" t="s">
        <v>982</v>
      </c>
      <c r="N280" s="3" t="s">
        <v>65</v>
      </c>
      <c r="O280" s="3" t="s">
        <v>43</v>
      </c>
      <c r="P280" s="5" t="n">
        <v>1</v>
      </c>
      <c r="Q280" s="6" t="n">
        <v>3979.64</v>
      </c>
      <c r="R280" s="3" t="s">
        <v>128</v>
      </c>
      <c r="S280" s="7" t="n">
        <v>0.05</v>
      </c>
      <c r="T280" s="3" t="s">
        <v>51</v>
      </c>
      <c r="U280" s="7" t="n">
        <f aca="false">IF(T280="Valid",S280,0)</f>
        <v>0.05</v>
      </c>
      <c r="V280" s="6" t="n">
        <v>3780.66</v>
      </c>
      <c r="W280" s="6" t="n">
        <v>2148.31</v>
      </c>
      <c r="X280" s="6" t="n">
        <v>1632.35</v>
      </c>
      <c r="Y280" s="6" t="n">
        <f aca="false">P280*Q280*(1-U280)</f>
        <v>3780.658</v>
      </c>
      <c r="Z280" s="6" t="n">
        <f aca="false">Y280-W280</f>
        <v>1632.348</v>
      </c>
      <c r="AA280" s="8" t="n">
        <f aca="false">IF(Y280=0,0,Z280/Y280)</f>
        <v>0.431762936504704</v>
      </c>
      <c r="AB280" s="3" t="str">
        <f aca="false">IF(ABS(V280-Y280)&gt;1,"Mismatch","OK")</f>
        <v>OK</v>
      </c>
      <c r="AC280" s="3" t="str">
        <f aca="false">IF(ABS(X280-Z280)&gt;1,"Mismatch","OK")</f>
        <v>OK</v>
      </c>
      <c r="AD280" s="5" t="n">
        <f aca="false">IF(OR(B280="",C280=""),"",C280-B280)</f>
        <v>7</v>
      </c>
      <c r="AE280" s="3" t="str">
        <f aca="false">IF(AD280="","Unknown",IF(AD280&lt;0,"Invalid - Ship Before Order","OK"))</f>
        <v>OK</v>
      </c>
      <c r="AF280" s="5" t="n">
        <f aca="false">IF(B280="","",MONTH(B280))</f>
        <v>3</v>
      </c>
      <c r="AG280" s="5" t="n">
        <f aca="false">IF(B280="","",YEAR(B280))</f>
        <v>2025</v>
      </c>
      <c r="AH280" s="3" t="s">
        <v>52</v>
      </c>
      <c r="AI280" s="3" t="s">
        <v>130</v>
      </c>
      <c r="AJ280" s="3" t="str">
        <f aca="false">IF(AND(AI280="Completed",AH280="Failed"),"Inconsistent - Completed Order with Failed Payment","OK")</f>
        <v>OK</v>
      </c>
      <c r="AK280" s="3" t="s">
        <v>54</v>
      </c>
      <c r="AL280" s="3" t="str">
        <f aca="false">IF(OR(T280="Negative - Invalid",T280="Above Allowed Range - Invalid",AE280="Invalid - Ship Before Order",AK280&lt;&gt;"Unique",AB280="Mismatch",AC280="Mismatch",AJ280&lt;&gt;"OK"),"Invalid",IF(OR(H280="Yes",O280="Yes",T280="Missing"),"Warning","Clean"))</f>
        <v>Clean</v>
      </c>
    </row>
    <row r="281" customFormat="false" ht="15" hidden="false" customHeight="true" outlineLevel="0" collapsed="false">
      <c r="A281" s="3" t="s">
        <v>983</v>
      </c>
      <c r="B281" s="4" t="n">
        <v>45391</v>
      </c>
      <c r="C281" s="4" t="n">
        <v>45392</v>
      </c>
      <c r="D281" s="3" t="s">
        <v>984</v>
      </c>
      <c r="E281" s="3" t="s">
        <v>168</v>
      </c>
      <c r="F281" s="3" t="s">
        <v>58</v>
      </c>
      <c r="G281" s="3" t="s">
        <v>88</v>
      </c>
      <c r="H281" s="3" t="s">
        <v>43</v>
      </c>
      <c r="I281" s="3" t="s">
        <v>89</v>
      </c>
      <c r="J281" s="3" t="s">
        <v>90</v>
      </c>
      <c r="K281" s="3" t="s">
        <v>46</v>
      </c>
      <c r="L281" s="3" t="s">
        <v>151</v>
      </c>
      <c r="M281" s="3" t="s">
        <v>985</v>
      </c>
      <c r="N281" s="3" t="s">
        <v>72</v>
      </c>
      <c r="O281" s="3" t="s">
        <v>43</v>
      </c>
      <c r="P281" s="5" t="n">
        <v>1</v>
      </c>
      <c r="Q281" s="6" t="n">
        <v>4359.12</v>
      </c>
      <c r="R281" s="3" t="s">
        <v>128</v>
      </c>
      <c r="S281" s="7" t="n">
        <v>0.05</v>
      </c>
      <c r="T281" s="3" t="s">
        <v>51</v>
      </c>
      <c r="U281" s="7" t="n">
        <f aca="false">IF(T281="Valid",S281,0)</f>
        <v>0.05</v>
      </c>
      <c r="V281" s="6" t="n">
        <v>4141.16</v>
      </c>
      <c r="W281" s="6" t="n">
        <v>2754.17</v>
      </c>
      <c r="X281" s="6" t="n">
        <v>1386.99</v>
      </c>
      <c r="Y281" s="6" t="n">
        <f aca="false">P281*Q281*(1-U281)</f>
        <v>4141.164</v>
      </c>
      <c r="Z281" s="6" t="n">
        <f aca="false">Y281-W281</f>
        <v>1386.994</v>
      </c>
      <c r="AA281" s="8" t="n">
        <f aca="false">IF(Y281=0,0,Z281/Y281)</f>
        <v>0.334928537000708</v>
      </c>
      <c r="AB281" s="3" t="str">
        <f aca="false">IF(ABS(V281-Y281)&gt;1,"Mismatch","OK")</f>
        <v>OK</v>
      </c>
      <c r="AC281" s="3" t="str">
        <f aca="false">IF(ABS(X281-Z281)&gt;1,"Mismatch","OK")</f>
        <v>OK</v>
      </c>
      <c r="AD281" s="5" t="n">
        <f aca="false">IF(OR(B281="",C281=""),"",C281-B281)</f>
        <v>1</v>
      </c>
      <c r="AE281" s="3" t="str">
        <f aca="false">IF(AD281="","Unknown",IF(AD281&lt;0,"Invalid - Ship Before Order","OK"))</f>
        <v>OK</v>
      </c>
      <c r="AF281" s="5" t="n">
        <f aca="false">IF(B281="","",MONTH(B281))</f>
        <v>4</v>
      </c>
      <c r="AG281" s="5" t="n">
        <f aca="false">IF(B281="","",YEAR(B281))</f>
        <v>2024</v>
      </c>
      <c r="AH281" s="3" t="s">
        <v>52</v>
      </c>
      <c r="AI281" s="3" t="s">
        <v>53</v>
      </c>
      <c r="AJ281" s="3" t="str">
        <f aca="false">IF(AND(AI281="Completed",AH281="Failed"),"Inconsistent - Completed Order with Failed Payment","OK")</f>
        <v>OK</v>
      </c>
      <c r="AK281" s="3" t="s">
        <v>54</v>
      </c>
      <c r="AL281" s="3" t="str">
        <f aca="false">IF(OR(T281="Negative - Invalid",T281="Above Allowed Range - Invalid",AE281="Invalid - Ship Before Order",AK281&lt;&gt;"Unique",AB281="Mismatch",AC281="Mismatch",AJ281&lt;&gt;"OK"),"Invalid",IF(OR(H281="Yes",O281="Yes",T281="Missing"),"Warning","Clean"))</f>
        <v>Clean</v>
      </c>
    </row>
    <row r="282" customFormat="false" ht="15" hidden="false" customHeight="true" outlineLevel="0" collapsed="false">
      <c r="A282" s="3" t="s">
        <v>986</v>
      </c>
      <c r="B282" s="4" t="n">
        <v>45649</v>
      </c>
      <c r="C282" s="4" t="n">
        <v>45652</v>
      </c>
      <c r="D282" s="3" t="s">
        <v>987</v>
      </c>
      <c r="E282" s="3" t="s">
        <v>115</v>
      </c>
      <c r="F282" s="3" t="s">
        <v>41</v>
      </c>
      <c r="G282" s="3" t="s">
        <v>78</v>
      </c>
      <c r="H282" s="3" t="s">
        <v>43</v>
      </c>
      <c r="I282" s="3" t="s">
        <v>206</v>
      </c>
      <c r="J282" s="3" t="s">
        <v>207</v>
      </c>
      <c r="K282" s="3" t="s">
        <v>99</v>
      </c>
      <c r="L282" s="3" t="s">
        <v>105</v>
      </c>
      <c r="M282" s="3" t="s">
        <v>988</v>
      </c>
      <c r="N282" s="3" t="s">
        <v>83</v>
      </c>
      <c r="O282" s="3" t="s">
        <v>43</v>
      </c>
      <c r="P282" s="5" t="n">
        <v>9</v>
      </c>
      <c r="Q282" s="6" t="n">
        <v>993.67</v>
      </c>
      <c r="R282" s="3" t="s">
        <v>66</v>
      </c>
      <c r="S282" s="7" t="n">
        <v>0</v>
      </c>
      <c r="T282" s="3" t="s">
        <v>51</v>
      </c>
      <c r="U282" s="7" t="n">
        <f aca="false">IF(T282="Valid",S282,0)</f>
        <v>0</v>
      </c>
      <c r="V282" s="6" t="n">
        <v>8943.03</v>
      </c>
      <c r="W282" s="6" t="n">
        <v>5165.38</v>
      </c>
      <c r="X282" s="6" t="n">
        <v>3777.65</v>
      </c>
      <c r="Y282" s="6" t="n">
        <f aca="false">P282*Q282*(1-U282)</f>
        <v>8943.03</v>
      </c>
      <c r="Z282" s="6" t="n">
        <f aca="false">Y282-W282</f>
        <v>3777.65</v>
      </c>
      <c r="AA282" s="8" t="n">
        <f aca="false">IF(Y282=0,0,Z282/Y282)</f>
        <v>0.422412761670262</v>
      </c>
      <c r="AB282" s="3" t="str">
        <f aca="false">IF(ABS(V282-Y282)&gt;1,"Mismatch","OK")</f>
        <v>OK</v>
      </c>
      <c r="AC282" s="3" t="str">
        <f aca="false">IF(ABS(X282-Z282)&gt;1,"Mismatch","OK")</f>
        <v>OK</v>
      </c>
      <c r="AD282" s="5" t="n">
        <f aca="false">IF(OR(B282="",C282=""),"",C282-B282)</f>
        <v>3</v>
      </c>
      <c r="AE282" s="3" t="str">
        <f aca="false">IF(AD282="","Unknown",IF(AD282&lt;0,"Invalid - Ship Before Order","OK"))</f>
        <v>OK</v>
      </c>
      <c r="AF282" s="5" t="n">
        <f aca="false">IF(B282="","",MONTH(B282))</f>
        <v>12</v>
      </c>
      <c r="AG282" s="5" t="n">
        <f aca="false">IF(B282="","",YEAR(B282))</f>
        <v>2024</v>
      </c>
      <c r="AH282" s="3" t="s">
        <v>52</v>
      </c>
      <c r="AI282" s="3" t="s">
        <v>53</v>
      </c>
      <c r="AJ282" s="3" t="str">
        <f aca="false">IF(AND(AI282="Completed",AH282="Failed"),"Inconsistent - Completed Order with Failed Payment","OK")</f>
        <v>OK</v>
      </c>
      <c r="AK282" s="3" t="s">
        <v>54</v>
      </c>
      <c r="AL282" s="3" t="str">
        <f aca="false">IF(OR(T282="Negative - Invalid",T282="Above Allowed Range - Invalid",AE282="Invalid - Ship Before Order",AK282&lt;&gt;"Unique",AB282="Mismatch",AC282="Mismatch",AJ282&lt;&gt;"OK"),"Invalid",IF(OR(H282="Yes",O282="Yes",T282="Missing"),"Warning","Clean"))</f>
        <v>Clean</v>
      </c>
    </row>
    <row r="283" customFormat="false" ht="15" hidden="false" customHeight="true" outlineLevel="0" collapsed="false">
      <c r="A283" s="3" t="s">
        <v>989</v>
      </c>
      <c r="B283" s="4" t="n">
        <v>45863</v>
      </c>
      <c r="C283" s="4" t="n">
        <v>45865</v>
      </c>
      <c r="D283" s="3" t="s">
        <v>990</v>
      </c>
      <c r="E283" s="3" t="s">
        <v>298</v>
      </c>
      <c r="F283" s="3" t="s">
        <v>41</v>
      </c>
      <c r="G283" s="3" t="s">
        <v>59</v>
      </c>
      <c r="H283" s="3" t="s">
        <v>43</v>
      </c>
      <c r="I283" s="3" t="s">
        <v>262</v>
      </c>
      <c r="J283" s="3" t="s">
        <v>263</v>
      </c>
      <c r="K283" s="3" t="s">
        <v>46</v>
      </c>
      <c r="L283" s="3" t="s">
        <v>183</v>
      </c>
      <c r="M283" s="3" t="s">
        <v>991</v>
      </c>
      <c r="N283" s="3" t="s">
        <v>49</v>
      </c>
      <c r="O283" s="3" t="s">
        <v>43</v>
      </c>
      <c r="P283" s="5" t="n">
        <v>6</v>
      </c>
      <c r="Q283" s="6" t="n">
        <v>3438.38</v>
      </c>
      <c r="R283" s="3" t="s">
        <v>50</v>
      </c>
      <c r="S283" s="7" t="n">
        <v>0.2</v>
      </c>
      <c r="T283" s="3" t="s">
        <v>51</v>
      </c>
      <c r="U283" s="7" t="n">
        <f aca="false">IF(T283="Valid",S283,0)</f>
        <v>0.2</v>
      </c>
      <c r="V283" s="6" t="n">
        <v>16504.22</v>
      </c>
      <c r="W283" s="6" t="n">
        <v>11262.71</v>
      </c>
      <c r="X283" s="6" t="n">
        <v>5241.51</v>
      </c>
      <c r="Y283" s="6" t="n">
        <f aca="false">P283*Q283*(1-U283)</f>
        <v>16504.224</v>
      </c>
      <c r="Z283" s="6" t="n">
        <f aca="false">Y283-W283</f>
        <v>5241.514</v>
      </c>
      <c r="AA283" s="8" t="n">
        <f aca="false">IF(Y283=0,0,Z283/Y283)</f>
        <v>0.317586213080966</v>
      </c>
      <c r="AB283" s="3" t="str">
        <f aca="false">IF(ABS(V283-Y283)&gt;1,"Mismatch","OK")</f>
        <v>OK</v>
      </c>
      <c r="AC283" s="3" t="str">
        <f aca="false">IF(ABS(X283-Z283)&gt;1,"Mismatch","OK")</f>
        <v>OK</v>
      </c>
      <c r="AD283" s="5" t="n">
        <f aca="false">IF(OR(B283="",C283=""),"",C283-B283)</f>
        <v>2</v>
      </c>
      <c r="AE283" s="3" t="str">
        <f aca="false">IF(AD283="","Unknown",IF(AD283&lt;0,"Invalid - Ship Before Order","OK"))</f>
        <v>OK</v>
      </c>
      <c r="AF283" s="5" t="n">
        <f aca="false">IF(B283="","",MONTH(B283))</f>
        <v>7</v>
      </c>
      <c r="AG283" s="5" t="n">
        <f aca="false">IF(B283="","",YEAR(B283))</f>
        <v>2025</v>
      </c>
      <c r="AH283" s="3" t="s">
        <v>52</v>
      </c>
      <c r="AI283" s="3" t="s">
        <v>53</v>
      </c>
      <c r="AJ283" s="3" t="str">
        <f aca="false">IF(AND(AI283="Completed",AH283="Failed"),"Inconsistent - Completed Order with Failed Payment","OK")</f>
        <v>OK</v>
      </c>
      <c r="AK283" s="3" t="s">
        <v>54</v>
      </c>
      <c r="AL283" s="3" t="str">
        <f aca="false">IF(OR(T283="Negative - Invalid",T283="Above Allowed Range - Invalid",AE283="Invalid - Ship Before Order",AK283&lt;&gt;"Unique",AB283="Mismatch",AC283="Mismatch",AJ283&lt;&gt;"OK"),"Invalid",IF(OR(H283="Yes",O283="Yes",T283="Missing"),"Warning","Clean"))</f>
        <v>Clean</v>
      </c>
    </row>
    <row r="284" customFormat="false" ht="15" hidden="false" customHeight="true" outlineLevel="0" collapsed="false">
      <c r="A284" s="3" t="s">
        <v>992</v>
      </c>
      <c r="B284" s="4" t="n">
        <v>45566</v>
      </c>
      <c r="C284" s="4" t="n">
        <v>45567</v>
      </c>
      <c r="D284" s="3" t="s">
        <v>993</v>
      </c>
      <c r="E284" s="3" t="s">
        <v>40</v>
      </c>
      <c r="F284" s="3" t="s">
        <v>121</v>
      </c>
      <c r="G284" s="3" t="s">
        <v>59</v>
      </c>
      <c r="H284" s="3" t="s">
        <v>43</v>
      </c>
      <c r="I284" s="3" t="s">
        <v>196</v>
      </c>
      <c r="J284" s="3" t="s">
        <v>197</v>
      </c>
      <c r="K284" s="3" t="s">
        <v>62</v>
      </c>
      <c r="L284" s="3" t="s">
        <v>63</v>
      </c>
      <c r="M284" s="3" t="s">
        <v>994</v>
      </c>
      <c r="N284" s="3" t="s">
        <v>49</v>
      </c>
      <c r="O284" s="3" t="s">
        <v>43</v>
      </c>
      <c r="P284" s="5" t="n">
        <v>2</v>
      </c>
      <c r="Q284" s="6" t="n">
        <v>2298</v>
      </c>
      <c r="R284" s="3" t="s">
        <v>66</v>
      </c>
      <c r="S284" s="7" t="n">
        <v>0</v>
      </c>
      <c r="T284" s="3" t="s">
        <v>51</v>
      </c>
      <c r="U284" s="7" t="n">
        <f aca="false">IF(T284="Valid",S284,0)</f>
        <v>0</v>
      </c>
      <c r="V284" s="6" t="n">
        <v>4596</v>
      </c>
      <c r="W284" s="6" t="n">
        <v>3220.33</v>
      </c>
      <c r="X284" s="6" t="n">
        <v>1375.67</v>
      </c>
      <c r="Y284" s="6" t="n">
        <f aca="false">P284*Q284*(1-U284)</f>
        <v>4596</v>
      </c>
      <c r="Z284" s="6" t="n">
        <f aca="false">Y284-W284</f>
        <v>1375.67</v>
      </c>
      <c r="AA284" s="8" t="n">
        <f aca="false">IF(Y284=0,0,Z284/Y284)</f>
        <v>0.299318973020017</v>
      </c>
      <c r="AB284" s="3" t="str">
        <f aca="false">IF(ABS(V284-Y284)&gt;1,"Mismatch","OK")</f>
        <v>OK</v>
      </c>
      <c r="AC284" s="3" t="str">
        <f aca="false">IF(ABS(X284-Z284)&gt;1,"Mismatch","OK")</f>
        <v>OK</v>
      </c>
      <c r="AD284" s="5" t="n">
        <f aca="false">IF(OR(B284="",C284=""),"",C284-B284)</f>
        <v>1</v>
      </c>
      <c r="AE284" s="3" t="str">
        <f aca="false">IF(AD284="","Unknown",IF(AD284&lt;0,"Invalid - Ship Before Order","OK"))</f>
        <v>OK</v>
      </c>
      <c r="AF284" s="5" t="n">
        <f aca="false">IF(B284="","",MONTH(B284))</f>
        <v>10</v>
      </c>
      <c r="AG284" s="5" t="n">
        <f aca="false">IF(B284="","",YEAR(B284))</f>
        <v>2024</v>
      </c>
      <c r="AH284" s="3" t="s">
        <v>52</v>
      </c>
      <c r="AI284" s="3" t="s">
        <v>53</v>
      </c>
      <c r="AJ284" s="3" t="str">
        <f aca="false">IF(AND(AI284="Completed",AH284="Failed"),"Inconsistent - Completed Order with Failed Payment","OK")</f>
        <v>OK</v>
      </c>
      <c r="AK284" s="3" t="s">
        <v>54</v>
      </c>
      <c r="AL284" s="3" t="str">
        <f aca="false">IF(OR(T284="Negative - Invalid",T284="Above Allowed Range - Invalid",AE284="Invalid - Ship Before Order",AK284&lt;&gt;"Unique",AB284="Mismatch",AC284="Mismatch",AJ284&lt;&gt;"OK"),"Invalid",IF(OR(H284="Yes",O284="Yes",T284="Missing"),"Warning","Clean"))</f>
        <v>Clean</v>
      </c>
    </row>
    <row r="285" customFormat="false" ht="15" hidden="false" customHeight="true" outlineLevel="0" collapsed="false">
      <c r="A285" s="3" t="s">
        <v>995</v>
      </c>
      <c r="B285" s="4" t="n">
        <v>45729</v>
      </c>
      <c r="C285" s="4" t="n">
        <v>45736</v>
      </c>
      <c r="D285" s="3" t="s">
        <v>996</v>
      </c>
      <c r="E285" s="3" t="s">
        <v>96</v>
      </c>
      <c r="F285" s="3" t="s">
        <v>41</v>
      </c>
      <c r="G285" s="3" t="s">
        <v>88</v>
      </c>
      <c r="H285" s="3" t="s">
        <v>43</v>
      </c>
      <c r="I285" s="3" t="s">
        <v>89</v>
      </c>
      <c r="J285" s="3" t="s">
        <v>90</v>
      </c>
      <c r="K285" s="3" t="s">
        <v>62</v>
      </c>
      <c r="L285" s="3" t="s">
        <v>81</v>
      </c>
      <c r="M285" s="3" t="s">
        <v>997</v>
      </c>
      <c r="N285" s="3" t="s">
        <v>72</v>
      </c>
      <c r="O285" s="3" t="s">
        <v>43</v>
      </c>
      <c r="P285" s="5" t="n">
        <v>1</v>
      </c>
      <c r="Q285" s="6" t="n">
        <v>1814.01</v>
      </c>
      <c r="R285" s="3" t="s">
        <v>66</v>
      </c>
      <c r="S285" s="7" t="n">
        <v>0</v>
      </c>
      <c r="T285" s="3" t="s">
        <v>51</v>
      </c>
      <c r="U285" s="7" t="n">
        <f aca="false">IF(T285="Valid",S285,0)</f>
        <v>0</v>
      </c>
      <c r="V285" s="6" t="n">
        <v>1814.01</v>
      </c>
      <c r="W285" s="6" t="n">
        <v>1033.47</v>
      </c>
      <c r="X285" s="6" t="n">
        <v>780.54</v>
      </c>
      <c r="Y285" s="6" t="n">
        <f aca="false">P285*Q285*(1-U285)</f>
        <v>1814.01</v>
      </c>
      <c r="Z285" s="6" t="n">
        <f aca="false">Y285-W285</f>
        <v>780.54</v>
      </c>
      <c r="AA285" s="8" t="n">
        <f aca="false">IF(Y285=0,0,Z285/Y285)</f>
        <v>0.430284287297203</v>
      </c>
      <c r="AB285" s="3" t="str">
        <f aca="false">IF(ABS(V285-Y285)&gt;1,"Mismatch","OK")</f>
        <v>OK</v>
      </c>
      <c r="AC285" s="3" t="str">
        <f aca="false">IF(ABS(X285-Z285)&gt;1,"Mismatch","OK")</f>
        <v>OK</v>
      </c>
      <c r="AD285" s="5" t="n">
        <f aca="false">IF(OR(B285="",C285=""),"",C285-B285)</f>
        <v>7</v>
      </c>
      <c r="AE285" s="3" t="str">
        <f aca="false">IF(AD285="","Unknown",IF(AD285&lt;0,"Invalid - Ship Before Order","OK"))</f>
        <v>OK</v>
      </c>
      <c r="AF285" s="5" t="n">
        <f aca="false">IF(B285="","",MONTH(B285))</f>
        <v>3</v>
      </c>
      <c r="AG285" s="5" t="n">
        <f aca="false">IF(B285="","",YEAR(B285))</f>
        <v>2025</v>
      </c>
      <c r="AH285" s="3" t="s">
        <v>52</v>
      </c>
      <c r="AI285" s="3" t="s">
        <v>53</v>
      </c>
      <c r="AJ285" s="3" t="str">
        <f aca="false">IF(AND(AI285="Completed",AH285="Failed"),"Inconsistent - Completed Order with Failed Payment","OK")</f>
        <v>OK</v>
      </c>
      <c r="AK285" s="3" t="s">
        <v>54</v>
      </c>
      <c r="AL285" s="3" t="str">
        <f aca="false">IF(OR(T285="Negative - Invalid",T285="Above Allowed Range - Invalid",AE285="Invalid - Ship Before Order",AK285&lt;&gt;"Unique",AB285="Mismatch",AC285="Mismatch",AJ285&lt;&gt;"OK"),"Invalid",IF(OR(H285="Yes",O285="Yes",T285="Missing"),"Warning","Clean"))</f>
        <v>Clean</v>
      </c>
    </row>
    <row r="286" customFormat="false" ht="15" hidden="false" customHeight="true" outlineLevel="0" collapsed="false">
      <c r="A286" s="3" t="s">
        <v>998</v>
      </c>
      <c r="B286" s="4" t="n">
        <v>45634</v>
      </c>
      <c r="C286" s="4" t="n">
        <v>45640</v>
      </c>
      <c r="D286" s="3" t="s">
        <v>999</v>
      </c>
      <c r="E286" s="3" t="s">
        <v>40</v>
      </c>
      <c r="F286" s="3" t="s">
        <v>41</v>
      </c>
      <c r="G286" s="3" t="s">
        <v>59</v>
      </c>
      <c r="H286" s="3" t="s">
        <v>43</v>
      </c>
      <c r="I286" s="3" t="s">
        <v>60</v>
      </c>
      <c r="J286" s="3" t="s">
        <v>61</v>
      </c>
      <c r="K286" s="3" t="s">
        <v>62</v>
      </c>
      <c r="L286" s="3" t="s">
        <v>63</v>
      </c>
      <c r="M286" s="3" t="s">
        <v>1000</v>
      </c>
      <c r="N286" s="3" t="s">
        <v>65</v>
      </c>
      <c r="O286" s="3" t="s">
        <v>43</v>
      </c>
      <c r="P286" s="5" t="n">
        <v>3</v>
      </c>
      <c r="Q286" s="6" t="n">
        <v>1576.92</v>
      </c>
      <c r="R286" s="3" t="s">
        <v>66</v>
      </c>
      <c r="S286" s="7" t="n">
        <v>0</v>
      </c>
      <c r="T286" s="3" t="s">
        <v>51</v>
      </c>
      <c r="U286" s="7" t="n">
        <f aca="false">IF(T286="Valid",S286,0)</f>
        <v>0</v>
      </c>
      <c r="V286" s="6" t="n">
        <v>4730.76</v>
      </c>
      <c r="W286" s="6" t="n">
        <v>3139.73</v>
      </c>
      <c r="X286" s="6" t="n">
        <v>1591.03</v>
      </c>
      <c r="Y286" s="6" t="n">
        <f aca="false">P286*Q286*(1-U286)</f>
        <v>4730.76</v>
      </c>
      <c r="Z286" s="6" t="n">
        <f aca="false">Y286-W286</f>
        <v>1591.03</v>
      </c>
      <c r="AA286" s="8" t="n">
        <f aca="false">IF(Y286=0,0,Z286/Y286)</f>
        <v>0.336315940779071</v>
      </c>
      <c r="AB286" s="3" t="str">
        <f aca="false">IF(ABS(V286-Y286)&gt;1,"Mismatch","OK")</f>
        <v>OK</v>
      </c>
      <c r="AC286" s="3" t="str">
        <f aca="false">IF(ABS(X286-Z286)&gt;1,"Mismatch","OK")</f>
        <v>OK</v>
      </c>
      <c r="AD286" s="5" t="n">
        <f aca="false">IF(OR(B286="",C286=""),"",C286-B286)</f>
        <v>6</v>
      </c>
      <c r="AE286" s="3" t="str">
        <f aca="false">IF(AD286="","Unknown",IF(AD286&lt;0,"Invalid - Ship Before Order","OK"))</f>
        <v>OK</v>
      </c>
      <c r="AF286" s="5" t="n">
        <f aca="false">IF(B286="","",MONTH(B286))</f>
        <v>12</v>
      </c>
      <c r="AG286" s="5" t="n">
        <f aca="false">IF(B286="","",YEAR(B286))</f>
        <v>2024</v>
      </c>
      <c r="AH286" s="3" t="s">
        <v>52</v>
      </c>
      <c r="AI286" s="3" t="s">
        <v>130</v>
      </c>
      <c r="AJ286" s="3" t="str">
        <f aca="false">IF(AND(AI286="Completed",AH286="Failed"),"Inconsistent - Completed Order with Failed Payment","OK")</f>
        <v>OK</v>
      </c>
      <c r="AK286" s="3" t="s">
        <v>54</v>
      </c>
      <c r="AL286" s="3" t="str">
        <f aca="false">IF(OR(T286="Negative - Invalid",T286="Above Allowed Range - Invalid",AE286="Invalid - Ship Before Order",AK286&lt;&gt;"Unique",AB286="Mismatch",AC286="Mismatch",AJ286&lt;&gt;"OK"),"Invalid",IF(OR(H286="Yes",O286="Yes",T286="Missing"),"Warning","Clean"))</f>
        <v>Clean</v>
      </c>
    </row>
    <row r="287" customFormat="false" ht="15" hidden="false" customHeight="true" outlineLevel="0" collapsed="false">
      <c r="A287" s="3" t="s">
        <v>1001</v>
      </c>
      <c r="B287" s="4" t="n">
        <v>45884</v>
      </c>
      <c r="C287" s="4" t="n">
        <v>45889</v>
      </c>
      <c r="D287" s="3" t="s">
        <v>1002</v>
      </c>
      <c r="E287" s="3" t="s">
        <v>104</v>
      </c>
      <c r="F287" s="3" t="s">
        <v>121</v>
      </c>
      <c r="G287" s="3" t="s">
        <v>42</v>
      </c>
      <c r="H287" s="3" t="s">
        <v>43</v>
      </c>
      <c r="I287" s="3" t="s">
        <v>44</v>
      </c>
      <c r="J287" s="3" t="s">
        <v>45</v>
      </c>
      <c r="K287" s="3" t="s">
        <v>46</v>
      </c>
      <c r="L287" s="3" t="s">
        <v>151</v>
      </c>
      <c r="M287" s="3" t="s">
        <v>1003</v>
      </c>
      <c r="N287" s="3" t="s">
        <v>83</v>
      </c>
      <c r="O287" s="3" t="s">
        <v>43</v>
      </c>
      <c r="P287" s="5" t="n">
        <v>9</v>
      </c>
      <c r="Q287" s="6" t="n">
        <v>4081.77</v>
      </c>
      <c r="R287" s="3" t="s">
        <v>66</v>
      </c>
      <c r="S287" s="7" t="n">
        <v>0</v>
      </c>
      <c r="T287" s="3" t="s">
        <v>51</v>
      </c>
      <c r="U287" s="7" t="n">
        <f aca="false">IF(T287="Valid",S287,0)</f>
        <v>0</v>
      </c>
      <c r="V287" s="6" t="n">
        <v>36735.93</v>
      </c>
      <c r="W287" s="6" t="n">
        <v>30820.84</v>
      </c>
      <c r="X287" s="6" t="n">
        <v>5915.09</v>
      </c>
      <c r="Y287" s="6" t="n">
        <f aca="false">P287*Q287*(1-U287)</f>
        <v>36735.93</v>
      </c>
      <c r="Z287" s="6" t="n">
        <f aca="false">Y287-W287</f>
        <v>5915.09</v>
      </c>
      <c r="AA287" s="8" t="n">
        <f aca="false">IF(Y287=0,0,Z287/Y287)</f>
        <v>0.161016476240019</v>
      </c>
      <c r="AB287" s="3" t="str">
        <f aca="false">IF(ABS(V287-Y287)&gt;1,"Mismatch","OK")</f>
        <v>OK</v>
      </c>
      <c r="AC287" s="3" t="str">
        <f aca="false">IF(ABS(X287-Z287)&gt;1,"Mismatch","OK")</f>
        <v>OK</v>
      </c>
      <c r="AD287" s="5" t="n">
        <f aca="false">IF(OR(B287="",C287=""),"",C287-B287)</f>
        <v>5</v>
      </c>
      <c r="AE287" s="3" t="str">
        <f aca="false">IF(AD287="","Unknown",IF(AD287&lt;0,"Invalid - Ship Before Order","OK"))</f>
        <v>OK</v>
      </c>
      <c r="AF287" s="5" t="n">
        <f aca="false">IF(B287="","",MONTH(B287))</f>
        <v>8</v>
      </c>
      <c r="AG287" s="5" t="n">
        <f aca="false">IF(B287="","",YEAR(B287))</f>
        <v>2025</v>
      </c>
      <c r="AH287" s="3" t="s">
        <v>52</v>
      </c>
      <c r="AI287" s="3" t="s">
        <v>53</v>
      </c>
      <c r="AJ287" s="3" t="str">
        <f aca="false">IF(AND(AI287="Completed",AH287="Failed"),"Inconsistent - Completed Order with Failed Payment","OK")</f>
        <v>OK</v>
      </c>
      <c r="AK287" s="3" t="s">
        <v>54</v>
      </c>
      <c r="AL287" s="3" t="str">
        <f aca="false">IF(OR(T287="Negative - Invalid",T287="Above Allowed Range - Invalid",AE287="Invalid - Ship Before Order",AK287&lt;&gt;"Unique",AB287="Mismatch",AC287="Mismatch",AJ287&lt;&gt;"OK"),"Invalid",IF(OR(H287="Yes",O287="Yes",T287="Missing"),"Warning","Clean"))</f>
        <v>Clean</v>
      </c>
    </row>
    <row r="288" customFormat="false" ht="15" hidden="false" customHeight="true" outlineLevel="0" collapsed="false">
      <c r="A288" s="3" t="s">
        <v>1004</v>
      </c>
      <c r="B288" s="4" t="n">
        <v>45350</v>
      </c>
      <c r="C288" s="4" t="n">
        <v>45353</v>
      </c>
      <c r="D288" s="3" t="s">
        <v>1005</v>
      </c>
      <c r="E288" s="3" t="s">
        <v>141</v>
      </c>
      <c r="F288" s="3" t="s">
        <v>58</v>
      </c>
      <c r="G288" s="3" t="s">
        <v>42</v>
      </c>
      <c r="H288" s="3" t="s">
        <v>43</v>
      </c>
      <c r="I288" s="3" t="s">
        <v>384</v>
      </c>
      <c r="J288" s="3" t="s">
        <v>385</v>
      </c>
      <c r="K288" s="3" t="s">
        <v>62</v>
      </c>
      <c r="L288" s="3" t="s">
        <v>81</v>
      </c>
      <c r="M288" s="3" t="s">
        <v>1006</v>
      </c>
      <c r="N288" s="3" t="s">
        <v>72</v>
      </c>
      <c r="O288" s="3" t="s">
        <v>43</v>
      </c>
      <c r="P288" s="5" t="n">
        <v>7</v>
      </c>
      <c r="Q288" s="6" t="n">
        <v>701.8</v>
      </c>
      <c r="R288" s="3" t="s">
        <v>203</v>
      </c>
      <c r="S288" s="7" t="n">
        <v>0.1</v>
      </c>
      <c r="T288" s="3" t="s">
        <v>51</v>
      </c>
      <c r="U288" s="7" t="n">
        <f aca="false">IF(T288="Valid",S288,0)</f>
        <v>0.1</v>
      </c>
      <c r="V288" s="6" t="n">
        <v>4421.34</v>
      </c>
      <c r="W288" s="6" t="n">
        <v>2489.98</v>
      </c>
      <c r="X288" s="6" t="n">
        <v>1931.36</v>
      </c>
      <c r="Y288" s="6" t="n">
        <f aca="false">P288*Q288*(1-U288)</f>
        <v>4421.34</v>
      </c>
      <c r="Z288" s="6" t="n">
        <f aca="false">Y288-W288</f>
        <v>1931.36</v>
      </c>
      <c r="AA288" s="8" t="n">
        <f aca="false">IF(Y288=0,0,Z288/Y288)</f>
        <v>0.436826844350355</v>
      </c>
      <c r="AB288" s="3" t="str">
        <f aca="false">IF(ABS(V288-Y288)&gt;1,"Mismatch","OK")</f>
        <v>OK</v>
      </c>
      <c r="AC288" s="3" t="str">
        <f aca="false">IF(ABS(X288-Z288)&gt;1,"Mismatch","OK")</f>
        <v>OK</v>
      </c>
      <c r="AD288" s="5" t="n">
        <f aca="false">IF(OR(B288="",C288=""),"",C288-B288)</f>
        <v>3</v>
      </c>
      <c r="AE288" s="3" t="str">
        <f aca="false">IF(AD288="","Unknown",IF(AD288&lt;0,"Invalid - Ship Before Order","OK"))</f>
        <v>OK</v>
      </c>
      <c r="AF288" s="5" t="n">
        <f aca="false">IF(B288="","",MONTH(B288))</f>
        <v>2</v>
      </c>
      <c r="AG288" s="5" t="n">
        <f aca="false">IF(B288="","",YEAR(B288))</f>
        <v>2024</v>
      </c>
      <c r="AH288" s="3" t="s">
        <v>138</v>
      </c>
      <c r="AI288" s="3" t="s">
        <v>130</v>
      </c>
      <c r="AJ288" s="3" t="str">
        <f aca="false">IF(AND(AI288="Completed",AH288="Failed"),"Inconsistent - Completed Order with Failed Payment","OK")</f>
        <v>OK</v>
      </c>
      <c r="AK288" s="3" t="s">
        <v>54</v>
      </c>
      <c r="AL288" s="3" t="str">
        <f aca="false">IF(OR(T288="Negative - Invalid",T288="Above Allowed Range - Invalid",AE288="Invalid - Ship Before Order",AK288&lt;&gt;"Unique",AB288="Mismatch",AC288="Mismatch",AJ288&lt;&gt;"OK"),"Invalid",IF(OR(H288="Yes",O288="Yes",T288="Missing"),"Warning","Clean"))</f>
        <v>Clean</v>
      </c>
    </row>
    <row r="289" customFormat="false" ht="15" hidden="false" customHeight="true" outlineLevel="0" collapsed="false">
      <c r="A289" s="3" t="s">
        <v>1007</v>
      </c>
      <c r="B289" s="4" t="n">
        <v>45540</v>
      </c>
      <c r="C289" s="4" t="n">
        <v>45542</v>
      </c>
      <c r="D289" s="3" t="s">
        <v>1008</v>
      </c>
      <c r="E289" s="3" t="s">
        <v>104</v>
      </c>
      <c r="F289" s="3" t="s">
        <v>58</v>
      </c>
      <c r="G289" s="3" t="s">
        <v>78</v>
      </c>
      <c r="H289" s="3" t="s">
        <v>43</v>
      </c>
      <c r="I289" s="3" t="s">
        <v>281</v>
      </c>
      <c r="J289" s="3" t="s">
        <v>282</v>
      </c>
      <c r="K289" s="3" t="s">
        <v>99</v>
      </c>
      <c r="L289" s="3" t="s">
        <v>105</v>
      </c>
      <c r="M289" s="3" t="s">
        <v>1009</v>
      </c>
      <c r="N289" s="3" t="s">
        <v>83</v>
      </c>
      <c r="O289" s="3" t="s">
        <v>43</v>
      </c>
      <c r="P289" s="5" t="n">
        <v>3</v>
      </c>
      <c r="Q289" s="6" t="n">
        <v>2555.66</v>
      </c>
      <c r="R289" s="3" t="s">
        <v>107</v>
      </c>
      <c r="S289" s="7" t="n">
        <v>0.15</v>
      </c>
      <c r="T289" s="3" t="s">
        <v>51</v>
      </c>
      <c r="U289" s="7" t="n">
        <f aca="false">IF(T289="Valid",S289,0)</f>
        <v>0.15</v>
      </c>
      <c r="V289" s="6" t="n">
        <v>6516.93</v>
      </c>
      <c r="W289" s="6" t="n">
        <v>4511.54</v>
      </c>
      <c r="X289" s="6" t="n">
        <v>2005.39</v>
      </c>
      <c r="Y289" s="6" t="n">
        <f aca="false">P289*Q289*(1-U289)</f>
        <v>6516.933</v>
      </c>
      <c r="Z289" s="6" t="n">
        <f aca="false">Y289-W289</f>
        <v>2005.393</v>
      </c>
      <c r="AA289" s="8" t="n">
        <f aca="false">IF(Y289=0,0,Z289/Y289)</f>
        <v>0.307720364778953</v>
      </c>
      <c r="AB289" s="3" t="str">
        <f aca="false">IF(ABS(V289-Y289)&gt;1,"Mismatch","OK")</f>
        <v>OK</v>
      </c>
      <c r="AC289" s="3" t="str">
        <f aca="false">IF(ABS(X289-Z289)&gt;1,"Mismatch","OK")</f>
        <v>OK</v>
      </c>
      <c r="AD289" s="5" t="n">
        <f aca="false">IF(OR(B289="",C289=""),"",C289-B289)</f>
        <v>2</v>
      </c>
      <c r="AE289" s="3" t="str">
        <f aca="false">IF(AD289="","Unknown",IF(AD289&lt;0,"Invalid - Ship Before Order","OK"))</f>
        <v>OK</v>
      </c>
      <c r="AF289" s="5" t="n">
        <f aca="false">IF(B289="","",MONTH(B289))</f>
        <v>9</v>
      </c>
      <c r="AG289" s="5" t="n">
        <f aca="false">IF(B289="","",YEAR(B289))</f>
        <v>2024</v>
      </c>
      <c r="AH289" s="3" t="s">
        <v>52</v>
      </c>
      <c r="AI289" s="3" t="s">
        <v>93</v>
      </c>
      <c r="AJ289" s="3" t="str">
        <f aca="false">IF(AND(AI289="Completed",AH289="Failed"),"Inconsistent - Completed Order with Failed Payment","OK")</f>
        <v>OK</v>
      </c>
      <c r="AK289" s="3" t="s">
        <v>54</v>
      </c>
      <c r="AL289" s="3" t="str">
        <f aca="false">IF(OR(T289="Negative - Invalid",T289="Above Allowed Range - Invalid",AE289="Invalid - Ship Before Order",AK289&lt;&gt;"Unique",AB289="Mismatch",AC289="Mismatch",AJ289&lt;&gt;"OK"),"Invalid",IF(OR(H289="Yes",O289="Yes",T289="Missing"),"Warning","Clean"))</f>
        <v>Clean</v>
      </c>
    </row>
    <row r="290" customFormat="false" ht="15" hidden="false" customHeight="true" outlineLevel="0" collapsed="false">
      <c r="A290" s="3" t="s">
        <v>1010</v>
      </c>
      <c r="B290" s="4" t="n">
        <v>45467</v>
      </c>
      <c r="C290" s="4" t="n">
        <v>45467</v>
      </c>
      <c r="D290" s="3" t="s">
        <v>1011</v>
      </c>
      <c r="E290" s="3" t="s">
        <v>168</v>
      </c>
      <c r="F290" s="3" t="s">
        <v>58</v>
      </c>
      <c r="G290" s="3" t="s">
        <v>59</v>
      </c>
      <c r="H290" s="3" t="s">
        <v>43</v>
      </c>
      <c r="I290" s="3" t="s">
        <v>174</v>
      </c>
      <c r="J290" s="3" t="s">
        <v>175</v>
      </c>
      <c r="K290" s="3" t="s">
        <v>46</v>
      </c>
      <c r="L290" s="3" t="s">
        <v>183</v>
      </c>
      <c r="M290" s="3" t="s">
        <v>1012</v>
      </c>
      <c r="N290" s="3" t="s">
        <v>65</v>
      </c>
      <c r="O290" s="3" t="s">
        <v>43</v>
      </c>
      <c r="P290" s="5" t="n">
        <v>2</v>
      </c>
      <c r="Q290" s="6" t="n">
        <v>4359.9</v>
      </c>
      <c r="R290" s="3" t="s">
        <v>107</v>
      </c>
      <c r="S290" s="7" t="n">
        <v>0.15</v>
      </c>
      <c r="T290" s="3" t="s">
        <v>51</v>
      </c>
      <c r="U290" s="7" t="n">
        <f aca="false">IF(T290="Valid",S290,0)</f>
        <v>0.15</v>
      </c>
      <c r="V290" s="6" t="n">
        <v>7411.83</v>
      </c>
      <c r="W290" s="6" t="n">
        <v>4904.63</v>
      </c>
      <c r="X290" s="6" t="n">
        <v>2507.2</v>
      </c>
      <c r="Y290" s="6" t="n">
        <f aca="false">P290*Q290*(1-U290)</f>
        <v>7411.83</v>
      </c>
      <c r="Z290" s="6" t="n">
        <f aca="false">Y290-W290</f>
        <v>2507.2</v>
      </c>
      <c r="AA290" s="8" t="n">
        <f aca="false">IF(Y290=0,0,Z290/Y290)</f>
        <v>0.338270035875081</v>
      </c>
      <c r="AB290" s="3" t="str">
        <f aca="false">IF(ABS(V290-Y290)&gt;1,"Mismatch","OK")</f>
        <v>OK</v>
      </c>
      <c r="AC290" s="3" t="str">
        <f aca="false">IF(ABS(X290-Z290)&gt;1,"Mismatch","OK")</f>
        <v>OK</v>
      </c>
      <c r="AD290" s="5" t="n">
        <f aca="false">IF(OR(B290="",C290=""),"",C290-B290)</f>
        <v>0</v>
      </c>
      <c r="AE290" s="3" t="str">
        <f aca="false">IF(AD290="","Unknown",IF(AD290&lt;0,"Invalid - Ship Before Order","OK"))</f>
        <v>OK</v>
      </c>
      <c r="AF290" s="5" t="n">
        <f aca="false">IF(B290="","",MONTH(B290))</f>
        <v>6</v>
      </c>
      <c r="AG290" s="5" t="n">
        <f aca="false">IF(B290="","",YEAR(B290))</f>
        <v>2024</v>
      </c>
      <c r="AH290" s="3" t="s">
        <v>52</v>
      </c>
      <c r="AI290" s="3" t="s">
        <v>53</v>
      </c>
      <c r="AJ290" s="3" t="str">
        <f aca="false">IF(AND(AI290="Completed",AH290="Failed"),"Inconsistent - Completed Order with Failed Payment","OK")</f>
        <v>OK</v>
      </c>
      <c r="AK290" s="3" t="s">
        <v>54</v>
      </c>
      <c r="AL290" s="3" t="str">
        <f aca="false">IF(OR(T290="Negative - Invalid",T290="Above Allowed Range - Invalid",AE290="Invalid - Ship Before Order",AK290&lt;&gt;"Unique",AB290="Mismatch",AC290="Mismatch",AJ290&lt;&gt;"OK"),"Invalid",IF(OR(H290="Yes",O290="Yes",T290="Missing"),"Warning","Clean"))</f>
        <v>Clean</v>
      </c>
    </row>
    <row r="291" customFormat="false" ht="15" hidden="false" customHeight="true" outlineLevel="0" collapsed="false">
      <c r="A291" s="3" t="s">
        <v>1013</v>
      </c>
      <c r="B291" s="4" t="n">
        <v>45827</v>
      </c>
      <c r="C291" s="4" t="n">
        <v>45835</v>
      </c>
      <c r="D291" s="3" t="s">
        <v>1014</v>
      </c>
      <c r="E291" s="3" t="s">
        <v>40</v>
      </c>
      <c r="F291" s="3" t="s">
        <v>121</v>
      </c>
      <c r="G291" s="3" t="s">
        <v>78</v>
      </c>
      <c r="H291" s="3" t="s">
        <v>43</v>
      </c>
      <c r="I291" s="3" t="s">
        <v>281</v>
      </c>
      <c r="J291" s="3" t="s">
        <v>282</v>
      </c>
      <c r="K291" s="3" t="s">
        <v>62</v>
      </c>
      <c r="L291" s="3" t="s">
        <v>188</v>
      </c>
      <c r="M291" s="3" t="s">
        <v>1015</v>
      </c>
      <c r="N291" s="3" t="s">
        <v>72</v>
      </c>
      <c r="O291" s="3" t="s">
        <v>43</v>
      </c>
      <c r="P291" s="5" t="n">
        <v>2</v>
      </c>
      <c r="Q291" s="6" t="n">
        <v>4346.69</v>
      </c>
      <c r="R291" s="3" t="s">
        <v>128</v>
      </c>
      <c r="S291" s="7" t="n">
        <v>0.05</v>
      </c>
      <c r="T291" s="3" t="s">
        <v>51</v>
      </c>
      <c r="U291" s="7" t="n">
        <f aca="false">IF(T291="Valid",S291,0)</f>
        <v>0.05</v>
      </c>
      <c r="V291" s="6" t="n">
        <v>8258.71</v>
      </c>
      <c r="W291" s="6" t="n">
        <v>7018.97</v>
      </c>
      <c r="X291" s="6" t="n">
        <v>1239.74</v>
      </c>
      <c r="Y291" s="6" t="n">
        <f aca="false">P291*Q291*(1-U291)</f>
        <v>8258.711</v>
      </c>
      <c r="Z291" s="6" t="n">
        <f aca="false">Y291-W291</f>
        <v>1239.741</v>
      </c>
      <c r="AA291" s="8" t="n">
        <f aca="false">IF(Y291=0,0,Z291/Y291)</f>
        <v>0.150113135088514</v>
      </c>
      <c r="AB291" s="3" t="str">
        <f aca="false">IF(ABS(V291-Y291)&gt;1,"Mismatch","OK")</f>
        <v>OK</v>
      </c>
      <c r="AC291" s="3" t="str">
        <f aca="false">IF(ABS(X291-Z291)&gt;1,"Mismatch","OK")</f>
        <v>OK</v>
      </c>
      <c r="AD291" s="5" t="n">
        <f aca="false">IF(OR(B291="",C291=""),"",C291-B291)</f>
        <v>8</v>
      </c>
      <c r="AE291" s="3" t="str">
        <f aca="false">IF(AD291="","Unknown",IF(AD291&lt;0,"Invalid - Ship Before Order","OK"))</f>
        <v>OK</v>
      </c>
      <c r="AF291" s="5" t="n">
        <f aca="false">IF(B291="","",MONTH(B291))</f>
        <v>6</v>
      </c>
      <c r="AG291" s="5" t="n">
        <f aca="false">IF(B291="","",YEAR(B291))</f>
        <v>2025</v>
      </c>
      <c r="AH291" s="3" t="s">
        <v>52</v>
      </c>
      <c r="AI291" s="3" t="s">
        <v>53</v>
      </c>
      <c r="AJ291" s="3" t="str">
        <f aca="false">IF(AND(AI291="Completed",AH291="Failed"),"Inconsistent - Completed Order with Failed Payment","OK")</f>
        <v>OK</v>
      </c>
      <c r="AK291" s="3" t="s">
        <v>54</v>
      </c>
      <c r="AL291" s="3" t="str">
        <f aca="false">IF(OR(T291="Negative - Invalid",T291="Above Allowed Range - Invalid",AE291="Invalid - Ship Before Order",AK291&lt;&gt;"Unique",AB291="Mismatch",AC291="Mismatch",AJ291&lt;&gt;"OK"),"Invalid",IF(OR(H291="Yes",O291="Yes",T291="Missing"),"Warning","Clean"))</f>
        <v>Clean</v>
      </c>
    </row>
    <row r="292" customFormat="false" ht="15" hidden="false" customHeight="true" outlineLevel="0" collapsed="false">
      <c r="A292" s="3" t="s">
        <v>1016</v>
      </c>
      <c r="B292" s="4" t="n">
        <v>45891</v>
      </c>
      <c r="C292" s="4" t="n">
        <v>45895</v>
      </c>
      <c r="D292" s="3" t="s">
        <v>1017</v>
      </c>
      <c r="E292" s="3" t="s">
        <v>192</v>
      </c>
      <c r="F292" s="3" t="s">
        <v>121</v>
      </c>
      <c r="G292" s="3" t="s">
        <v>59</v>
      </c>
      <c r="H292" s="3" t="s">
        <v>43</v>
      </c>
      <c r="I292" s="3" t="s">
        <v>262</v>
      </c>
      <c r="J292" s="3" t="s">
        <v>263</v>
      </c>
      <c r="K292" s="3" t="s">
        <v>62</v>
      </c>
      <c r="L292" s="3" t="s">
        <v>63</v>
      </c>
      <c r="M292" s="3" t="s">
        <v>1018</v>
      </c>
      <c r="N292" s="3" t="s">
        <v>83</v>
      </c>
      <c r="O292" s="3" t="s">
        <v>43</v>
      </c>
      <c r="P292" s="5" t="n">
        <v>1</v>
      </c>
      <c r="Q292" s="6" t="n">
        <v>1842.63</v>
      </c>
      <c r="R292" s="3" t="s">
        <v>203</v>
      </c>
      <c r="S292" s="7" t="n">
        <v>0.1</v>
      </c>
      <c r="T292" s="3" t="s">
        <v>51</v>
      </c>
      <c r="U292" s="7" t="n">
        <f aca="false">IF(T292="Valid",S292,0)</f>
        <v>0.1</v>
      </c>
      <c r="V292" s="6" t="n">
        <v>1658.37</v>
      </c>
      <c r="W292" s="6" t="n">
        <v>971.12</v>
      </c>
      <c r="X292" s="6" t="n">
        <v>687.25</v>
      </c>
      <c r="Y292" s="6" t="n">
        <f aca="false">P292*Q292*(1-U292)</f>
        <v>1658.367</v>
      </c>
      <c r="Z292" s="6" t="n">
        <f aca="false">Y292-W292</f>
        <v>687.247</v>
      </c>
      <c r="AA292" s="8" t="n">
        <f aca="false">IF(Y292=0,0,Z292/Y292)</f>
        <v>0.414411888321463</v>
      </c>
      <c r="AB292" s="3" t="str">
        <f aca="false">IF(ABS(V292-Y292)&gt;1,"Mismatch","OK")</f>
        <v>OK</v>
      </c>
      <c r="AC292" s="3" t="str">
        <f aca="false">IF(ABS(X292-Z292)&gt;1,"Mismatch","OK")</f>
        <v>OK</v>
      </c>
      <c r="AD292" s="5" t="n">
        <f aca="false">IF(OR(B292="",C292=""),"",C292-B292)</f>
        <v>4</v>
      </c>
      <c r="AE292" s="3" t="str">
        <f aca="false">IF(AD292="","Unknown",IF(AD292&lt;0,"Invalid - Ship Before Order","OK"))</f>
        <v>OK</v>
      </c>
      <c r="AF292" s="5" t="n">
        <f aca="false">IF(B292="","",MONTH(B292))</f>
        <v>8</v>
      </c>
      <c r="AG292" s="5" t="n">
        <f aca="false">IF(B292="","",YEAR(B292))</f>
        <v>2025</v>
      </c>
      <c r="AH292" s="3" t="s">
        <v>52</v>
      </c>
      <c r="AI292" s="3" t="s">
        <v>53</v>
      </c>
      <c r="AJ292" s="3" t="str">
        <f aca="false">IF(AND(AI292="Completed",AH292="Failed"),"Inconsistent - Completed Order with Failed Payment","OK")</f>
        <v>OK</v>
      </c>
      <c r="AK292" s="3" t="s">
        <v>54</v>
      </c>
      <c r="AL292" s="3" t="str">
        <f aca="false">IF(OR(T292="Negative - Invalid",T292="Above Allowed Range - Invalid",AE292="Invalid - Ship Before Order",AK292&lt;&gt;"Unique",AB292="Mismatch",AC292="Mismatch",AJ292&lt;&gt;"OK"),"Invalid",IF(OR(H292="Yes",O292="Yes",T292="Missing"),"Warning","Clean"))</f>
        <v>Clean</v>
      </c>
    </row>
    <row r="293" customFormat="false" ht="15" hidden="false" customHeight="true" outlineLevel="0" collapsed="false">
      <c r="A293" s="3" t="s">
        <v>1019</v>
      </c>
      <c r="B293" s="4" t="n">
        <v>45387</v>
      </c>
      <c r="C293" s="4" t="n">
        <v>45392</v>
      </c>
      <c r="D293" s="3" t="s">
        <v>1020</v>
      </c>
      <c r="E293" s="3" t="s">
        <v>141</v>
      </c>
      <c r="F293" s="3" t="s">
        <v>121</v>
      </c>
      <c r="G293" s="3" t="s">
        <v>42</v>
      </c>
      <c r="H293" s="3" t="s">
        <v>43</v>
      </c>
      <c r="I293" s="3" t="s">
        <v>44</v>
      </c>
      <c r="J293" s="3" t="s">
        <v>45</v>
      </c>
      <c r="K293" s="3" t="s">
        <v>46</v>
      </c>
      <c r="L293" s="3" t="s">
        <v>183</v>
      </c>
      <c r="M293" s="3" t="s">
        <v>1021</v>
      </c>
      <c r="N293" s="3" t="s">
        <v>83</v>
      </c>
      <c r="O293" s="3" t="s">
        <v>43</v>
      </c>
      <c r="P293" s="5" t="n">
        <v>4</v>
      </c>
      <c r="Q293" s="6" t="n">
        <v>3228.66</v>
      </c>
      <c r="R293" s="3" t="s">
        <v>84</v>
      </c>
      <c r="S293" s="7" t="n">
        <v>0.25</v>
      </c>
      <c r="T293" s="3" t="s">
        <v>51</v>
      </c>
      <c r="U293" s="7" t="n">
        <f aca="false">IF(T293="Valid",S293,0)</f>
        <v>0.25</v>
      </c>
      <c r="V293" s="6" t="n">
        <v>9685.98</v>
      </c>
      <c r="W293" s="6" t="n">
        <v>7730.04</v>
      </c>
      <c r="X293" s="6" t="n">
        <v>1955.94</v>
      </c>
      <c r="Y293" s="6" t="n">
        <f aca="false">P293*Q293*(1-U293)</f>
        <v>9685.98</v>
      </c>
      <c r="Z293" s="6" t="n">
        <f aca="false">Y293-W293</f>
        <v>1955.94</v>
      </c>
      <c r="AA293" s="8" t="n">
        <f aca="false">IF(Y293=0,0,Z293/Y293)</f>
        <v>0.201935168150254</v>
      </c>
      <c r="AB293" s="3" t="str">
        <f aca="false">IF(ABS(V293-Y293)&gt;1,"Mismatch","OK")</f>
        <v>OK</v>
      </c>
      <c r="AC293" s="3" t="str">
        <f aca="false">IF(ABS(X293-Z293)&gt;1,"Mismatch","OK")</f>
        <v>OK</v>
      </c>
      <c r="AD293" s="5" t="n">
        <f aca="false">IF(OR(B293="",C293=""),"",C293-B293)</f>
        <v>5</v>
      </c>
      <c r="AE293" s="3" t="str">
        <f aca="false">IF(AD293="","Unknown",IF(AD293&lt;0,"Invalid - Ship Before Order","OK"))</f>
        <v>OK</v>
      </c>
      <c r="AF293" s="5" t="n">
        <f aca="false">IF(B293="","",MONTH(B293))</f>
        <v>4</v>
      </c>
      <c r="AG293" s="5" t="n">
        <f aca="false">IF(B293="","",YEAR(B293))</f>
        <v>2024</v>
      </c>
      <c r="AH293" s="3" t="s">
        <v>52</v>
      </c>
      <c r="AI293" s="3" t="s">
        <v>53</v>
      </c>
      <c r="AJ293" s="3" t="str">
        <f aca="false">IF(AND(AI293="Completed",AH293="Failed"),"Inconsistent - Completed Order with Failed Payment","OK")</f>
        <v>OK</v>
      </c>
      <c r="AK293" s="3" t="s">
        <v>54</v>
      </c>
      <c r="AL293" s="3" t="str">
        <f aca="false">IF(OR(T293="Negative - Invalid",T293="Above Allowed Range - Invalid",AE293="Invalid - Ship Before Order",AK293&lt;&gt;"Unique",AB293="Mismatch",AC293="Mismatch",AJ293&lt;&gt;"OK"),"Invalid",IF(OR(H293="Yes",O293="Yes",T293="Missing"),"Warning","Clean"))</f>
        <v>Clean</v>
      </c>
    </row>
    <row r="294" customFormat="false" ht="15" hidden="false" customHeight="true" outlineLevel="0" collapsed="false">
      <c r="A294" s="3" t="s">
        <v>1022</v>
      </c>
      <c r="B294" s="4" t="n">
        <v>45716</v>
      </c>
      <c r="C294" s="4" t="n">
        <v>45719</v>
      </c>
      <c r="D294" s="3" t="s">
        <v>1023</v>
      </c>
      <c r="E294" s="3" t="s">
        <v>298</v>
      </c>
      <c r="F294" s="3" t="s">
        <v>121</v>
      </c>
      <c r="G294" s="3" t="s">
        <v>42</v>
      </c>
      <c r="H294" s="3" t="s">
        <v>43</v>
      </c>
      <c r="I294" s="3" t="s">
        <v>270</v>
      </c>
      <c r="J294" s="3" t="s">
        <v>271</v>
      </c>
      <c r="K294" s="3" t="s">
        <v>46</v>
      </c>
      <c r="L294" s="3" t="s">
        <v>70</v>
      </c>
      <c r="M294" s="3" t="s">
        <v>1024</v>
      </c>
      <c r="N294" s="3" t="s">
        <v>65</v>
      </c>
      <c r="O294" s="3" t="s">
        <v>43</v>
      </c>
      <c r="P294" s="5" t="n">
        <v>9</v>
      </c>
      <c r="Q294" s="6" t="n">
        <v>3748.95</v>
      </c>
      <c r="R294" s="3" t="s">
        <v>66</v>
      </c>
      <c r="S294" s="7" t="n">
        <v>0</v>
      </c>
      <c r="T294" s="3" t="s">
        <v>51</v>
      </c>
      <c r="U294" s="7" t="n">
        <f aca="false">IF(T294="Valid",S294,0)</f>
        <v>0</v>
      </c>
      <c r="V294" s="6" t="n">
        <v>33740.55</v>
      </c>
      <c r="W294" s="6" t="n">
        <v>24621.89</v>
      </c>
      <c r="X294" s="6" t="n">
        <v>9118.66</v>
      </c>
      <c r="Y294" s="6" t="n">
        <f aca="false">P294*Q294*(1-U294)</f>
        <v>33740.55</v>
      </c>
      <c r="Z294" s="6" t="n">
        <f aca="false">Y294-W294</f>
        <v>9118.66</v>
      </c>
      <c r="AA294" s="8" t="n">
        <f aca="false">IF(Y294=0,0,Z294/Y294)</f>
        <v>0.270258190811946</v>
      </c>
      <c r="AB294" s="3" t="str">
        <f aca="false">IF(ABS(V294-Y294)&gt;1,"Mismatch","OK")</f>
        <v>OK</v>
      </c>
      <c r="AC294" s="3" t="str">
        <f aca="false">IF(ABS(X294-Z294)&gt;1,"Mismatch","OK")</f>
        <v>OK</v>
      </c>
      <c r="AD294" s="5" t="n">
        <f aca="false">IF(OR(B294="",C294=""),"",C294-B294)</f>
        <v>3</v>
      </c>
      <c r="AE294" s="3" t="str">
        <f aca="false">IF(AD294="","Unknown",IF(AD294&lt;0,"Invalid - Ship Before Order","OK"))</f>
        <v>OK</v>
      </c>
      <c r="AF294" s="5" t="n">
        <f aca="false">IF(B294="","",MONTH(B294))</f>
        <v>2</v>
      </c>
      <c r="AG294" s="5" t="n">
        <f aca="false">IF(B294="","",YEAR(B294))</f>
        <v>2025</v>
      </c>
      <c r="AH294" s="3" t="s">
        <v>138</v>
      </c>
      <c r="AI294" s="3" t="s">
        <v>93</v>
      </c>
      <c r="AJ294" s="3" t="str">
        <f aca="false">IF(AND(AI294="Completed",AH294="Failed"),"Inconsistent - Completed Order with Failed Payment","OK")</f>
        <v>OK</v>
      </c>
      <c r="AK294" s="3" t="s">
        <v>54</v>
      </c>
      <c r="AL294" s="3" t="str">
        <f aca="false">IF(OR(T294="Negative - Invalid",T294="Above Allowed Range - Invalid",AE294="Invalid - Ship Before Order",AK294&lt;&gt;"Unique",AB294="Mismatch",AC294="Mismatch",AJ294&lt;&gt;"OK"),"Invalid",IF(OR(H294="Yes",O294="Yes",T294="Missing"),"Warning","Clean"))</f>
        <v>Clean</v>
      </c>
    </row>
    <row r="295" customFormat="false" ht="15" hidden="false" customHeight="true" outlineLevel="0" collapsed="false">
      <c r="A295" s="3" t="s">
        <v>1025</v>
      </c>
      <c r="B295" s="4" t="n">
        <v>45358</v>
      </c>
      <c r="C295" s="4" t="n">
        <v>45362</v>
      </c>
      <c r="D295" s="3" t="s">
        <v>1026</v>
      </c>
      <c r="E295" s="3" t="s">
        <v>77</v>
      </c>
      <c r="F295" s="3" t="s">
        <v>121</v>
      </c>
      <c r="G295" s="3" t="s">
        <v>78</v>
      </c>
      <c r="H295" s="3" t="s">
        <v>43</v>
      </c>
      <c r="I295" s="3" t="s">
        <v>79</v>
      </c>
      <c r="J295" s="3" t="s">
        <v>80</v>
      </c>
      <c r="K295" s="3" t="s">
        <v>99</v>
      </c>
      <c r="L295" s="3" t="s">
        <v>201</v>
      </c>
      <c r="M295" s="3" t="s">
        <v>1027</v>
      </c>
      <c r="N295" s="3" t="s">
        <v>72</v>
      </c>
      <c r="O295" s="3" t="s">
        <v>43</v>
      </c>
      <c r="P295" s="5" t="n">
        <v>2</v>
      </c>
      <c r="Q295" s="6" t="n">
        <v>4401.51</v>
      </c>
      <c r="R295" s="3" t="s">
        <v>721</v>
      </c>
      <c r="S295" s="7" t="n">
        <v>0.65</v>
      </c>
      <c r="T295" s="3" t="s">
        <v>74</v>
      </c>
      <c r="U295" s="7" t="n">
        <f aca="false">IF(T295="Valid",S295,0)</f>
        <v>0</v>
      </c>
      <c r="V295" s="6" t="n">
        <v>8362.87</v>
      </c>
      <c r="W295" s="6" t="n">
        <v>6541.04</v>
      </c>
      <c r="X295" s="6" t="n">
        <v>1821.83</v>
      </c>
      <c r="Y295" s="6" t="n">
        <f aca="false">P295*Q295*(1-U295)</f>
        <v>8803.02</v>
      </c>
      <c r="Z295" s="6" t="n">
        <f aca="false">Y295-W295</f>
        <v>2261.98</v>
      </c>
      <c r="AA295" s="8" t="n">
        <f aca="false">IF(Y295=0,0,Z295/Y295)</f>
        <v>0.256954999534251</v>
      </c>
      <c r="AB295" s="3" t="str">
        <f aca="false">IF(ABS(V295-Y295)&gt;1,"Mismatch","OK")</f>
        <v>Mismatch</v>
      </c>
      <c r="AC295" s="3" t="str">
        <f aca="false">IF(ABS(X295-Z295)&gt;1,"Mismatch","OK")</f>
        <v>Mismatch</v>
      </c>
      <c r="AD295" s="5" t="n">
        <f aca="false">IF(OR(B295="",C295=""),"",C295-B295)</f>
        <v>4</v>
      </c>
      <c r="AE295" s="3" t="str">
        <f aca="false">IF(AD295="","Unknown",IF(AD295&lt;0,"Invalid - Ship Before Order","OK"))</f>
        <v>OK</v>
      </c>
      <c r="AF295" s="5" t="n">
        <f aca="false">IF(B295="","",MONTH(B295))</f>
        <v>3</v>
      </c>
      <c r="AG295" s="5" t="n">
        <f aca="false">IF(B295="","",YEAR(B295))</f>
        <v>2024</v>
      </c>
      <c r="AH295" s="3" t="s">
        <v>52</v>
      </c>
      <c r="AI295" s="3" t="s">
        <v>53</v>
      </c>
      <c r="AJ295" s="3" t="str">
        <f aca="false">IF(AND(AI295="Completed",AH295="Failed"),"Inconsistent - Completed Order with Failed Payment","OK")</f>
        <v>OK</v>
      </c>
      <c r="AK295" s="3" t="s">
        <v>54</v>
      </c>
      <c r="AL295" s="3" t="str">
        <f aca="false">IF(OR(T295="Negative - Invalid",T295="Above Allowed Range - Invalid",AE295="Invalid - Ship Before Order",AK295&lt;&gt;"Unique",AB295="Mismatch",AC295="Mismatch",AJ295&lt;&gt;"OK"),"Invalid",IF(OR(H295="Yes",O295="Yes",T295="Missing"),"Warning","Clean"))</f>
        <v>Invalid</v>
      </c>
    </row>
    <row r="296" customFormat="false" ht="15" hidden="false" customHeight="true" outlineLevel="0" collapsed="false">
      <c r="A296" s="3" t="s">
        <v>1028</v>
      </c>
      <c r="B296" s="4" t="n">
        <v>45854</v>
      </c>
      <c r="C296" s="4" t="n">
        <v>45860</v>
      </c>
      <c r="D296" s="3" t="s">
        <v>1029</v>
      </c>
      <c r="E296" s="3" t="s">
        <v>141</v>
      </c>
      <c r="F296" s="3" t="s">
        <v>41</v>
      </c>
      <c r="G296" s="3" t="s">
        <v>59</v>
      </c>
      <c r="H296" s="3" t="s">
        <v>43</v>
      </c>
      <c r="I296" s="3" t="s">
        <v>60</v>
      </c>
      <c r="J296" s="3" t="s">
        <v>61</v>
      </c>
      <c r="K296" s="3" t="s">
        <v>99</v>
      </c>
      <c r="L296" s="3" t="s">
        <v>201</v>
      </c>
      <c r="M296" s="3" t="s">
        <v>1030</v>
      </c>
      <c r="N296" s="3" t="s">
        <v>49</v>
      </c>
      <c r="O296" s="3" t="s">
        <v>43</v>
      </c>
      <c r="P296" s="5" t="n">
        <v>6</v>
      </c>
      <c r="Q296" s="6" t="n">
        <v>4159.33</v>
      </c>
      <c r="R296" s="3" t="s">
        <v>84</v>
      </c>
      <c r="S296" s="7" t="n">
        <v>0.25</v>
      </c>
      <c r="T296" s="3" t="s">
        <v>51</v>
      </c>
      <c r="U296" s="7" t="n">
        <f aca="false">IF(T296="Valid",S296,0)</f>
        <v>0.25</v>
      </c>
      <c r="V296" s="6" t="n">
        <v>18716.99</v>
      </c>
      <c r="W296" s="6" t="n">
        <v>12282.43</v>
      </c>
      <c r="X296" s="6" t="n">
        <v>6434.56</v>
      </c>
      <c r="Y296" s="6" t="n">
        <f aca="false">P296*Q296*(1-U296)</f>
        <v>18716.985</v>
      </c>
      <c r="Z296" s="6" t="n">
        <f aca="false">Y296-W296</f>
        <v>6434.555</v>
      </c>
      <c r="AA296" s="8" t="n">
        <f aca="false">IF(Y296=0,0,Z296/Y296)</f>
        <v>0.343781597303198</v>
      </c>
      <c r="AB296" s="3" t="str">
        <f aca="false">IF(ABS(V296-Y296)&gt;1,"Mismatch","OK")</f>
        <v>OK</v>
      </c>
      <c r="AC296" s="3" t="str">
        <f aca="false">IF(ABS(X296-Z296)&gt;1,"Mismatch","OK")</f>
        <v>OK</v>
      </c>
      <c r="AD296" s="5" t="n">
        <f aca="false">IF(OR(B296="",C296=""),"",C296-B296)</f>
        <v>6</v>
      </c>
      <c r="AE296" s="3" t="str">
        <f aca="false">IF(AD296="","Unknown",IF(AD296&lt;0,"Invalid - Ship Before Order","OK"))</f>
        <v>OK</v>
      </c>
      <c r="AF296" s="5" t="n">
        <f aca="false">IF(B296="","",MONTH(B296))</f>
        <v>7</v>
      </c>
      <c r="AG296" s="5" t="n">
        <f aca="false">IF(B296="","",YEAR(B296))</f>
        <v>2025</v>
      </c>
      <c r="AH296" s="3" t="s">
        <v>52</v>
      </c>
      <c r="AI296" s="3" t="s">
        <v>130</v>
      </c>
      <c r="AJ296" s="3" t="str">
        <f aca="false">IF(AND(AI296="Completed",AH296="Failed"),"Inconsistent - Completed Order with Failed Payment","OK")</f>
        <v>OK</v>
      </c>
      <c r="AK296" s="3" t="s">
        <v>54</v>
      </c>
      <c r="AL296" s="3" t="str">
        <f aca="false">IF(OR(T296="Negative - Invalid",T296="Above Allowed Range - Invalid",AE296="Invalid - Ship Before Order",AK296&lt;&gt;"Unique",AB296="Mismatch",AC296="Mismatch",AJ296&lt;&gt;"OK"),"Invalid",IF(OR(H296="Yes",O296="Yes",T296="Missing"),"Warning","Clean"))</f>
        <v>Clean</v>
      </c>
    </row>
    <row r="297" customFormat="false" ht="15" hidden="false" customHeight="true" outlineLevel="0" collapsed="false">
      <c r="A297" s="3" t="s">
        <v>1031</v>
      </c>
      <c r="B297" s="4" t="n">
        <v>45833</v>
      </c>
      <c r="C297" s="4" t="n">
        <v>45836</v>
      </c>
      <c r="D297" s="3" t="s">
        <v>1032</v>
      </c>
      <c r="E297" s="3" t="s">
        <v>115</v>
      </c>
      <c r="F297" s="3" t="s">
        <v>58</v>
      </c>
      <c r="G297" s="3" t="s">
        <v>59</v>
      </c>
      <c r="H297" s="3" t="s">
        <v>43</v>
      </c>
      <c r="I297" s="3" t="s">
        <v>196</v>
      </c>
      <c r="J297" s="3" t="s">
        <v>197</v>
      </c>
      <c r="K297" s="3" t="s">
        <v>46</v>
      </c>
      <c r="L297" s="3" t="s">
        <v>183</v>
      </c>
      <c r="M297" s="3" t="s">
        <v>1033</v>
      </c>
      <c r="N297" s="3" t="s">
        <v>83</v>
      </c>
      <c r="O297" s="3" t="s">
        <v>43</v>
      </c>
      <c r="P297" s="5" t="n">
        <v>3</v>
      </c>
      <c r="Q297" s="6" t="n">
        <v>3476.05</v>
      </c>
      <c r="R297" s="3" t="s">
        <v>203</v>
      </c>
      <c r="S297" s="7" t="n">
        <v>0.1</v>
      </c>
      <c r="T297" s="3" t="s">
        <v>51</v>
      </c>
      <c r="U297" s="7" t="n">
        <f aca="false">IF(T297="Valid",S297,0)</f>
        <v>0.1</v>
      </c>
      <c r="V297" s="6" t="n">
        <v>9385.34</v>
      </c>
      <c r="W297" s="6" t="n">
        <v>5828.54</v>
      </c>
      <c r="X297" s="6" t="n">
        <v>3556.8</v>
      </c>
      <c r="Y297" s="6" t="n">
        <f aca="false">P297*Q297*(1-U297)</f>
        <v>9385.335</v>
      </c>
      <c r="Z297" s="6" t="n">
        <f aca="false">Y297-W297</f>
        <v>3556.795</v>
      </c>
      <c r="AA297" s="8" t="n">
        <f aca="false">IF(Y297=0,0,Z297/Y297)</f>
        <v>0.378973686075138</v>
      </c>
      <c r="AB297" s="3" t="str">
        <f aca="false">IF(ABS(V297-Y297)&gt;1,"Mismatch","OK")</f>
        <v>OK</v>
      </c>
      <c r="AC297" s="3" t="str">
        <f aca="false">IF(ABS(X297-Z297)&gt;1,"Mismatch","OK")</f>
        <v>OK</v>
      </c>
      <c r="AD297" s="5" t="n">
        <f aca="false">IF(OR(B297="",C297=""),"",C297-B297)</f>
        <v>3</v>
      </c>
      <c r="AE297" s="3" t="str">
        <f aca="false">IF(AD297="","Unknown",IF(AD297&lt;0,"Invalid - Ship Before Order","OK"))</f>
        <v>OK</v>
      </c>
      <c r="AF297" s="5" t="n">
        <f aca="false">IF(B297="","",MONTH(B297))</f>
        <v>6</v>
      </c>
      <c r="AG297" s="5" t="n">
        <f aca="false">IF(B297="","",YEAR(B297))</f>
        <v>2025</v>
      </c>
      <c r="AH297" s="3" t="s">
        <v>52</v>
      </c>
      <c r="AI297" s="3" t="s">
        <v>53</v>
      </c>
      <c r="AJ297" s="3" t="str">
        <f aca="false">IF(AND(AI297="Completed",AH297="Failed"),"Inconsistent - Completed Order with Failed Payment","OK")</f>
        <v>OK</v>
      </c>
      <c r="AK297" s="3" t="s">
        <v>54</v>
      </c>
      <c r="AL297" s="3" t="str">
        <f aca="false">IF(OR(T297="Negative - Invalid",T297="Above Allowed Range - Invalid",AE297="Invalid - Ship Before Order",AK297&lt;&gt;"Unique",AB297="Mismatch",AC297="Mismatch",AJ297&lt;&gt;"OK"),"Invalid",IF(OR(H297="Yes",O297="Yes",T297="Missing"),"Warning","Clean"))</f>
        <v>Clean</v>
      </c>
    </row>
    <row r="298" customFormat="false" ht="15" hidden="false" customHeight="true" outlineLevel="0" collapsed="false">
      <c r="A298" s="3" t="s">
        <v>1034</v>
      </c>
      <c r="B298" s="4" t="n">
        <v>45801</v>
      </c>
      <c r="C298" s="4" t="n">
        <v>45803</v>
      </c>
      <c r="D298" s="3" t="s">
        <v>1035</v>
      </c>
      <c r="E298" s="3" t="s">
        <v>115</v>
      </c>
      <c r="F298" s="3" t="s">
        <v>121</v>
      </c>
      <c r="G298" s="3" t="s">
        <v>42</v>
      </c>
      <c r="H298" s="3" t="s">
        <v>43</v>
      </c>
      <c r="I298" s="3" t="s">
        <v>270</v>
      </c>
      <c r="J298" s="3" t="s">
        <v>271</v>
      </c>
      <c r="K298" s="3" t="s">
        <v>62</v>
      </c>
      <c r="L298" s="3" t="s">
        <v>81</v>
      </c>
      <c r="M298" s="3" t="s">
        <v>1036</v>
      </c>
      <c r="N298" s="3" t="s">
        <v>65</v>
      </c>
      <c r="O298" s="3" t="s">
        <v>43</v>
      </c>
      <c r="P298" s="5" t="n">
        <v>6</v>
      </c>
      <c r="Q298" s="6" t="n">
        <v>3495.41</v>
      </c>
      <c r="R298" s="3" t="s">
        <v>107</v>
      </c>
      <c r="S298" s="7" t="n">
        <v>0.15</v>
      </c>
      <c r="T298" s="3" t="s">
        <v>51</v>
      </c>
      <c r="U298" s="7" t="n">
        <f aca="false">IF(T298="Valid",S298,0)</f>
        <v>0.15</v>
      </c>
      <c r="V298" s="6" t="n">
        <v>17826.59</v>
      </c>
      <c r="W298" s="6" t="n">
        <v>10855.35</v>
      </c>
      <c r="X298" s="6" t="n">
        <v>6971.24</v>
      </c>
      <c r="Y298" s="6" t="n">
        <f aca="false">P298*Q298*(1-U298)</f>
        <v>17826.591</v>
      </c>
      <c r="Z298" s="6" t="n">
        <f aca="false">Y298-W298</f>
        <v>6971.241</v>
      </c>
      <c r="AA298" s="8" t="n">
        <f aca="false">IF(Y298=0,0,Z298/Y298)</f>
        <v>0.391058559653946</v>
      </c>
      <c r="AB298" s="3" t="str">
        <f aca="false">IF(ABS(V298-Y298)&gt;1,"Mismatch","OK")</f>
        <v>OK</v>
      </c>
      <c r="AC298" s="3" t="str">
        <f aca="false">IF(ABS(X298-Z298)&gt;1,"Mismatch","OK")</f>
        <v>OK</v>
      </c>
      <c r="AD298" s="5" t="n">
        <f aca="false">IF(OR(B298="",C298=""),"",C298-B298)</f>
        <v>2</v>
      </c>
      <c r="AE298" s="3" t="str">
        <f aca="false">IF(AD298="","Unknown",IF(AD298&lt;0,"Invalid - Ship Before Order","OK"))</f>
        <v>OK</v>
      </c>
      <c r="AF298" s="5" t="n">
        <f aca="false">IF(B298="","",MONTH(B298))</f>
        <v>5</v>
      </c>
      <c r="AG298" s="5" t="n">
        <f aca="false">IF(B298="","",YEAR(B298))</f>
        <v>2025</v>
      </c>
      <c r="AH298" s="3" t="s">
        <v>52</v>
      </c>
      <c r="AI298" s="3" t="s">
        <v>53</v>
      </c>
      <c r="AJ298" s="3" t="str">
        <f aca="false">IF(AND(AI298="Completed",AH298="Failed"),"Inconsistent - Completed Order with Failed Payment","OK")</f>
        <v>OK</v>
      </c>
      <c r="AK298" s="3" t="s">
        <v>54</v>
      </c>
      <c r="AL298" s="3" t="str">
        <f aca="false">IF(OR(T298="Negative - Invalid",T298="Above Allowed Range - Invalid",AE298="Invalid - Ship Before Order",AK298&lt;&gt;"Unique",AB298="Mismatch",AC298="Mismatch",AJ298&lt;&gt;"OK"),"Invalid",IF(OR(H298="Yes",O298="Yes",T298="Missing"),"Warning","Clean"))</f>
        <v>Clean</v>
      </c>
    </row>
    <row r="299" customFormat="false" ht="15" hidden="false" customHeight="true" outlineLevel="0" collapsed="false">
      <c r="A299" s="3" t="s">
        <v>1037</v>
      </c>
      <c r="B299" s="4" t="n">
        <v>45594</v>
      </c>
      <c r="C299" s="4" t="n">
        <v>45602</v>
      </c>
      <c r="D299" s="3" t="s">
        <v>1038</v>
      </c>
      <c r="E299" s="3" t="s">
        <v>159</v>
      </c>
      <c r="F299" s="3" t="s">
        <v>116</v>
      </c>
      <c r="G299" s="3" t="s">
        <v>78</v>
      </c>
      <c r="H299" s="3" t="s">
        <v>43</v>
      </c>
      <c r="I299" s="3" t="s">
        <v>281</v>
      </c>
      <c r="J299" s="3" t="s">
        <v>282</v>
      </c>
      <c r="K299" s="3" t="s">
        <v>99</v>
      </c>
      <c r="L299" s="3" t="s">
        <v>105</v>
      </c>
      <c r="M299" s="3" t="s">
        <v>1039</v>
      </c>
      <c r="N299" s="3" t="s">
        <v>65</v>
      </c>
      <c r="O299" s="3" t="s">
        <v>43</v>
      </c>
      <c r="P299" s="5" t="n">
        <v>6</v>
      </c>
      <c r="Q299" s="6" t="n">
        <v>1169.92</v>
      </c>
      <c r="R299" s="3" t="s">
        <v>107</v>
      </c>
      <c r="S299" s="7" t="n">
        <v>0.15</v>
      </c>
      <c r="T299" s="3" t="s">
        <v>51</v>
      </c>
      <c r="U299" s="7" t="n">
        <f aca="false">IF(T299="Valid",S299,0)</f>
        <v>0.15</v>
      </c>
      <c r="V299" s="6" t="n">
        <v>5966.59</v>
      </c>
      <c r="W299" s="6" t="n">
        <v>3994.72</v>
      </c>
      <c r="X299" s="6" t="n">
        <v>1971.87</v>
      </c>
      <c r="Y299" s="6" t="n">
        <f aca="false">P299*Q299*(1-U299)</f>
        <v>5966.592</v>
      </c>
      <c r="Z299" s="6" t="n">
        <f aca="false">Y299-W299</f>
        <v>1971.872</v>
      </c>
      <c r="AA299" s="8" t="n">
        <f aca="false">IF(Y299=0,0,Z299/Y299)</f>
        <v>0.330485476466298</v>
      </c>
      <c r="AB299" s="3" t="str">
        <f aca="false">IF(ABS(V299-Y299)&gt;1,"Mismatch","OK")</f>
        <v>OK</v>
      </c>
      <c r="AC299" s="3" t="str">
        <f aca="false">IF(ABS(X299-Z299)&gt;1,"Mismatch","OK")</f>
        <v>OK</v>
      </c>
      <c r="AD299" s="5" t="n">
        <f aca="false">IF(OR(B299="",C299=""),"",C299-B299)</f>
        <v>8</v>
      </c>
      <c r="AE299" s="3" t="str">
        <f aca="false">IF(AD299="","Unknown",IF(AD299&lt;0,"Invalid - Ship Before Order","OK"))</f>
        <v>OK</v>
      </c>
      <c r="AF299" s="5" t="n">
        <f aca="false">IF(B299="","",MONTH(B299))</f>
        <v>10</v>
      </c>
      <c r="AG299" s="5" t="n">
        <f aca="false">IF(B299="","",YEAR(B299))</f>
        <v>2024</v>
      </c>
      <c r="AH299" s="3" t="s">
        <v>52</v>
      </c>
      <c r="AI299" s="3" t="s">
        <v>53</v>
      </c>
      <c r="AJ299" s="3" t="str">
        <f aca="false">IF(AND(AI299="Completed",AH299="Failed"),"Inconsistent - Completed Order with Failed Payment","OK")</f>
        <v>OK</v>
      </c>
      <c r="AK299" s="3" t="s">
        <v>54</v>
      </c>
      <c r="AL299" s="3" t="str">
        <f aca="false">IF(OR(T299="Negative - Invalid",T299="Above Allowed Range - Invalid",AE299="Invalid - Ship Before Order",AK299&lt;&gt;"Unique",AB299="Mismatch",AC299="Mismatch",AJ299&lt;&gt;"OK"),"Invalid",IF(OR(H299="Yes",O299="Yes",T299="Missing"),"Warning","Clean"))</f>
        <v>Clean</v>
      </c>
    </row>
    <row r="300" customFormat="false" ht="15" hidden="false" customHeight="true" outlineLevel="0" collapsed="false">
      <c r="A300" s="3" t="s">
        <v>1040</v>
      </c>
      <c r="B300" s="4" t="n">
        <v>45680</v>
      </c>
      <c r="C300" s="4" t="n">
        <v>45683</v>
      </c>
      <c r="D300" s="3" t="s">
        <v>1041</v>
      </c>
      <c r="E300" s="3" t="s">
        <v>69</v>
      </c>
      <c r="F300" s="3" t="s">
        <v>41</v>
      </c>
      <c r="G300" s="3" t="s">
        <v>78</v>
      </c>
      <c r="H300" s="3" t="s">
        <v>43</v>
      </c>
      <c r="I300" s="3" t="s">
        <v>216</v>
      </c>
      <c r="J300" s="3" t="s">
        <v>217</v>
      </c>
      <c r="K300" s="3" t="s">
        <v>99</v>
      </c>
      <c r="L300" s="3" t="s">
        <v>105</v>
      </c>
      <c r="M300" s="3" t="s">
        <v>1042</v>
      </c>
      <c r="N300" s="3" t="s">
        <v>72</v>
      </c>
      <c r="O300" s="3" t="s">
        <v>43</v>
      </c>
      <c r="P300" s="5" t="n">
        <v>7</v>
      </c>
      <c r="Q300" s="6" t="n">
        <v>348.49</v>
      </c>
      <c r="R300" s="3" t="s">
        <v>50</v>
      </c>
      <c r="S300" s="7" t="n">
        <v>0.2</v>
      </c>
      <c r="T300" s="3" t="s">
        <v>51</v>
      </c>
      <c r="U300" s="7" t="n">
        <f aca="false">IF(T300="Valid",S300,0)</f>
        <v>0.2</v>
      </c>
      <c r="V300" s="6" t="n">
        <v>1951.54</v>
      </c>
      <c r="W300" s="6" t="n">
        <v>1609.95</v>
      </c>
      <c r="X300" s="6" t="n">
        <v>341.59</v>
      </c>
      <c r="Y300" s="6" t="n">
        <f aca="false">P300*Q300*(1-U300)</f>
        <v>1951.544</v>
      </c>
      <c r="Z300" s="6" t="n">
        <f aca="false">Y300-W300</f>
        <v>341.594</v>
      </c>
      <c r="AA300" s="8" t="n">
        <f aca="false">IF(Y300=0,0,Z300/Y300)</f>
        <v>0.175037816211164</v>
      </c>
      <c r="AB300" s="3" t="str">
        <f aca="false">IF(ABS(V300-Y300)&gt;1,"Mismatch","OK")</f>
        <v>OK</v>
      </c>
      <c r="AC300" s="3" t="str">
        <f aca="false">IF(ABS(X300-Z300)&gt;1,"Mismatch","OK")</f>
        <v>OK</v>
      </c>
      <c r="AD300" s="5" t="n">
        <f aca="false">IF(OR(B300="",C300=""),"",C300-B300)</f>
        <v>3</v>
      </c>
      <c r="AE300" s="3" t="str">
        <f aca="false">IF(AD300="","Unknown",IF(AD300&lt;0,"Invalid - Ship Before Order","OK"))</f>
        <v>OK</v>
      </c>
      <c r="AF300" s="5" t="n">
        <f aca="false">IF(B300="","",MONTH(B300))</f>
        <v>1</v>
      </c>
      <c r="AG300" s="5" t="n">
        <f aca="false">IF(B300="","",YEAR(B300))</f>
        <v>2025</v>
      </c>
      <c r="AH300" s="3" t="s">
        <v>185</v>
      </c>
      <c r="AI300" s="3" t="s">
        <v>130</v>
      </c>
      <c r="AJ300" s="3" t="str">
        <f aca="false">IF(AND(AI300="Completed",AH300="Failed"),"Inconsistent - Completed Order with Failed Payment","OK")</f>
        <v>OK</v>
      </c>
      <c r="AK300" s="3" t="s">
        <v>54</v>
      </c>
      <c r="AL300" s="3" t="str">
        <f aca="false">IF(OR(T300="Negative - Invalid",T300="Above Allowed Range - Invalid",AE300="Invalid - Ship Before Order",AK300&lt;&gt;"Unique",AB300="Mismatch",AC300="Mismatch",AJ300&lt;&gt;"OK"),"Invalid",IF(OR(H300="Yes",O300="Yes",T300="Missing"),"Warning","Clean"))</f>
        <v>Clean</v>
      </c>
    </row>
    <row r="301" customFormat="false" ht="15" hidden="false" customHeight="true" outlineLevel="0" collapsed="false">
      <c r="A301" s="3" t="s">
        <v>1043</v>
      </c>
      <c r="B301" s="4" t="n">
        <v>45602</v>
      </c>
      <c r="C301" s="4" t="n">
        <v>45608</v>
      </c>
      <c r="D301" s="3" t="s">
        <v>1044</v>
      </c>
      <c r="E301" s="3" t="s">
        <v>145</v>
      </c>
      <c r="F301" s="3" t="s">
        <v>58</v>
      </c>
      <c r="G301" s="3" t="s">
        <v>88</v>
      </c>
      <c r="H301" s="3" t="s">
        <v>43</v>
      </c>
      <c r="I301" s="3" t="s">
        <v>211</v>
      </c>
      <c r="J301" s="3" t="s">
        <v>212</v>
      </c>
      <c r="K301" s="3" t="s">
        <v>99</v>
      </c>
      <c r="L301" s="3" t="s">
        <v>100</v>
      </c>
      <c r="M301" s="3" t="s">
        <v>1045</v>
      </c>
      <c r="N301" s="3" t="s">
        <v>83</v>
      </c>
      <c r="O301" s="3" t="s">
        <v>43</v>
      </c>
      <c r="P301" s="5" t="n">
        <v>7</v>
      </c>
      <c r="Q301" s="6" t="n">
        <v>1719.05</v>
      </c>
      <c r="R301" s="3" t="s">
        <v>203</v>
      </c>
      <c r="S301" s="7" t="n">
        <v>0.1</v>
      </c>
      <c r="T301" s="3" t="s">
        <v>51</v>
      </c>
      <c r="U301" s="7" t="n">
        <f aca="false">IF(T301="Valid",S301,0)</f>
        <v>0.1</v>
      </c>
      <c r="V301" s="6" t="n">
        <v>10830.02</v>
      </c>
      <c r="W301" s="6" t="n">
        <v>7055.31</v>
      </c>
      <c r="X301" s="6" t="n">
        <v>3774.71</v>
      </c>
      <c r="Y301" s="6" t="n">
        <f aca="false">P301*Q301*(1-U301)</f>
        <v>10830.015</v>
      </c>
      <c r="Z301" s="6" t="n">
        <f aca="false">Y301-W301</f>
        <v>3774.705</v>
      </c>
      <c r="AA301" s="8" t="n">
        <f aca="false">IF(Y301=0,0,Z301/Y301)</f>
        <v>0.348541068502675</v>
      </c>
      <c r="AB301" s="3" t="str">
        <f aca="false">IF(ABS(V301-Y301)&gt;1,"Mismatch","OK")</f>
        <v>OK</v>
      </c>
      <c r="AC301" s="3" t="str">
        <f aca="false">IF(ABS(X301-Z301)&gt;1,"Mismatch","OK")</f>
        <v>OK</v>
      </c>
      <c r="AD301" s="5" t="n">
        <f aca="false">IF(OR(B301="",C301=""),"",C301-B301)</f>
        <v>6</v>
      </c>
      <c r="AE301" s="3" t="str">
        <f aca="false">IF(AD301="","Unknown",IF(AD301&lt;0,"Invalid - Ship Before Order","OK"))</f>
        <v>OK</v>
      </c>
      <c r="AF301" s="5" t="n">
        <f aca="false">IF(B301="","",MONTH(B301))</f>
        <v>11</v>
      </c>
      <c r="AG301" s="5" t="n">
        <f aca="false">IF(B301="","",YEAR(B301))</f>
        <v>2024</v>
      </c>
      <c r="AH301" s="3" t="s">
        <v>52</v>
      </c>
      <c r="AI301" s="3" t="s">
        <v>53</v>
      </c>
      <c r="AJ301" s="3" t="str">
        <f aca="false">IF(AND(AI301="Completed",AH301="Failed"),"Inconsistent - Completed Order with Failed Payment","OK")</f>
        <v>OK</v>
      </c>
      <c r="AK301" s="3" t="s">
        <v>54</v>
      </c>
      <c r="AL301" s="3" t="str">
        <f aca="false">IF(OR(T301="Negative - Invalid",T301="Above Allowed Range - Invalid",AE301="Invalid - Ship Before Order",AK301&lt;&gt;"Unique",AB301="Mismatch",AC301="Mismatch",AJ301&lt;&gt;"OK"),"Invalid",IF(OR(H301="Yes",O301="Yes",T301="Missing"),"Warning","Clean"))</f>
        <v>Clean</v>
      </c>
    </row>
    <row r="302" customFormat="false" ht="15" hidden="false" customHeight="true" outlineLevel="0" collapsed="false">
      <c r="A302" s="3" t="s">
        <v>1046</v>
      </c>
      <c r="B302" s="4" t="n">
        <v>45397</v>
      </c>
      <c r="C302" s="4" t="n">
        <v>45405</v>
      </c>
      <c r="D302" s="3" t="s">
        <v>1047</v>
      </c>
      <c r="E302" s="3" t="s">
        <v>192</v>
      </c>
      <c r="F302" s="3" t="s">
        <v>58</v>
      </c>
      <c r="G302" s="3" t="s">
        <v>42</v>
      </c>
      <c r="H302" s="3" t="s">
        <v>43</v>
      </c>
      <c r="I302" s="3" t="s">
        <v>149</v>
      </c>
      <c r="J302" s="3" t="s">
        <v>150</v>
      </c>
      <c r="K302" s="3" t="s">
        <v>99</v>
      </c>
      <c r="L302" s="3" t="s">
        <v>100</v>
      </c>
      <c r="M302" s="3" t="s">
        <v>1048</v>
      </c>
      <c r="N302" s="3" t="s">
        <v>49</v>
      </c>
      <c r="O302" s="3" t="s">
        <v>43</v>
      </c>
      <c r="P302" s="5" t="n">
        <v>9</v>
      </c>
      <c r="Q302" s="6" t="n">
        <v>3893.74</v>
      </c>
      <c r="R302" s="3" t="s">
        <v>203</v>
      </c>
      <c r="S302" s="7" t="n">
        <v>0.1</v>
      </c>
      <c r="T302" s="3" t="s">
        <v>51</v>
      </c>
      <c r="U302" s="7" t="n">
        <f aca="false">IF(T302="Valid",S302,0)</f>
        <v>0.1</v>
      </c>
      <c r="V302" s="6" t="n">
        <v>31539.29</v>
      </c>
      <c r="W302" s="6" t="n">
        <v>22100.14</v>
      </c>
      <c r="X302" s="6" t="n">
        <v>9439.15</v>
      </c>
      <c r="Y302" s="6" t="n">
        <f aca="false">P302*Q302*(1-U302)</f>
        <v>31539.294</v>
      </c>
      <c r="Z302" s="6" t="n">
        <f aca="false">Y302-W302</f>
        <v>9439.154</v>
      </c>
      <c r="AA302" s="8" t="n">
        <f aca="false">IF(Y302=0,0,Z302/Y302)</f>
        <v>0.299282349186383</v>
      </c>
      <c r="AB302" s="3" t="str">
        <f aca="false">IF(ABS(V302-Y302)&gt;1,"Mismatch","OK")</f>
        <v>OK</v>
      </c>
      <c r="AC302" s="3" t="str">
        <f aca="false">IF(ABS(X302-Z302)&gt;1,"Mismatch","OK")</f>
        <v>OK</v>
      </c>
      <c r="AD302" s="5" t="n">
        <f aca="false">IF(OR(B302="",C302=""),"",C302-B302)</f>
        <v>8</v>
      </c>
      <c r="AE302" s="3" t="str">
        <f aca="false">IF(AD302="","Unknown",IF(AD302&lt;0,"Invalid - Ship Before Order","OK"))</f>
        <v>OK</v>
      </c>
      <c r="AF302" s="5" t="n">
        <f aca="false">IF(B302="","",MONTH(B302))</f>
        <v>4</v>
      </c>
      <c r="AG302" s="5" t="n">
        <f aca="false">IF(B302="","",YEAR(B302))</f>
        <v>2024</v>
      </c>
      <c r="AH302" s="3" t="s">
        <v>52</v>
      </c>
      <c r="AI302" s="3" t="s">
        <v>53</v>
      </c>
      <c r="AJ302" s="3" t="str">
        <f aca="false">IF(AND(AI302="Completed",AH302="Failed"),"Inconsistent - Completed Order with Failed Payment","OK")</f>
        <v>OK</v>
      </c>
      <c r="AK302" s="3" t="s">
        <v>54</v>
      </c>
      <c r="AL302" s="3" t="str">
        <f aca="false">IF(OR(T302="Negative - Invalid",T302="Above Allowed Range - Invalid",AE302="Invalid - Ship Before Order",AK302&lt;&gt;"Unique",AB302="Mismatch",AC302="Mismatch",AJ302&lt;&gt;"OK"),"Invalid",IF(OR(H302="Yes",O302="Yes",T302="Missing"),"Warning","Clean"))</f>
        <v>Clean</v>
      </c>
    </row>
    <row r="303" customFormat="false" ht="15" hidden="false" customHeight="true" outlineLevel="0" collapsed="false">
      <c r="A303" s="3" t="s">
        <v>1049</v>
      </c>
      <c r="B303" s="4" t="n">
        <v>45805</v>
      </c>
      <c r="C303" s="4" t="n">
        <v>45809</v>
      </c>
      <c r="D303" s="3" t="s">
        <v>1050</v>
      </c>
      <c r="E303" s="3" t="s">
        <v>69</v>
      </c>
      <c r="F303" s="3" t="s">
        <v>121</v>
      </c>
      <c r="G303" s="3" t="s">
        <v>59</v>
      </c>
      <c r="H303" s="3" t="s">
        <v>43</v>
      </c>
      <c r="I303" s="3" t="s">
        <v>174</v>
      </c>
      <c r="J303" s="3" t="s">
        <v>175</v>
      </c>
      <c r="K303" s="3" t="s">
        <v>99</v>
      </c>
      <c r="L303" s="3" t="s">
        <v>201</v>
      </c>
      <c r="M303" s="3" t="s">
        <v>1051</v>
      </c>
      <c r="N303" s="3" t="s">
        <v>65</v>
      </c>
      <c r="O303" s="3" t="s">
        <v>43</v>
      </c>
      <c r="P303" s="5" t="n">
        <v>4</v>
      </c>
      <c r="Q303" s="6" t="n">
        <v>1654.11</v>
      </c>
      <c r="R303" s="3" t="s">
        <v>128</v>
      </c>
      <c r="S303" s="7" t="n">
        <v>0.05</v>
      </c>
      <c r="T303" s="3" t="s">
        <v>51</v>
      </c>
      <c r="U303" s="7" t="n">
        <f aca="false">IF(T303="Valid",S303,0)</f>
        <v>0.05</v>
      </c>
      <c r="V303" s="6" t="n">
        <v>6285.62</v>
      </c>
      <c r="W303" s="6" t="n">
        <v>3705.38</v>
      </c>
      <c r="X303" s="6" t="n">
        <v>2580.24</v>
      </c>
      <c r="Y303" s="6" t="n">
        <f aca="false">P303*Q303*(1-U303)</f>
        <v>6285.618</v>
      </c>
      <c r="Z303" s="6" t="n">
        <f aca="false">Y303-W303</f>
        <v>2580.238</v>
      </c>
      <c r="AA303" s="8" t="n">
        <f aca="false">IF(Y303=0,0,Z303/Y303)</f>
        <v>0.410498697184589</v>
      </c>
      <c r="AB303" s="3" t="str">
        <f aca="false">IF(ABS(V303-Y303)&gt;1,"Mismatch","OK")</f>
        <v>OK</v>
      </c>
      <c r="AC303" s="3" t="str">
        <f aca="false">IF(ABS(X303-Z303)&gt;1,"Mismatch","OK")</f>
        <v>OK</v>
      </c>
      <c r="AD303" s="5" t="n">
        <f aca="false">IF(OR(B303="",C303=""),"",C303-B303)</f>
        <v>4</v>
      </c>
      <c r="AE303" s="3" t="str">
        <f aca="false">IF(AD303="","Unknown",IF(AD303&lt;0,"Invalid - Ship Before Order","OK"))</f>
        <v>OK</v>
      </c>
      <c r="AF303" s="5" t="n">
        <f aca="false">IF(B303="","",MONTH(B303))</f>
        <v>5</v>
      </c>
      <c r="AG303" s="5" t="n">
        <f aca="false">IF(B303="","",YEAR(B303))</f>
        <v>2025</v>
      </c>
      <c r="AH303" s="3" t="s">
        <v>52</v>
      </c>
      <c r="AI303" s="3" t="s">
        <v>53</v>
      </c>
      <c r="AJ303" s="3" t="str">
        <f aca="false">IF(AND(AI303="Completed",AH303="Failed"),"Inconsistent - Completed Order with Failed Payment","OK")</f>
        <v>OK</v>
      </c>
      <c r="AK303" s="3" t="s">
        <v>54</v>
      </c>
      <c r="AL303" s="3" t="str">
        <f aca="false">IF(OR(T303="Negative - Invalid",T303="Above Allowed Range - Invalid",AE303="Invalid - Ship Before Order",AK303&lt;&gt;"Unique",AB303="Mismatch",AC303="Mismatch",AJ303&lt;&gt;"OK"),"Invalid",IF(OR(H303="Yes",O303="Yes",T303="Missing"),"Warning","Clean"))</f>
        <v>Clean</v>
      </c>
    </row>
    <row r="304" customFormat="false" ht="15" hidden="false" customHeight="true" outlineLevel="0" collapsed="false">
      <c r="A304" s="3" t="s">
        <v>1052</v>
      </c>
      <c r="B304" s="4" t="n">
        <v>45812</v>
      </c>
      <c r="C304" s="4" t="n">
        <v>45820</v>
      </c>
      <c r="D304" s="3" t="s">
        <v>1053</v>
      </c>
      <c r="E304" s="3" t="s">
        <v>104</v>
      </c>
      <c r="F304" s="3" t="s">
        <v>41</v>
      </c>
      <c r="G304" s="3" t="s">
        <v>88</v>
      </c>
      <c r="H304" s="3" t="s">
        <v>43</v>
      </c>
      <c r="I304" s="3" t="s">
        <v>221</v>
      </c>
      <c r="J304" s="3" t="s">
        <v>222</v>
      </c>
      <c r="K304" s="3" t="s">
        <v>46</v>
      </c>
      <c r="L304" s="3" t="s">
        <v>151</v>
      </c>
      <c r="M304" s="3" t="s">
        <v>1054</v>
      </c>
      <c r="N304" s="3" t="s">
        <v>65</v>
      </c>
      <c r="O304" s="3" t="s">
        <v>43</v>
      </c>
      <c r="P304" s="5" t="n">
        <v>2</v>
      </c>
      <c r="Q304" s="6" t="n">
        <v>2703.28</v>
      </c>
      <c r="R304" s="3" t="s">
        <v>84</v>
      </c>
      <c r="S304" s="7" t="n">
        <v>0.25</v>
      </c>
      <c r="T304" s="3" t="s">
        <v>51</v>
      </c>
      <c r="U304" s="7" t="n">
        <f aca="false">IF(T304="Valid",S304,0)</f>
        <v>0.25</v>
      </c>
      <c r="V304" s="6" t="n">
        <v>4054.92</v>
      </c>
      <c r="W304" s="6" t="n">
        <v>2424.83</v>
      </c>
      <c r="X304" s="6" t="n">
        <v>1630.09</v>
      </c>
      <c r="Y304" s="6" t="n">
        <f aca="false">P304*Q304*(1-U304)</f>
        <v>4054.92</v>
      </c>
      <c r="Z304" s="6" t="n">
        <f aca="false">Y304-W304</f>
        <v>1630.09</v>
      </c>
      <c r="AA304" s="8" t="n">
        <f aca="false">IF(Y304=0,0,Z304/Y304)</f>
        <v>0.402002998826117</v>
      </c>
      <c r="AB304" s="3" t="str">
        <f aca="false">IF(ABS(V304-Y304)&gt;1,"Mismatch","OK")</f>
        <v>OK</v>
      </c>
      <c r="AC304" s="3" t="str">
        <f aca="false">IF(ABS(X304-Z304)&gt;1,"Mismatch","OK")</f>
        <v>OK</v>
      </c>
      <c r="AD304" s="5" t="n">
        <f aca="false">IF(OR(B304="",C304=""),"",C304-B304)</f>
        <v>8</v>
      </c>
      <c r="AE304" s="3" t="str">
        <f aca="false">IF(AD304="","Unknown",IF(AD304&lt;0,"Invalid - Ship Before Order","OK"))</f>
        <v>OK</v>
      </c>
      <c r="AF304" s="5" t="n">
        <f aca="false">IF(B304="","",MONTH(B304))</f>
        <v>6</v>
      </c>
      <c r="AG304" s="5" t="n">
        <f aca="false">IF(B304="","",YEAR(B304))</f>
        <v>2025</v>
      </c>
      <c r="AH304" s="3" t="s">
        <v>52</v>
      </c>
      <c r="AI304" s="3" t="s">
        <v>53</v>
      </c>
      <c r="AJ304" s="3" t="str">
        <f aca="false">IF(AND(AI304="Completed",AH304="Failed"),"Inconsistent - Completed Order with Failed Payment","OK")</f>
        <v>OK</v>
      </c>
      <c r="AK304" s="3" t="s">
        <v>54</v>
      </c>
      <c r="AL304" s="3" t="str">
        <f aca="false">IF(OR(T304="Negative - Invalid",T304="Above Allowed Range - Invalid",AE304="Invalid - Ship Before Order",AK304&lt;&gt;"Unique",AB304="Mismatch",AC304="Mismatch",AJ304&lt;&gt;"OK"),"Invalid",IF(OR(H304="Yes",O304="Yes",T304="Missing"),"Warning","Clean"))</f>
        <v>Clean</v>
      </c>
    </row>
    <row r="305" customFormat="false" ht="15" hidden="false" customHeight="true" outlineLevel="0" collapsed="false">
      <c r="A305" s="3" t="s">
        <v>1055</v>
      </c>
      <c r="B305" s="4" t="n">
        <v>45466</v>
      </c>
      <c r="C305" s="4" t="n">
        <v>45471</v>
      </c>
      <c r="D305" s="3" t="s">
        <v>1056</v>
      </c>
      <c r="E305" s="3" t="s">
        <v>192</v>
      </c>
      <c r="F305" s="3" t="s">
        <v>121</v>
      </c>
      <c r="G305" s="3" t="s">
        <v>88</v>
      </c>
      <c r="H305" s="3" t="s">
        <v>43</v>
      </c>
      <c r="I305" s="3" t="s">
        <v>211</v>
      </c>
      <c r="J305" s="3" t="s">
        <v>212</v>
      </c>
      <c r="K305" s="3" t="s">
        <v>62</v>
      </c>
      <c r="L305" s="3" t="s">
        <v>91</v>
      </c>
      <c r="M305" s="3" t="s">
        <v>1057</v>
      </c>
      <c r="N305" s="3" t="s">
        <v>83</v>
      </c>
      <c r="O305" s="3" t="s">
        <v>43</v>
      </c>
      <c r="P305" s="5" t="n">
        <v>2</v>
      </c>
      <c r="Q305" s="6" t="n">
        <v>1313.14</v>
      </c>
      <c r="R305" s="3" t="s">
        <v>203</v>
      </c>
      <c r="S305" s="7" t="n">
        <v>0.1</v>
      </c>
      <c r="T305" s="3" t="s">
        <v>51</v>
      </c>
      <c r="U305" s="7" t="n">
        <f aca="false">IF(T305="Valid",S305,0)</f>
        <v>0.1</v>
      </c>
      <c r="V305" s="6" t="n">
        <v>2363.65</v>
      </c>
      <c r="W305" s="6" t="n">
        <v>1876.1</v>
      </c>
      <c r="X305" s="6" t="n">
        <v>487.55</v>
      </c>
      <c r="Y305" s="6" t="n">
        <f aca="false">P305*Q305*(1-U305)</f>
        <v>2363.652</v>
      </c>
      <c r="Z305" s="6" t="n">
        <f aca="false">Y305-W305</f>
        <v>487.552</v>
      </c>
      <c r="AA305" s="8" t="n">
        <f aca="false">IF(Y305=0,0,Z305/Y305)</f>
        <v>0.206270635440412</v>
      </c>
      <c r="AB305" s="3" t="str">
        <f aca="false">IF(ABS(V305-Y305)&gt;1,"Mismatch","OK")</f>
        <v>OK</v>
      </c>
      <c r="AC305" s="3" t="str">
        <f aca="false">IF(ABS(X305-Z305)&gt;1,"Mismatch","OK")</f>
        <v>OK</v>
      </c>
      <c r="AD305" s="5" t="n">
        <f aca="false">IF(OR(B305="",C305=""),"",C305-B305)</f>
        <v>5</v>
      </c>
      <c r="AE305" s="3" t="str">
        <f aca="false">IF(AD305="","Unknown",IF(AD305&lt;0,"Invalid - Ship Before Order","OK"))</f>
        <v>OK</v>
      </c>
      <c r="AF305" s="5" t="n">
        <f aca="false">IF(B305="","",MONTH(B305))</f>
        <v>6</v>
      </c>
      <c r="AG305" s="5" t="n">
        <f aca="false">IF(B305="","",YEAR(B305))</f>
        <v>2024</v>
      </c>
      <c r="AH305" s="3" t="s">
        <v>138</v>
      </c>
      <c r="AI305" s="3" t="s">
        <v>130</v>
      </c>
      <c r="AJ305" s="3" t="str">
        <f aca="false">IF(AND(AI305="Completed",AH305="Failed"),"Inconsistent - Completed Order with Failed Payment","OK")</f>
        <v>OK</v>
      </c>
      <c r="AK305" s="3" t="s">
        <v>54</v>
      </c>
      <c r="AL305" s="3" t="str">
        <f aca="false">IF(OR(T305="Negative - Invalid",T305="Above Allowed Range - Invalid",AE305="Invalid - Ship Before Order",AK305&lt;&gt;"Unique",AB305="Mismatch",AC305="Mismatch",AJ305&lt;&gt;"OK"),"Invalid",IF(OR(H305="Yes",O305="Yes",T305="Missing"),"Warning","Clean"))</f>
        <v>Clean</v>
      </c>
    </row>
    <row r="306" customFormat="false" ht="15" hidden="false" customHeight="true" outlineLevel="0" collapsed="false">
      <c r="A306" s="3" t="s">
        <v>1058</v>
      </c>
      <c r="B306" s="4" t="n">
        <v>45357</v>
      </c>
      <c r="C306" s="4" t="n">
        <v>45364</v>
      </c>
      <c r="D306" s="3" t="s">
        <v>1059</v>
      </c>
      <c r="E306" s="3" t="s">
        <v>40</v>
      </c>
      <c r="F306" s="3" t="s">
        <v>41</v>
      </c>
      <c r="G306" s="3" t="s">
        <v>42</v>
      </c>
      <c r="H306" s="3" t="s">
        <v>43</v>
      </c>
      <c r="I306" s="3" t="s">
        <v>149</v>
      </c>
      <c r="J306" s="3" t="s">
        <v>150</v>
      </c>
      <c r="K306" s="3" t="s">
        <v>62</v>
      </c>
      <c r="L306" s="3" t="s">
        <v>81</v>
      </c>
      <c r="M306" s="3" t="s">
        <v>1060</v>
      </c>
      <c r="N306" s="3" t="s">
        <v>83</v>
      </c>
      <c r="O306" s="3" t="s">
        <v>43</v>
      </c>
      <c r="P306" s="5" t="n">
        <v>6</v>
      </c>
      <c r="Q306" s="6" t="n">
        <v>2403.05</v>
      </c>
      <c r="R306" s="3" t="s">
        <v>203</v>
      </c>
      <c r="S306" s="7" t="n">
        <v>0.1</v>
      </c>
      <c r="T306" s="3" t="s">
        <v>51</v>
      </c>
      <c r="U306" s="7" t="n">
        <f aca="false">IF(T306="Valid",S306,0)</f>
        <v>0.1</v>
      </c>
      <c r="V306" s="6" t="n">
        <v>12976.47</v>
      </c>
      <c r="W306" s="6" t="n">
        <v>10019.98</v>
      </c>
      <c r="X306" s="6" t="n">
        <v>2956.49</v>
      </c>
      <c r="Y306" s="6" t="n">
        <f aca="false">P306*Q306*(1-U306)</f>
        <v>12976.47</v>
      </c>
      <c r="Z306" s="6" t="n">
        <f aca="false">Y306-W306</f>
        <v>2956.49</v>
      </c>
      <c r="AA306" s="8" t="n">
        <f aca="false">IF(Y306=0,0,Z306/Y306)</f>
        <v>0.227834688478454</v>
      </c>
      <c r="AB306" s="3" t="str">
        <f aca="false">IF(ABS(V306-Y306)&gt;1,"Mismatch","OK")</f>
        <v>OK</v>
      </c>
      <c r="AC306" s="3" t="str">
        <f aca="false">IF(ABS(X306-Z306)&gt;1,"Mismatch","OK")</f>
        <v>OK</v>
      </c>
      <c r="AD306" s="5" t="n">
        <f aca="false">IF(OR(B306="",C306=""),"",C306-B306)</f>
        <v>7</v>
      </c>
      <c r="AE306" s="3" t="str">
        <f aca="false">IF(AD306="","Unknown",IF(AD306&lt;0,"Invalid - Ship Before Order","OK"))</f>
        <v>OK</v>
      </c>
      <c r="AF306" s="5" t="n">
        <f aca="false">IF(B306="","",MONTH(B306))</f>
        <v>3</v>
      </c>
      <c r="AG306" s="5" t="n">
        <f aca="false">IF(B306="","",YEAR(B306))</f>
        <v>2024</v>
      </c>
      <c r="AH306" s="3" t="s">
        <v>52</v>
      </c>
      <c r="AI306" s="3" t="s">
        <v>53</v>
      </c>
      <c r="AJ306" s="3" t="str">
        <f aca="false">IF(AND(AI306="Completed",AH306="Failed"),"Inconsistent - Completed Order with Failed Payment","OK")</f>
        <v>OK</v>
      </c>
      <c r="AK306" s="3" t="s">
        <v>54</v>
      </c>
      <c r="AL306" s="3" t="str">
        <f aca="false">IF(OR(T306="Negative - Invalid",T306="Above Allowed Range - Invalid",AE306="Invalid - Ship Before Order",AK306&lt;&gt;"Unique",AB306="Mismatch",AC306="Mismatch",AJ306&lt;&gt;"OK"),"Invalid",IF(OR(H306="Yes",O306="Yes",T306="Missing"),"Warning","Clean"))</f>
        <v>Clean</v>
      </c>
    </row>
    <row r="307" customFormat="false" ht="15" hidden="false" customHeight="true" outlineLevel="0" collapsed="false">
      <c r="A307" s="3" t="s">
        <v>1061</v>
      </c>
      <c r="B307" s="4" t="n">
        <v>45413</v>
      </c>
      <c r="C307" s="4" t="n">
        <v>45414</v>
      </c>
      <c r="D307" s="3" t="s">
        <v>1062</v>
      </c>
      <c r="E307" s="3" t="s">
        <v>87</v>
      </c>
      <c r="F307" s="3" t="s">
        <v>41</v>
      </c>
      <c r="G307" s="3" t="s">
        <v>59</v>
      </c>
      <c r="H307" s="3" t="s">
        <v>43</v>
      </c>
      <c r="I307" s="3" t="s">
        <v>196</v>
      </c>
      <c r="J307" s="3" t="s">
        <v>197</v>
      </c>
      <c r="K307" s="3" t="s">
        <v>62</v>
      </c>
      <c r="L307" s="3" t="s">
        <v>91</v>
      </c>
      <c r="M307" s="3" t="s">
        <v>1063</v>
      </c>
      <c r="N307" s="3" t="s">
        <v>72</v>
      </c>
      <c r="O307" s="3" t="s">
        <v>43</v>
      </c>
      <c r="P307" s="5" t="n">
        <v>4</v>
      </c>
      <c r="Q307" s="6" t="n">
        <v>4156.06</v>
      </c>
      <c r="R307" s="3" t="s">
        <v>73</v>
      </c>
      <c r="S307" s="7" t="n">
        <v>0.55</v>
      </c>
      <c r="T307" s="3" t="s">
        <v>74</v>
      </c>
      <c r="U307" s="7" t="n">
        <f aca="false">IF(T307="Valid",S307,0)</f>
        <v>0</v>
      </c>
      <c r="V307" s="6" t="n">
        <v>13299.39</v>
      </c>
      <c r="W307" s="6" t="n">
        <v>9851.91</v>
      </c>
      <c r="X307" s="6" t="n">
        <v>3447.48</v>
      </c>
      <c r="Y307" s="6" t="n">
        <f aca="false">P307*Q307*(1-U307)</f>
        <v>16624.24</v>
      </c>
      <c r="Z307" s="6" t="n">
        <f aca="false">Y307-W307</f>
        <v>6772.33</v>
      </c>
      <c r="AA307" s="8" t="n">
        <f aca="false">IF(Y307=0,0,Z307/Y307)</f>
        <v>0.407376818428993</v>
      </c>
      <c r="AB307" s="3" t="str">
        <f aca="false">IF(ABS(V307-Y307)&gt;1,"Mismatch","OK")</f>
        <v>Mismatch</v>
      </c>
      <c r="AC307" s="3" t="str">
        <f aca="false">IF(ABS(X307-Z307)&gt;1,"Mismatch","OK")</f>
        <v>Mismatch</v>
      </c>
      <c r="AD307" s="5" t="n">
        <f aca="false">IF(OR(B307="",C307=""),"",C307-B307)</f>
        <v>1</v>
      </c>
      <c r="AE307" s="3" t="str">
        <f aca="false">IF(AD307="","Unknown",IF(AD307&lt;0,"Invalid - Ship Before Order","OK"))</f>
        <v>OK</v>
      </c>
      <c r="AF307" s="5" t="n">
        <f aca="false">IF(B307="","",MONTH(B307))</f>
        <v>5</v>
      </c>
      <c r="AG307" s="5" t="n">
        <f aca="false">IF(B307="","",YEAR(B307))</f>
        <v>2024</v>
      </c>
      <c r="AH307" s="3" t="s">
        <v>52</v>
      </c>
      <c r="AI307" s="3" t="s">
        <v>93</v>
      </c>
      <c r="AJ307" s="3" t="str">
        <f aca="false">IF(AND(AI307="Completed",AH307="Failed"),"Inconsistent - Completed Order with Failed Payment","OK")</f>
        <v>OK</v>
      </c>
      <c r="AK307" s="3" t="s">
        <v>54</v>
      </c>
      <c r="AL307" s="3" t="str">
        <f aca="false">IF(OR(T307="Negative - Invalid",T307="Above Allowed Range - Invalid",AE307="Invalid - Ship Before Order",AK307&lt;&gt;"Unique",AB307="Mismatch",AC307="Mismatch",AJ307&lt;&gt;"OK"),"Invalid",IF(OR(H307="Yes",O307="Yes",T307="Missing"),"Warning","Clean"))</f>
        <v>Invalid</v>
      </c>
    </row>
    <row r="308" customFormat="false" ht="15" hidden="false" customHeight="true" outlineLevel="0" collapsed="false">
      <c r="A308" s="3" t="s">
        <v>1064</v>
      </c>
      <c r="B308" s="4" t="n">
        <v>45708</v>
      </c>
      <c r="C308" s="4" t="n">
        <v>45711</v>
      </c>
      <c r="D308" s="3" t="s">
        <v>1065</v>
      </c>
      <c r="E308" s="3" t="s">
        <v>155</v>
      </c>
      <c r="F308" s="3" t="s">
        <v>41</v>
      </c>
      <c r="G308" s="3" t="s">
        <v>42</v>
      </c>
      <c r="H308" s="3" t="s">
        <v>43</v>
      </c>
      <c r="I308" s="3" t="s">
        <v>44</v>
      </c>
      <c r="J308" s="3" t="s">
        <v>45</v>
      </c>
      <c r="K308" s="3" t="s">
        <v>99</v>
      </c>
      <c r="L308" s="3" t="s">
        <v>201</v>
      </c>
      <c r="M308" s="3" t="s">
        <v>1066</v>
      </c>
      <c r="N308" s="3" t="s">
        <v>49</v>
      </c>
      <c r="O308" s="3" t="s">
        <v>43</v>
      </c>
      <c r="P308" s="5" t="n">
        <v>4</v>
      </c>
      <c r="Q308" s="6" t="n">
        <v>3673.11</v>
      </c>
      <c r="R308" s="3" t="s">
        <v>66</v>
      </c>
      <c r="S308" s="7" t="n">
        <v>0</v>
      </c>
      <c r="T308" s="3" t="s">
        <v>51</v>
      </c>
      <c r="U308" s="7" t="n">
        <f aca="false">IF(T308="Valid",S308,0)</f>
        <v>0</v>
      </c>
      <c r="V308" s="6" t="n">
        <v>14692.44</v>
      </c>
      <c r="W308" s="6" t="n">
        <v>10082.19</v>
      </c>
      <c r="X308" s="6" t="n">
        <v>4610.25</v>
      </c>
      <c r="Y308" s="6" t="n">
        <f aca="false">P308*Q308*(1-U308)</f>
        <v>14692.44</v>
      </c>
      <c r="Z308" s="6" t="n">
        <f aca="false">Y308-W308</f>
        <v>4610.25</v>
      </c>
      <c r="AA308" s="8" t="n">
        <f aca="false">IF(Y308=0,0,Z308/Y308)</f>
        <v>0.313783823517401</v>
      </c>
      <c r="AB308" s="3" t="str">
        <f aca="false">IF(ABS(V308-Y308)&gt;1,"Mismatch","OK")</f>
        <v>OK</v>
      </c>
      <c r="AC308" s="3" t="str">
        <f aca="false">IF(ABS(X308-Z308)&gt;1,"Mismatch","OK")</f>
        <v>OK</v>
      </c>
      <c r="AD308" s="5" t="n">
        <f aca="false">IF(OR(B308="",C308=""),"",C308-B308)</f>
        <v>3</v>
      </c>
      <c r="AE308" s="3" t="str">
        <f aca="false">IF(AD308="","Unknown",IF(AD308&lt;0,"Invalid - Ship Before Order","OK"))</f>
        <v>OK</v>
      </c>
      <c r="AF308" s="5" t="n">
        <f aca="false">IF(B308="","",MONTH(B308))</f>
        <v>2</v>
      </c>
      <c r="AG308" s="5" t="n">
        <f aca="false">IF(B308="","",YEAR(B308))</f>
        <v>2025</v>
      </c>
      <c r="AH308" s="3" t="s">
        <v>52</v>
      </c>
      <c r="AI308" s="3" t="s">
        <v>53</v>
      </c>
      <c r="AJ308" s="3" t="str">
        <f aca="false">IF(AND(AI308="Completed",AH308="Failed"),"Inconsistent - Completed Order with Failed Payment","OK")</f>
        <v>OK</v>
      </c>
      <c r="AK308" s="3" t="s">
        <v>54</v>
      </c>
      <c r="AL308" s="3" t="str">
        <f aca="false">IF(OR(T308="Negative - Invalid",T308="Above Allowed Range - Invalid",AE308="Invalid - Ship Before Order",AK308&lt;&gt;"Unique",AB308="Mismatch",AC308="Mismatch",AJ308&lt;&gt;"OK"),"Invalid",IF(OR(H308="Yes",O308="Yes",T308="Missing"),"Warning","Clean"))</f>
        <v>Clean</v>
      </c>
    </row>
    <row r="309" customFormat="false" ht="15" hidden="false" customHeight="true" outlineLevel="0" collapsed="false">
      <c r="A309" s="3" t="s">
        <v>1067</v>
      </c>
      <c r="B309" s="4" t="n">
        <v>45850</v>
      </c>
      <c r="C309" s="4" t="n">
        <v>45857</v>
      </c>
      <c r="D309" s="3" t="s">
        <v>1068</v>
      </c>
      <c r="E309" s="3" t="s">
        <v>87</v>
      </c>
      <c r="F309" s="3" t="s">
        <v>116</v>
      </c>
      <c r="G309" s="3" t="s">
        <v>42</v>
      </c>
      <c r="H309" s="3" t="s">
        <v>43</v>
      </c>
      <c r="I309" s="3" t="s">
        <v>163</v>
      </c>
      <c r="J309" s="3" t="s">
        <v>164</v>
      </c>
      <c r="K309" s="3" t="s">
        <v>62</v>
      </c>
      <c r="L309" s="3" t="s">
        <v>63</v>
      </c>
      <c r="M309" s="3" t="s">
        <v>1069</v>
      </c>
      <c r="N309" s="3" t="s">
        <v>72</v>
      </c>
      <c r="O309" s="3" t="s">
        <v>43</v>
      </c>
      <c r="P309" s="5" t="n">
        <v>9</v>
      </c>
      <c r="Q309" s="6" t="n">
        <v>4093.04</v>
      </c>
      <c r="R309" s="3" t="s">
        <v>50</v>
      </c>
      <c r="S309" s="7" t="n">
        <v>0.2</v>
      </c>
      <c r="T309" s="3" t="s">
        <v>51</v>
      </c>
      <c r="U309" s="7" t="n">
        <f aca="false">IF(T309="Valid",S309,0)</f>
        <v>0.2</v>
      </c>
      <c r="V309" s="6" t="n">
        <v>29469.89</v>
      </c>
      <c r="W309" s="6" t="n">
        <v>18935.51</v>
      </c>
      <c r="X309" s="6" t="n">
        <v>10534.38</v>
      </c>
      <c r="Y309" s="6" t="n">
        <f aca="false">P309*Q309*(1-U309)</f>
        <v>29469.888</v>
      </c>
      <c r="Z309" s="6" t="n">
        <f aca="false">Y309-W309</f>
        <v>10534.378</v>
      </c>
      <c r="AA309" s="8" t="n">
        <f aca="false">IF(Y309=0,0,Z309/Y309)</f>
        <v>0.357462437590533</v>
      </c>
      <c r="AB309" s="3" t="str">
        <f aca="false">IF(ABS(V309-Y309)&gt;1,"Mismatch","OK")</f>
        <v>OK</v>
      </c>
      <c r="AC309" s="3" t="str">
        <f aca="false">IF(ABS(X309-Z309)&gt;1,"Mismatch","OK")</f>
        <v>OK</v>
      </c>
      <c r="AD309" s="5" t="n">
        <f aca="false">IF(OR(B309="",C309=""),"",C309-B309)</f>
        <v>7</v>
      </c>
      <c r="AE309" s="3" t="str">
        <f aca="false">IF(AD309="","Unknown",IF(AD309&lt;0,"Invalid - Ship Before Order","OK"))</f>
        <v>OK</v>
      </c>
      <c r="AF309" s="5" t="n">
        <f aca="false">IF(B309="","",MONTH(B309))</f>
        <v>7</v>
      </c>
      <c r="AG309" s="5" t="n">
        <f aca="false">IF(B309="","",YEAR(B309))</f>
        <v>2025</v>
      </c>
      <c r="AH309" s="3" t="s">
        <v>138</v>
      </c>
      <c r="AI309" s="3" t="s">
        <v>93</v>
      </c>
      <c r="AJ309" s="3" t="str">
        <f aca="false">IF(AND(AI309="Completed",AH309="Failed"),"Inconsistent - Completed Order with Failed Payment","OK")</f>
        <v>OK</v>
      </c>
      <c r="AK309" s="3" t="s">
        <v>54</v>
      </c>
      <c r="AL309" s="3" t="str">
        <f aca="false">IF(OR(T309="Negative - Invalid",T309="Above Allowed Range - Invalid",AE309="Invalid - Ship Before Order",AK309&lt;&gt;"Unique",AB309="Mismatch",AC309="Mismatch",AJ309&lt;&gt;"OK"),"Invalid",IF(OR(H309="Yes",O309="Yes",T309="Missing"),"Warning","Clean"))</f>
        <v>Clean</v>
      </c>
    </row>
    <row r="310" customFormat="false" ht="15" hidden="false" customHeight="true" outlineLevel="0" collapsed="false">
      <c r="A310" s="3" t="s">
        <v>1070</v>
      </c>
      <c r="B310" s="4" t="n">
        <v>45821</v>
      </c>
      <c r="C310" s="4" t="n">
        <v>45827</v>
      </c>
      <c r="D310" s="3" t="s">
        <v>1071</v>
      </c>
      <c r="E310" s="3" t="s">
        <v>168</v>
      </c>
      <c r="F310" s="3" t="s">
        <v>41</v>
      </c>
      <c r="G310" s="3" t="s">
        <v>42</v>
      </c>
      <c r="H310" s="3" t="s">
        <v>43</v>
      </c>
      <c r="I310" s="3" t="s">
        <v>44</v>
      </c>
      <c r="J310" s="3" t="s">
        <v>45</v>
      </c>
      <c r="K310" s="3" t="s">
        <v>62</v>
      </c>
      <c r="L310" s="3" t="s">
        <v>63</v>
      </c>
      <c r="M310" s="3" t="s">
        <v>1072</v>
      </c>
      <c r="N310" s="3" t="s">
        <v>72</v>
      </c>
      <c r="O310" s="3" t="s">
        <v>43</v>
      </c>
      <c r="P310" s="5" t="n">
        <v>4</v>
      </c>
      <c r="Q310" s="6" t="n">
        <v>731.57</v>
      </c>
      <c r="R310" s="3" t="s">
        <v>50</v>
      </c>
      <c r="S310" s="7" t="n">
        <v>0.2</v>
      </c>
      <c r="T310" s="3" t="s">
        <v>51</v>
      </c>
      <c r="U310" s="7" t="n">
        <f aca="false">IF(T310="Valid",S310,0)</f>
        <v>0.2</v>
      </c>
      <c r="V310" s="6" t="n">
        <v>2341.02</v>
      </c>
      <c r="W310" s="6" t="n">
        <v>1565.49</v>
      </c>
      <c r="X310" s="6" t="n">
        <v>775.53</v>
      </c>
      <c r="Y310" s="6" t="n">
        <f aca="false">P310*Q310*(1-U310)</f>
        <v>2341.024</v>
      </c>
      <c r="Z310" s="6" t="n">
        <f aca="false">Y310-W310</f>
        <v>775.534</v>
      </c>
      <c r="AA310" s="8" t="n">
        <f aca="false">IF(Y310=0,0,Z310/Y310)</f>
        <v>0.331279816012138</v>
      </c>
      <c r="AB310" s="3" t="str">
        <f aca="false">IF(ABS(V310-Y310)&gt;1,"Mismatch","OK")</f>
        <v>OK</v>
      </c>
      <c r="AC310" s="3" t="str">
        <f aca="false">IF(ABS(X310-Z310)&gt;1,"Mismatch","OK")</f>
        <v>OK</v>
      </c>
      <c r="AD310" s="5" t="n">
        <f aca="false">IF(OR(B310="",C310=""),"",C310-B310)</f>
        <v>6</v>
      </c>
      <c r="AE310" s="3" t="str">
        <f aca="false">IF(AD310="","Unknown",IF(AD310&lt;0,"Invalid - Ship Before Order","OK"))</f>
        <v>OK</v>
      </c>
      <c r="AF310" s="5" t="n">
        <f aca="false">IF(B310="","",MONTH(B310))</f>
        <v>6</v>
      </c>
      <c r="AG310" s="5" t="n">
        <f aca="false">IF(B310="","",YEAR(B310))</f>
        <v>2025</v>
      </c>
      <c r="AH310" s="3" t="s">
        <v>52</v>
      </c>
      <c r="AI310" s="3" t="s">
        <v>53</v>
      </c>
      <c r="AJ310" s="3" t="str">
        <f aca="false">IF(AND(AI310="Completed",AH310="Failed"),"Inconsistent - Completed Order with Failed Payment","OK")</f>
        <v>OK</v>
      </c>
      <c r="AK310" s="3" t="s">
        <v>54</v>
      </c>
      <c r="AL310" s="3" t="str">
        <f aca="false">IF(OR(T310="Negative - Invalid",T310="Above Allowed Range - Invalid",AE310="Invalid - Ship Before Order",AK310&lt;&gt;"Unique",AB310="Mismatch",AC310="Mismatch",AJ310&lt;&gt;"OK"),"Invalid",IF(OR(H310="Yes",O310="Yes",T310="Missing"),"Warning","Clean"))</f>
        <v>Clean</v>
      </c>
    </row>
    <row r="311" customFormat="false" ht="15" hidden="false" customHeight="true" outlineLevel="0" collapsed="false">
      <c r="A311" s="3" t="s">
        <v>1073</v>
      </c>
      <c r="B311" s="4" t="n">
        <v>45493</v>
      </c>
      <c r="C311" s="4" t="n">
        <v>45495</v>
      </c>
      <c r="D311" s="3" t="s">
        <v>1074</v>
      </c>
      <c r="E311" s="3" t="s">
        <v>87</v>
      </c>
      <c r="F311" s="3" t="s">
        <v>41</v>
      </c>
      <c r="G311" s="3" t="s">
        <v>78</v>
      </c>
      <c r="H311" s="3" t="s">
        <v>43</v>
      </c>
      <c r="I311" s="3" t="s">
        <v>281</v>
      </c>
      <c r="J311" s="3" t="s">
        <v>282</v>
      </c>
      <c r="K311" s="3" t="s">
        <v>62</v>
      </c>
      <c r="L311" s="3" t="s">
        <v>63</v>
      </c>
      <c r="M311" s="3" t="s">
        <v>1075</v>
      </c>
      <c r="N311" s="3" t="s">
        <v>72</v>
      </c>
      <c r="O311" s="3" t="s">
        <v>43</v>
      </c>
      <c r="P311" s="5" t="n">
        <v>7</v>
      </c>
      <c r="Q311" s="6" t="n">
        <v>2060.73</v>
      </c>
      <c r="R311" s="3" t="s">
        <v>203</v>
      </c>
      <c r="S311" s="7" t="n">
        <v>0.1</v>
      </c>
      <c r="T311" s="3" t="s">
        <v>51</v>
      </c>
      <c r="U311" s="7" t="n">
        <f aca="false">IF(T311="Valid",S311,0)</f>
        <v>0.1</v>
      </c>
      <c r="V311" s="6" t="n">
        <v>12982.6</v>
      </c>
      <c r="W311" s="6" t="n">
        <v>7246.36</v>
      </c>
      <c r="X311" s="6" t="n">
        <v>5736.24</v>
      </c>
      <c r="Y311" s="6" t="n">
        <f aca="false">P311*Q311*(1-U311)</f>
        <v>12982.599</v>
      </c>
      <c r="Z311" s="6" t="n">
        <f aca="false">Y311-W311</f>
        <v>5736.239</v>
      </c>
      <c r="AA311" s="8" t="n">
        <f aca="false">IF(Y311=0,0,Z311/Y311)</f>
        <v>0.441840574448922</v>
      </c>
      <c r="AB311" s="3" t="str">
        <f aca="false">IF(ABS(V311-Y311)&gt;1,"Mismatch","OK")</f>
        <v>OK</v>
      </c>
      <c r="AC311" s="3" t="str">
        <f aca="false">IF(ABS(X311-Z311)&gt;1,"Mismatch","OK")</f>
        <v>OK</v>
      </c>
      <c r="AD311" s="5" t="n">
        <f aca="false">IF(OR(B311="",C311=""),"",C311-B311)</f>
        <v>2</v>
      </c>
      <c r="AE311" s="3" t="str">
        <f aca="false">IF(AD311="","Unknown",IF(AD311&lt;0,"Invalid - Ship Before Order","OK"))</f>
        <v>OK</v>
      </c>
      <c r="AF311" s="5" t="n">
        <f aca="false">IF(B311="","",MONTH(B311))</f>
        <v>7</v>
      </c>
      <c r="AG311" s="5" t="n">
        <f aca="false">IF(B311="","",YEAR(B311))</f>
        <v>2024</v>
      </c>
      <c r="AH311" s="3" t="s">
        <v>52</v>
      </c>
      <c r="AI311" s="3" t="s">
        <v>93</v>
      </c>
      <c r="AJ311" s="3" t="str">
        <f aca="false">IF(AND(AI311="Completed",AH311="Failed"),"Inconsistent - Completed Order with Failed Payment","OK")</f>
        <v>OK</v>
      </c>
      <c r="AK311" s="3" t="s">
        <v>54</v>
      </c>
      <c r="AL311" s="3" t="str">
        <f aca="false">IF(OR(T311="Negative - Invalid",T311="Above Allowed Range - Invalid",AE311="Invalid - Ship Before Order",AK311&lt;&gt;"Unique",AB311="Mismatch",AC311="Mismatch",AJ311&lt;&gt;"OK"),"Invalid",IF(OR(H311="Yes",O311="Yes",T311="Missing"),"Warning","Clean"))</f>
        <v>Clean</v>
      </c>
    </row>
    <row r="312" customFormat="false" ht="15" hidden="false" customHeight="true" outlineLevel="0" collapsed="false">
      <c r="A312" s="3" t="s">
        <v>1076</v>
      </c>
      <c r="B312" s="4" t="n">
        <v>45477</v>
      </c>
      <c r="C312" s="4" t="n">
        <v>45481</v>
      </c>
      <c r="D312" s="3" t="s">
        <v>1077</v>
      </c>
      <c r="E312" s="3" t="s">
        <v>168</v>
      </c>
      <c r="F312" s="3" t="s">
        <v>58</v>
      </c>
      <c r="G312" s="3" t="s">
        <v>78</v>
      </c>
      <c r="H312" s="3" t="s">
        <v>43</v>
      </c>
      <c r="I312" s="3" t="s">
        <v>281</v>
      </c>
      <c r="J312" s="3" t="s">
        <v>282</v>
      </c>
      <c r="K312" s="3" t="s">
        <v>99</v>
      </c>
      <c r="L312" s="3" t="s">
        <v>308</v>
      </c>
      <c r="M312" s="3" t="s">
        <v>1078</v>
      </c>
      <c r="N312" s="3" t="s">
        <v>72</v>
      </c>
      <c r="O312" s="3" t="s">
        <v>43</v>
      </c>
      <c r="P312" s="5" t="n">
        <v>8</v>
      </c>
      <c r="Q312" s="6" t="n">
        <v>2034.25</v>
      </c>
      <c r="R312" s="3" t="s">
        <v>66</v>
      </c>
      <c r="S312" s="7" t="n">
        <v>0</v>
      </c>
      <c r="T312" s="3" t="s">
        <v>51</v>
      </c>
      <c r="U312" s="7" t="n">
        <f aca="false">IF(T312="Valid",S312,0)</f>
        <v>0</v>
      </c>
      <c r="V312" s="6" t="n">
        <v>16274</v>
      </c>
      <c r="W312" s="6" t="n">
        <v>9424.25</v>
      </c>
      <c r="X312" s="6" t="n">
        <v>6849.75</v>
      </c>
      <c r="Y312" s="6" t="n">
        <f aca="false">P312*Q312*(1-U312)</f>
        <v>16274</v>
      </c>
      <c r="Z312" s="6" t="n">
        <f aca="false">Y312-W312</f>
        <v>6849.75</v>
      </c>
      <c r="AA312" s="8" t="n">
        <f aca="false">IF(Y312=0,0,Z312/Y312)</f>
        <v>0.420901437876367</v>
      </c>
      <c r="AB312" s="3" t="str">
        <f aca="false">IF(ABS(V312-Y312)&gt;1,"Mismatch","OK")</f>
        <v>OK</v>
      </c>
      <c r="AC312" s="3" t="str">
        <f aca="false">IF(ABS(X312-Z312)&gt;1,"Mismatch","OK")</f>
        <v>OK</v>
      </c>
      <c r="AD312" s="5" t="n">
        <f aca="false">IF(OR(B312="",C312=""),"",C312-B312)</f>
        <v>4</v>
      </c>
      <c r="AE312" s="3" t="str">
        <f aca="false">IF(AD312="","Unknown",IF(AD312&lt;0,"Invalid - Ship Before Order","OK"))</f>
        <v>OK</v>
      </c>
      <c r="AF312" s="5" t="n">
        <f aca="false">IF(B312="","",MONTH(B312))</f>
        <v>7</v>
      </c>
      <c r="AG312" s="5" t="n">
        <f aca="false">IF(B312="","",YEAR(B312))</f>
        <v>2024</v>
      </c>
      <c r="AH312" s="3" t="s">
        <v>52</v>
      </c>
      <c r="AI312" s="3" t="s">
        <v>53</v>
      </c>
      <c r="AJ312" s="3" t="str">
        <f aca="false">IF(AND(AI312="Completed",AH312="Failed"),"Inconsistent - Completed Order with Failed Payment","OK")</f>
        <v>OK</v>
      </c>
      <c r="AK312" s="3" t="s">
        <v>54</v>
      </c>
      <c r="AL312" s="3" t="str">
        <f aca="false">IF(OR(T312="Negative - Invalid",T312="Above Allowed Range - Invalid",AE312="Invalid - Ship Before Order",AK312&lt;&gt;"Unique",AB312="Mismatch",AC312="Mismatch",AJ312&lt;&gt;"OK"),"Invalid",IF(OR(H312="Yes",O312="Yes",T312="Missing"),"Warning","Clean"))</f>
        <v>Clean</v>
      </c>
    </row>
    <row r="313" customFormat="false" ht="15" hidden="false" customHeight="true" outlineLevel="0" collapsed="false">
      <c r="A313" s="3" t="s">
        <v>1079</v>
      </c>
      <c r="B313" s="4" t="n">
        <v>45409</v>
      </c>
      <c r="C313" s="4" t="n">
        <v>45414</v>
      </c>
      <c r="D313" s="3" t="s">
        <v>1080</v>
      </c>
      <c r="E313" s="3" t="s">
        <v>57</v>
      </c>
      <c r="F313" s="3" t="s">
        <v>116</v>
      </c>
      <c r="G313" s="3" t="s">
        <v>78</v>
      </c>
      <c r="H313" s="3" t="s">
        <v>43</v>
      </c>
      <c r="I313" s="3" t="s">
        <v>206</v>
      </c>
      <c r="J313" s="3" t="s">
        <v>207</v>
      </c>
      <c r="K313" s="3" t="s">
        <v>46</v>
      </c>
      <c r="L313" s="3" t="s">
        <v>183</v>
      </c>
      <c r="M313" s="3" t="s">
        <v>1081</v>
      </c>
      <c r="N313" s="3" t="s">
        <v>49</v>
      </c>
      <c r="O313" s="3" t="s">
        <v>43</v>
      </c>
      <c r="P313" s="5" t="n">
        <v>5</v>
      </c>
      <c r="Q313" s="6" t="n">
        <v>554.04</v>
      </c>
      <c r="R313" s="3" t="s">
        <v>203</v>
      </c>
      <c r="S313" s="7" t="n">
        <v>0.1</v>
      </c>
      <c r="T313" s="3" t="s">
        <v>51</v>
      </c>
      <c r="U313" s="7" t="n">
        <f aca="false">IF(T313="Valid",S313,0)</f>
        <v>0.1</v>
      </c>
      <c r="V313" s="6" t="n">
        <v>2493.18</v>
      </c>
      <c r="W313" s="6" t="n">
        <v>1764</v>
      </c>
      <c r="X313" s="6" t="n">
        <v>729.18</v>
      </c>
      <c r="Y313" s="6" t="n">
        <f aca="false">P313*Q313*(1-U313)</f>
        <v>2493.18</v>
      </c>
      <c r="Z313" s="6" t="n">
        <f aca="false">Y313-W313</f>
        <v>729.18</v>
      </c>
      <c r="AA313" s="8" t="n">
        <f aca="false">IF(Y313=0,0,Z313/Y313)</f>
        <v>0.292469857772002</v>
      </c>
      <c r="AB313" s="3" t="str">
        <f aca="false">IF(ABS(V313-Y313)&gt;1,"Mismatch","OK")</f>
        <v>OK</v>
      </c>
      <c r="AC313" s="3" t="str">
        <f aca="false">IF(ABS(X313-Z313)&gt;1,"Mismatch","OK")</f>
        <v>OK</v>
      </c>
      <c r="AD313" s="5" t="n">
        <f aca="false">IF(OR(B313="",C313=""),"",C313-B313)</f>
        <v>5</v>
      </c>
      <c r="AE313" s="3" t="str">
        <f aca="false">IF(AD313="","Unknown",IF(AD313&lt;0,"Invalid - Ship Before Order","OK"))</f>
        <v>OK</v>
      </c>
      <c r="AF313" s="5" t="n">
        <f aca="false">IF(B313="","",MONTH(B313))</f>
        <v>4</v>
      </c>
      <c r="AG313" s="5" t="n">
        <f aca="false">IF(B313="","",YEAR(B313))</f>
        <v>2024</v>
      </c>
      <c r="AH313" s="3" t="s">
        <v>52</v>
      </c>
      <c r="AI313" s="3" t="s">
        <v>53</v>
      </c>
      <c r="AJ313" s="3" t="str">
        <f aca="false">IF(AND(AI313="Completed",AH313="Failed"),"Inconsistent - Completed Order with Failed Payment","OK")</f>
        <v>OK</v>
      </c>
      <c r="AK313" s="3" t="s">
        <v>54</v>
      </c>
      <c r="AL313" s="3" t="str">
        <f aca="false">IF(OR(T313="Negative - Invalid",T313="Above Allowed Range - Invalid",AE313="Invalid - Ship Before Order",AK313&lt;&gt;"Unique",AB313="Mismatch",AC313="Mismatch",AJ313&lt;&gt;"OK"),"Invalid",IF(OR(H313="Yes",O313="Yes",T313="Missing"),"Warning","Clean"))</f>
        <v>Clean</v>
      </c>
    </row>
    <row r="314" customFormat="false" ht="15" hidden="false" customHeight="true" outlineLevel="0" collapsed="false">
      <c r="A314" s="3" t="s">
        <v>1082</v>
      </c>
      <c r="B314" s="4" t="n">
        <v>45504</v>
      </c>
      <c r="C314" s="4" t="n">
        <v>45508</v>
      </c>
      <c r="D314" s="3" t="s">
        <v>1083</v>
      </c>
      <c r="E314" s="3" t="s">
        <v>40</v>
      </c>
      <c r="F314" s="3" t="s">
        <v>58</v>
      </c>
      <c r="G314" s="3" t="s">
        <v>59</v>
      </c>
      <c r="H314" s="3" t="s">
        <v>43</v>
      </c>
      <c r="I314" s="3" t="s">
        <v>196</v>
      </c>
      <c r="J314" s="3" t="s">
        <v>197</v>
      </c>
      <c r="K314" s="3" t="s">
        <v>99</v>
      </c>
      <c r="L314" s="3" t="s">
        <v>201</v>
      </c>
      <c r="M314" s="3" t="s">
        <v>1084</v>
      </c>
      <c r="N314" s="3" t="s">
        <v>83</v>
      </c>
      <c r="O314" s="3" t="s">
        <v>43</v>
      </c>
      <c r="P314" s="5" t="n">
        <v>8</v>
      </c>
      <c r="Q314" s="6" t="n">
        <v>2614.74</v>
      </c>
      <c r="R314" s="3"/>
      <c r="S314" s="7"/>
      <c r="T314" s="3" t="s">
        <v>230</v>
      </c>
      <c r="U314" s="7" t="n">
        <f aca="false">IF(T314="Valid",S314,0)</f>
        <v>0</v>
      </c>
      <c r="V314" s="6" t="n">
        <v>15688.44</v>
      </c>
      <c r="W314" s="6" t="n">
        <v>10047.33</v>
      </c>
      <c r="X314" s="6" t="n">
        <v>5641.11</v>
      </c>
      <c r="Y314" s="6" t="n">
        <f aca="false">P314*Q314*(1-U314)</f>
        <v>20917.92</v>
      </c>
      <c r="Z314" s="6" t="n">
        <f aca="false">Y314-W314</f>
        <v>10870.59</v>
      </c>
      <c r="AA314" s="8" t="n">
        <f aca="false">IF(Y314=0,0,Z314/Y314)</f>
        <v>0.519678342779779</v>
      </c>
      <c r="AB314" s="3" t="str">
        <f aca="false">IF(ABS(V314-Y314)&gt;1,"Mismatch","OK")</f>
        <v>Mismatch</v>
      </c>
      <c r="AC314" s="3" t="str">
        <f aca="false">IF(ABS(X314-Z314)&gt;1,"Mismatch","OK")</f>
        <v>Mismatch</v>
      </c>
      <c r="AD314" s="5" t="n">
        <f aca="false">IF(OR(B314="",C314=""),"",C314-B314)</f>
        <v>4</v>
      </c>
      <c r="AE314" s="3" t="str">
        <f aca="false">IF(AD314="","Unknown",IF(AD314&lt;0,"Invalid - Ship Before Order","OK"))</f>
        <v>OK</v>
      </c>
      <c r="AF314" s="5" t="n">
        <f aca="false">IF(B314="","",MONTH(B314))</f>
        <v>7</v>
      </c>
      <c r="AG314" s="5" t="n">
        <f aca="false">IF(B314="","",YEAR(B314))</f>
        <v>2024</v>
      </c>
      <c r="AH314" s="3" t="s">
        <v>52</v>
      </c>
      <c r="AI314" s="3" t="s">
        <v>93</v>
      </c>
      <c r="AJ314" s="3" t="str">
        <f aca="false">IF(AND(AI314="Completed",AH314="Failed"),"Inconsistent - Completed Order with Failed Payment","OK")</f>
        <v>OK</v>
      </c>
      <c r="AK314" s="3" t="s">
        <v>54</v>
      </c>
      <c r="AL314" s="3" t="str">
        <f aca="false">IF(OR(T314="Negative - Invalid",T314="Above Allowed Range - Invalid",AE314="Invalid - Ship Before Order",AK314&lt;&gt;"Unique",AB314="Mismatch",AC314="Mismatch",AJ314&lt;&gt;"OK"),"Invalid",IF(OR(H314="Yes",O314="Yes",T314="Missing"),"Warning","Clean"))</f>
        <v>Invalid</v>
      </c>
    </row>
    <row r="315" customFormat="false" ht="15" hidden="false" customHeight="true" outlineLevel="0" collapsed="false">
      <c r="A315" s="3" t="s">
        <v>1085</v>
      </c>
      <c r="B315" s="4" t="n">
        <v>45807</v>
      </c>
      <c r="C315" s="4" t="n">
        <v>45808</v>
      </c>
      <c r="D315" s="3" t="s">
        <v>1086</v>
      </c>
      <c r="E315" s="3" t="s">
        <v>145</v>
      </c>
      <c r="F315" s="3" t="s">
        <v>116</v>
      </c>
      <c r="G315" s="3" t="s">
        <v>42</v>
      </c>
      <c r="H315" s="3" t="s">
        <v>43</v>
      </c>
      <c r="I315" s="3" t="s">
        <v>163</v>
      </c>
      <c r="J315" s="3" t="s">
        <v>164</v>
      </c>
      <c r="K315" s="3" t="s">
        <v>99</v>
      </c>
      <c r="L315" s="3" t="s">
        <v>201</v>
      </c>
      <c r="M315" s="3" t="s">
        <v>1087</v>
      </c>
      <c r="N315" s="3" t="s">
        <v>72</v>
      </c>
      <c r="O315" s="3" t="s">
        <v>43</v>
      </c>
      <c r="P315" s="5" t="n">
        <v>8</v>
      </c>
      <c r="Q315" s="6" t="n">
        <v>2081.43</v>
      </c>
      <c r="R315" s="3" t="s">
        <v>84</v>
      </c>
      <c r="S315" s="7" t="n">
        <v>0.25</v>
      </c>
      <c r="T315" s="3" t="s">
        <v>51</v>
      </c>
      <c r="U315" s="7" t="n">
        <f aca="false">IF(T315="Valid",S315,0)</f>
        <v>0.25</v>
      </c>
      <c r="V315" s="6" t="n">
        <v>12488.58</v>
      </c>
      <c r="W315" s="6" t="n">
        <v>10717.4</v>
      </c>
      <c r="X315" s="6" t="n">
        <v>1771.18</v>
      </c>
      <c r="Y315" s="6" t="n">
        <f aca="false">P315*Q315*(1-U315)</f>
        <v>12488.58</v>
      </c>
      <c r="Z315" s="6" t="n">
        <f aca="false">Y315-W315</f>
        <v>1771.18</v>
      </c>
      <c r="AA315" s="8" t="n">
        <f aca="false">IF(Y315=0,0,Z315/Y315)</f>
        <v>0.141823970379338</v>
      </c>
      <c r="AB315" s="3" t="str">
        <f aca="false">IF(ABS(V315-Y315)&gt;1,"Mismatch","OK")</f>
        <v>OK</v>
      </c>
      <c r="AC315" s="3" t="str">
        <f aca="false">IF(ABS(X315-Z315)&gt;1,"Mismatch","OK")</f>
        <v>OK</v>
      </c>
      <c r="AD315" s="5" t="n">
        <f aca="false">IF(OR(B315="",C315=""),"",C315-B315)</f>
        <v>1</v>
      </c>
      <c r="AE315" s="3" t="str">
        <f aca="false">IF(AD315="","Unknown",IF(AD315&lt;0,"Invalid - Ship Before Order","OK"))</f>
        <v>OK</v>
      </c>
      <c r="AF315" s="5" t="n">
        <f aca="false">IF(B315="","",MONTH(B315))</f>
        <v>5</v>
      </c>
      <c r="AG315" s="5" t="n">
        <f aca="false">IF(B315="","",YEAR(B315))</f>
        <v>2025</v>
      </c>
      <c r="AH315" s="3" t="s">
        <v>129</v>
      </c>
      <c r="AI315" s="3" t="s">
        <v>93</v>
      </c>
      <c r="AJ315" s="3" t="str">
        <f aca="false">IF(AND(AI315="Completed",AH315="Failed"),"Inconsistent - Completed Order with Failed Payment","OK")</f>
        <v>OK</v>
      </c>
      <c r="AK315" s="3" t="s">
        <v>54</v>
      </c>
      <c r="AL315" s="3" t="str">
        <f aca="false">IF(OR(T315="Negative - Invalid",T315="Above Allowed Range - Invalid",AE315="Invalid - Ship Before Order",AK315&lt;&gt;"Unique",AB315="Mismatch",AC315="Mismatch",AJ315&lt;&gt;"OK"),"Invalid",IF(OR(H315="Yes",O315="Yes",T315="Missing"),"Warning","Clean"))</f>
        <v>Clean</v>
      </c>
    </row>
    <row r="316" customFormat="false" ht="15" hidden="false" customHeight="true" outlineLevel="0" collapsed="false">
      <c r="A316" s="3" t="s">
        <v>1088</v>
      </c>
      <c r="B316" s="4" t="n">
        <v>45795</v>
      </c>
      <c r="C316" s="4" t="n">
        <v>45797</v>
      </c>
      <c r="D316" s="3" t="s">
        <v>1089</v>
      </c>
      <c r="E316" s="3" t="s">
        <v>69</v>
      </c>
      <c r="F316" s="3" t="s">
        <v>116</v>
      </c>
      <c r="G316" s="3" t="s">
        <v>88</v>
      </c>
      <c r="H316" s="3" t="s">
        <v>43</v>
      </c>
      <c r="I316" s="3" t="s">
        <v>97</v>
      </c>
      <c r="J316" s="3" t="s">
        <v>98</v>
      </c>
      <c r="K316" s="3" t="s">
        <v>46</v>
      </c>
      <c r="L316" s="3" t="s">
        <v>117</v>
      </c>
      <c r="M316" s="3" t="s">
        <v>1090</v>
      </c>
      <c r="N316" s="3" t="s">
        <v>83</v>
      </c>
      <c r="O316" s="3" t="s">
        <v>43</v>
      </c>
      <c r="P316" s="5" t="n">
        <v>9</v>
      </c>
      <c r="Q316" s="6" t="n">
        <v>847.76</v>
      </c>
      <c r="R316" s="3" t="s">
        <v>107</v>
      </c>
      <c r="S316" s="7" t="n">
        <v>0.15</v>
      </c>
      <c r="T316" s="3" t="s">
        <v>51</v>
      </c>
      <c r="U316" s="7" t="n">
        <f aca="false">IF(T316="Valid",S316,0)</f>
        <v>0.15</v>
      </c>
      <c r="V316" s="6" t="n">
        <v>6485.36</v>
      </c>
      <c r="W316" s="6" t="n">
        <v>5376.17</v>
      </c>
      <c r="X316" s="6" t="n">
        <v>1109.19</v>
      </c>
      <c r="Y316" s="6" t="n">
        <f aca="false">P316*Q316*(1-U316)</f>
        <v>6485.364</v>
      </c>
      <c r="Z316" s="6" t="n">
        <f aca="false">Y316-W316</f>
        <v>1109.194</v>
      </c>
      <c r="AA316" s="8" t="n">
        <f aca="false">IF(Y316=0,0,Z316/Y316)</f>
        <v>0.171030338466738</v>
      </c>
      <c r="AB316" s="3" t="str">
        <f aca="false">IF(ABS(V316-Y316)&gt;1,"Mismatch","OK")</f>
        <v>OK</v>
      </c>
      <c r="AC316" s="3" t="str">
        <f aca="false">IF(ABS(X316-Z316)&gt;1,"Mismatch","OK")</f>
        <v>OK</v>
      </c>
      <c r="AD316" s="5" t="n">
        <f aca="false">IF(OR(B316="",C316=""),"",C316-B316)</f>
        <v>2</v>
      </c>
      <c r="AE316" s="3" t="str">
        <f aca="false">IF(AD316="","Unknown",IF(AD316&lt;0,"Invalid - Ship Before Order","OK"))</f>
        <v>OK</v>
      </c>
      <c r="AF316" s="5" t="n">
        <f aca="false">IF(B316="","",MONTH(B316))</f>
        <v>5</v>
      </c>
      <c r="AG316" s="5" t="n">
        <f aca="false">IF(B316="","",YEAR(B316))</f>
        <v>2025</v>
      </c>
      <c r="AH316" s="3" t="s">
        <v>185</v>
      </c>
      <c r="AI316" s="3" t="s">
        <v>130</v>
      </c>
      <c r="AJ316" s="3" t="str">
        <f aca="false">IF(AND(AI316="Completed",AH316="Failed"),"Inconsistent - Completed Order with Failed Payment","OK")</f>
        <v>OK</v>
      </c>
      <c r="AK316" s="3" t="s">
        <v>417</v>
      </c>
      <c r="AL316" s="3" t="str">
        <f aca="false">IF(OR(T316="Negative - Invalid",T316="Above Allowed Range - Invalid",AE316="Invalid - Ship Before Order",AK316&lt;&gt;"Unique",AB316="Mismatch",AC316="Mismatch",AJ316&lt;&gt;"OK"),"Invalid",IF(OR(H316="Yes",O316="Yes",T316="Missing"),"Warning","Clean"))</f>
        <v>Invalid</v>
      </c>
    </row>
    <row r="317" customFormat="false" ht="15" hidden="false" customHeight="true" outlineLevel="0" collapsed="false">
      <c r="A317" s="3" t="s">
        <v>1091</v>
      </c>
      <c r="B317" s="4" t="n">
        <v>45475</v>
      </c>
      <c r="C317" s="4" t="n">
        <v>45481</v>
      </c>
      <c r="D317" s="3" t="s">
        <v>1092</v>
      </c>
      <c r="E317" s="3" t="s">
        <v>168</v>
      </c>
      <c r="F317" s="3" t="s">
        <v>41</v>
      </c>
      <c r="G317" s="3" t="s">
        <v>42</v>
      </c>
      <c r="H317" s="3" t="s">
        <v>43</v>
      </c>
      <c r="I317" s="3" t="s">
        <v>384</v>
      </c>
      <c r="J317" s="3" t="s">
        <v>385</v>
      </c>
      <c r="K317" s="3" t="s">
        <v>46</v>
      </c>
      <c r="L317" s="3" t="s">
        <v>47</v>
      </c>
      <c r="M317" s="3" t="s">
        <v>1093</v>
      </c>
      <c r="N317" s="3" t="s">
        <v>83</v>
      </c>
      <c r="O317" s="3" t="s">
        <v>43</v>
      </c>
      <c r="P317" s="5" t="n">
        <v>9</v>
      </c>
      <c r="Q317" s="6" t="n">
        <v>3450.4</v>
      </c>
      <c r="R317" s="3" t="s">
        <v>128</v>
      </c>
      <c r="S317" s="7" t="n">
        <v>0.05</v>
      </c>
      <c r="T317" s="3" t="s">
        <v>51</v>
      </c>
      <c r="U317" s="7" t="n">
        <f aca="false">IF(T317="Valid",S317,0)</f>
        <v>0.05</v>
      </c>
      <c r="V317" s="6" t="n">
        <v>29500.92</v>
      </c>
      <c r="W317" s="6" t="n">
        <v>17989.68</v>
      </c>
      <c r="X317" s="6" t="n">
        <v>11511.24</v>
      </c>
      <c r="Y317" s="6" t="n">
        <f aca="false">P317*Q317*(1-U317)</f>
        <v>29500.92</v>
      </c>
      <c r="Z317" s="6" t="n">
        <f aca="false">Y317-W317</f>
        <v>11511.24</v>
      </c>
      <c r="AA317" s="8" t="n">
        <f aca="false">IF(Y317=0,0,Z317/Y317)</f>
        <v>0.390199356494645</v>
      </c>
      <c r="AB317" s="3" t="str">
        <f aca="false">IF(ABS(V317-Y317)&gt;1,"Mismatch","OK")</f>
        <v>OK</v>
      </c>
      <c r="AC317" s="3" t="str">
        <f aca="false">IF(ABS(X317-Z317)&gt;1,"Mismatch","OK")</f>
        <v>OK</v>
      </c>
      <c r="AD317" s="5" t="n">
        <f aca="false">IF(OR(B317="",C317=""),"",C317-B317)</f>
        <v>6</v>
      </c>
      <c r="AE317" s="3" t="str">
        <f aca="false">IF(AD317="","Unknown",IF(AD317&lt;0,"Invalid - Ship Before Order","OK"))</f>
        <v>OK</v>
      </c>
      <c r="AF317" s="5" t="n">
        <f aca="false">IF(B317="","",MONTH(B317))</f>
        <v>7</v>
      </c>
      <c r="AG317" s="5" t="n">
        <f aca="false">IF(B317="","",YEAR(B317))</f>
        <v>2024</v>
      </c>
      <c r="AH317" s="3" t="s">
        <v>138</v>
      </c>
      <c r="AI317" s="3" t="s">
        <v>130</v>
      </c>
      <c r="AJ317" s="3" t="str">
        <f aca="false">IF(AND(AI317="Completed",AH317="Failed"),"Inconsistent - Completed Order with Failed Payment","OK")</f>
        <v>OK</v>
      </c>
      <c r="AK317" s="3" t="s">
        <v>54</v>
      </c>
      <c r="AL317" s="3" t="str">
        <f aca="false">IF(OR(T317="Negative - Invalid",T317="Above Allowed Range - Invalid",AE317="Invalid - Ship Before Order",AK317&lt;&gt;"Unique",AB317="Mismatch",AC317="Mismatch",AJ317&lt;&gt;"OK"),"Invalid",IF(OR(H317="Yes",O317="Yes",T317="Missing"),"Warning","Clean"))</f>
        <v>Clean</v>
      </c>
    </row>
    <row r="318" customFormat="false" ht="15" hidden="false" customHeight="true" outlineLevel="0" collapsed="false">
      <c r="A318" s="3" t="s">
        <v>1094</v>
      </c>
      <c r="B318" s="4" t="n">
        <v>45338</v>
      </c>
      <c r="C318" s="4" t="n">
        <v>45340</v>
      </c>
      <c r="D318" s="3" t="s">
        <v>1095</v>
      </c>
      <c r="E318" s="3" t="s">
        <v>40</v>
      </c>
      <c r="F318" s="3" t="s">
        <v>116</v>
      </c>
      <c r="G318" s="3" t="s">
        <v>42</v>
      </c>
      <c r="H318" s="3" t="s">
        <v>43</v>
      </c>
      <c r="I318" s="3" t="s">
        <v>149</v>
      </c>
      <c r="J318" s="3" t="s">
        <v>150</v>
      </c>
      <c r="K318" s="3" t="s">
        <v>46</v>
      </c>
      <c r="L318" s="3" t="s">
        <v>117</v>
      </c>
      <c r="M318" s="3" t="s">
        <v>1096</v>
      </c>
      <c r="N318" s="3" t="s">
        <v>83</v>
      </c>
      <c r="O318" s="3" t="s">
        <v>43</v>
      </c>
      <c r="P318" s="5" t="n">
        <v>2</v>
      </c>
      <c r="Q318" s="6" t="n">
        <v>1947.53</v>
      </c>
      <c r="R318" s="3" t="s">
        <v>50</v>
      </c>
      <c r="S318" s="7" t="n">
        <v>0.2</v>
      </c>
      <c r="T318" s="3" t="s">
        <v>51</v>
      </c>
      <c r="U318" s="7" t="n">
        <f aca="false">IF(T318="Valid",S318,0)</f>
        <v>0.2</v>
      </c>
      <c r="V318" s="6" t="n">
        <v>3116.05</v>
      </c>
      <c r="W318" s="6" t="n">
        <v>1956.63</v>
      </c>
      <c r="X318" s="6" t="n">
        <v>1159.42</v>
      </c>
      <c r="Y318" s="6" t="n">
        <f aca="false">P318*Q318*(1-U318)</f>
        <v>3116.048</v>
      </c>
      <c r="Z318" s="6" t="n">
        <f aca="false">Y318-W318</f>
        <v>1159.418</v>
      </c>
      <c r="AA318" s="8" t="n">
        <f aca="false">IF(Y318=0,0,Z318/Y318)</f>
        <v>0.372079634203324</v>
      </c>
      <c r="AB318" s="3" t="str">
        <f aca="false">IF(ABS(V318-Y318)&gt;1,"Mismatch","OK")</f>
        <v>OK</v>
      </c>
      <c r="AC318" s="3" t="str">
        <f aca="false">IF(ABS(X318-Z318)&gt;1,"Mismatch","OK")</f>
        <v>OK</v>
      </c>
      <c r="AD318" s="5" t="n">
        <f aca="false">IF(OR(B318="",C318=""),"",C318-B318)</f>
        <v>2</v>
      </c>
      <c r="AE318" s="3" t="str">
        <f aca="false">IF(AD318="","Unknown",IF(AD318&lt;0,"Invalid - Ship Before Order","OK"))</f>
        <v>OK</v>
      </c>
      <c r="AF318" s="5" t="n">
        <f aca="false">IF(B318="","",MONTH(B318))</f>
        <v>2</v>
      </c>
      <c r="AG318" s="5" t="n">
        <f aca="false">IF(B318="","",YEAR(B318))</f>
        <v>2024</v>
      </c>
      <c r="AH318" s="3" t="s">
        <v>52</v>
      </c>
      <c r="AI318" s="3" t="s">
        <v>93</v>
      </c>
      <c r="AJ318" s="3" t="str">
        <f aca="false">IF(AND(AI318="Completed",AH318="Failed"),"Inconsistent - Completed Order with Failed Payment","OK")</f>
        <v>OK</v>
      </c>
      <c r="AK318" s="3" t="s">
        <v>54</v>
      </c>
      <c r="AL318" s="3" t="str">
        <f aca="false">IF(OR(T318="Negative - Invalid",T318="Above Allowed Range - Invalid",AE318="Invalid - Ship Before Order",AK318&lt;&gt;"Unique",AB318="Mismatch",AC318="Mismatch",AJ318&lt;&gt;"OK"),"Invalid",IF(OR(H318="Yes",O318="Yes",T318="Missing"),"Warning","Clean"))</f>
        <v>Clean</v>
      </c>
    </row>
    <row r="319" customFormat="false" ht="15" hidden="false" customHeight="true" outlineLevel="0" collapsed="false">
      <c r="A319" s="3" t="s">
        <v>1097</v>
      </c>
      <c r="B319" s="4" t="n">
        <v>45898</v>
      </c>
      <c r="C319" s="4" t="n">
        <v>45904</v>
      </c>
      <c r="D319" s="3" t="s">
        <v>1098</v>
      </c>
      <c r="E319" s="3" t="s">
        <v>104</v>
      </c>
      <c r="F319" s="3" t="s">
        <v>116</v>
      </c>
      <c r="G319" s="3" t="s">
        <v>78</v>
      </c>
      <c r="H319" s="3" t="s">
        <v>43</v>
      </c>
      <c r="I319" s="3" t="s">
        <v>216</v>
      </c>
      <c r="J319" s="3" t="s">
        <v>217</v>
      </c>
      <c r="K319" s="3" t="s">
        <v>62</v>
      </c>
      <c r="L319" s="3" t="s">
        <v>63</v>
      </c>
      <c r="M319" s="3" t="s">
        <v>1099</v>
      </c>
      <c r="N319" s="3" t="s">
        <v>72</v>
      </c>
      <c r="O319" s="3" t="s">
        <v>43</v>
      </c>
      <c r="P319" s="5" t="n">
        <v>9</v>
      </c>
      <c r="Q319" s="6" t="n">
        <v>2996.97</v>
      </c>
      <c r="R319" s="3" t="s">
        <v>107</v>
      </c>
      <c r="S319" s="7" t="n">
        <v>0.15</v>
      </c>
      <c r="T319" s="3" t="s">
        <v>51</v>
      </c>
      <c r="U319" s="7" t="n">
        <f aca="false">IF(T319="Valid",S319,0)</f>
        <v>0.15</v>
      </c>
      <c r="V319" s="6" t="n">
        <v>22926.82</v>
      </c>
      <c r="W319" s="6" t="n">
        <v>14621.59</v>
      </c>
      <c r="X319" s="6" t="n">
        <v>8305.23</v>
      </c>
      <c r="Y319" s="6" t="n">
        <f aca="false">P319*Q319*(1-U319)</f>
        <v>22926.8205</v>
      </c>
      <c r="Z319" s="6" t="n">
        <f aca="false">Y319-W319</f>
        <v>8305.2305</v>
      </c>
      <c r="AA319" s="8" t="n">
        <f aca="false">IF(Y319=0,0,Z319/Y319)</f>
        <v>0.362249553966718</v>
      </c>
      <c r="AB319" s="3" t="str">
        <f aca="false">IF(ABS(V319-Y319)&gt;1,"Mismatch","OK")</f>
        <v>OK</v>
      </c>
      <c r="AC319" s="3" t="str">
        <f aca="false">IF(ABS(X319-Z319)&gt;1,"Mismatch","OK")</f>
        <v>OK</v>
      </c>
      <c r="AD319" s="5" t="n">
        <f aca="false">IF(OR(B319="",C319=""),"",C319-B319)</f>
        <v>6</v>
      </c>
      <c r="AE319" s="3" t="str">
        <f aca="false">IF(AD319="","Unknown",IF(AD319&lt;0,"Invalid - Ship Before Order","OK"))</f>
        <v>OK</v>
      </c>
      <c r="AF319" s="5" t="n">
        <f aca="false">IF(B319="","",MONTH(B319))</f>
        <v>8</v>
      </c>
      <c r="AG319" s="5" t="n">
        <f aca="false">IF(B319="","",YEAR(B319))</f>
        <v>2025</v>
      </c>
      <c r="AH319" s="3" t="s">
        <v>52</v>
      </c>
      <c r="AI319" s="3" t="s">
        <v>53</v>
      </c>
      <c r="AJ319" s="3" t="str">
        <f aca="false">IF(AND(AI319="Completed",AH319="Failed"),"Inconsistent - Completed Order with Failed Payment","OK")</f>
        <v>OK</v>
      </c>
      <c r="AK319" s="3" t="s">
        <v>54</v>
      </c>
      <c r="AL319" s="3" t="str">
        <f aca="false">IF(OR(T319="Negative - Invalid",T319="Above Allowed Range - Invalid",AE319="Invalid - Ship Before Order",AK319&lt;&gt;"Unique",AB319="Mismatch",AC319="Mismatch",AJ319&lt;&gt;"OK"),"Invalid",IF(OR(H319="Yes",O319="Yes",T319="Missing"),"Warning","Clean"))</f>
        <v>Clean</v>
      </c>
    </row>
    <row r="320" customFormat="false" ht="15" hidden="false" customHeight="true" outlineLevel="0" collapsed="false">
      <c r="A320" s="3" t="s">
        <v>1100</v>
      </c>
      <c r="B320" s="4" t="n">
        <v>45407</v>
      </c>
      <c r="C320" s="4" t="n">
        <v>45412</v>
      </c>
      <c r="D320" s="3" t="s">
        <v>1101</v>
      </c>
      <c r="E320" s="3" t="s">
        <v>57</v>
      </c>
      <c r="F320" s="3" t="s">
        <v>58</v>
      </c>
      <c r="G320" s="3" t="s">
        <v>78</v>
      </c>
      <c r="H320" s="3" t="s">
        <v>43</v>
      </c>
      <c r="I320" s="3" t="s">
        <v>206</v>
      </c>
      <c r="J320" s="3" t="s">
        <v>207</v>
      </c>
      <c r="K320" s="3" t="s">
        <v>99</v>
      </c>
      <c r="L320" s="3" t="s">
        <v>201</v>
      </c>
      <c r="M320" s="3" t="s">
        <v>1102</v>
      </c>
      <c r="N320" s="3" t="s">
        <v>83</v>
      </c>
      <c r="O320" s="3" t="s">
        <v>43</v>
      </c>
      <c r="P320" s="5" t="n">
        <v>3</v>
      </c>
      <c r="Q320" s="6" t="n">
        <v>4149.46</v>
      </c>
      <c r="R320" s="3" t="s">
        <v>203</v>
      </c>
      <c r="S320" s="7" t="n">
        <v>0.1</v>
      </c>
      <c r="T320" s="3" t="s">
        <v>51</v>
      </c>
      <c r="U320" s="7" t="n">
        <f aca="false">IF(T320="Valid",S320,0)</f>
        <v>0.1</v>
      </c>
      <c r="V320" s="6" t="n">
        <v>11203.54</v>
      </c>
      <c r="W320" s="6" t="n">
        <v>8452.93</v>
      </c>
      <c r="X320" s="6" t="n">
        <v>2750.61</v>
      </c>
      <c r="Y320" s="6" t="n">
        <f aca="false">P320*Q320*(1-U320)</f>
        <v>11203.542</v>
      </c>
      <c r="Z320" s="6" t="n">
        <f aca="false">Y320-W320</f>
        <v>2750.612</v>
      </c>
      <c r="AA320" s="8" t="n">
        <f aca="false">IF(Y320=0,0,Z320/Y320)</f>
        <v>0.245512713747135</v>
      </c>
      <c r="AB320" s="3" t="str">
        <f aca="false">IF(ABS(V320-Y320)&gt;1,"Mismatch","OK")</f>
        <v>OK</v>
      </c>
      <c r="AC320" s="3" t="str">
        <f aca="false">IF(ABS(X320-Z320)&gt;1,"Mismatch","OK")</f>
        <v>OK</v>
      </c>
      <c r="AD320" s="5" t="n">
        <f aca="false">IF(OR(B320="",C320=""),"",C320-B320)</f>
        <v>5</v>
      </c>
      <c r="AE320" s="3" t="str">
        <f aca="false">IF(AD320="","Unknown",IF(AD320&lt;0,"Invalid - Ship Before Order","OK"))</f>
        <v>OK</v>
      </c>
      <c r="AF320" s="5" t="n">
        <f aca="false">IF(B320="","",MONTH(B320))</f>
        <v>4</v>
      </c>
      <c r="AG320" s="5" t="n">
        <f aca="false">IF(B320="","",YEAR(B320))</f>
        <v>2024</v>
      </c>
      <c r="AH320" s="3" t="s">
        <v>52</v>
      </c>
      <c r="AI320" s="3" t="s">
        <v>53</v>
      </c>
      <c r="AJ320" s="3" t="str">
        <f aca="false">IF(AND(AI320="Completed",AH320="Failed"),"Inconsistent - Completed Order with Failed Payment","OK")</f>
        <v>OK</v>
      </c>
      <c r="AK320" s="3" t="s">
        <v>54</v>
      </c>
      <c r="AL320" s="3" t="str">
        <f aca="false">IF(OR(T320="Negative - Invalid",T320="Above Allowed Range - Invalid",AE320="Invalid - Ship Before Order",AK320&lt;&gt;"Unique",AB320="Mismatch",AC320="Mismatch",AJ320&lt;&gt;"OK"),"Invalid",IF(OR(H320="Yes",O320="Yes",T320="Missing"),"Warning","Clean"))</f>
        <v>Clean</v>
      </c>
    </row>
    <row r="321" customFormat="false" ht="15" hidden="false" customHeight="true" outlineLevel="0" collapsed="false">
      <c r="A321" s="3" t="s">
        <v>1103</v>
      </c>
      <c r="B321" s="4" t="n">
        <v>45525</v>
      </c>
      <c r="C321" s="4" t="n">
        <v>45529</v>
      </c>
      <c r="D321" s="3" t="s">
        <v>1104</v>
      </c>
      <c r="E321" s="3" t="s">
        <v>192</v>
      </c>
      <c r="F321" s="3" t="s">
        <v>41</v>
      </c>
      <c r="G321" s="3" t="s">
        <v>88</v>
      </c>
      <c r="H321" s="3" t="s">
        <v>43</v>
      </c>
      <c r="I321" s="3" t="s">
        <v>211</v>
      </c>
      <c r="J321" s="3" t="s">
        <v>212</v>
      </c>
      <c r="K321" s="3" t="s">
        <v>46</v>
      </c>
      <c r="L321" s="3" t="s">
        <v>183</v>
      </c>
      <c r="M321" s="3" t="s">
        <v>1105</v>
      </c>
      <c r="N321" s="3" t="s">
        <v>72</v>
      </c>
      <c r="O321" s="3" t="s">
        <v>43</v>
      </c>
      <c r="P321" s="5" t="n">
        <v>1</v>
      </c>
      <c r="Q321" s="6" t="n">
        <v>270.28</v>
      </c>
      <c r="R321" s="3" t="s">
        <v>66</v>
      </c>
      <c r="S321" s="7" t="n">
        <v>0</v>
      </c>
      <c r="T321" s="3" t="s">
        <v>51</v>
      </c>
      <c r="U321" s="7" t="n">
        <f aca="false">IF(T321="Valid",S321,0)</f>
        <v>0</v>
      </c>
      <c r="V321" s="6" t="n">
        <v>270.28</v>
      </c>
      <c r="W321" s="6" t="n">
        <v>156.34</v>
      </c>
      <c r="X321" s="6" t="n">
        <v>113.94</v>
      </c>
      <c r="Y321" s="6" t="n">
        <f aca="false">P321*Q321*(1-U321)</f>
        <v>270.28</v>
      </c>
      <c r="Z321" s="6" t="n">
        <f aca="false">Y321-W321</f>
        <v>113.94</v>
      </c>
      <c r="AA321" s="8" t="n">
        <f aca="false">IF(Y321=0,0,Z321/Y321)</f>
        <v>0.421562823738345</v>
      </c>
      <c r="AB321" s="3" t="str">
        <f aca="false">IF(ABS(V321-Y321)&gt;1,"Mismatch","OK")</f>
        <v>OK</v>
      </c>
      <c r="AC321" s="3" t="str">
        <f aca="false">IF(ABS(X321-Z321)&gt;1,"Mismatch","OK")</f>
        <v>OK</v>
      </c>
      <c r="AD321" s="5" t="n">
        <f aca="false">IF(OR(B321="",C321=""),"",C321-B321)</f>
        <v>4</v>
      </c>
      <c r="AE321" s="3" t="str">
        <f aca="false">IF(AD321="","Unknown",IF(AD321&lt;0,"Invalid - Ship Before Order","OK"))</f>
        <v>OK</v>
      </c>
      <c r="AF321" s="5" t="n">
        <f aca="false">IF(B321="","",MONTH(B321))</f>
        <v>8</v>
      </c>
      <c r="AG321" s="5" t="n">
        <f aca="false">IF(B321="","",YEAR(B321))</f>
        <v>2024</v>
      </c>
      <c r="AH321" s="3" t="s">
        <v>52</v>
      </c>
      <c r="AI321" s="3" t="s">
        <v>53</v>
      </c>
      <c r="AJ321" s="3" t="str">
        <f aca="false">IF(AND(AI321="Completed",AH321="Failed"),"Inconsistent - Completed Order with Failed Payment","OK")</f>
        <v>OK</v>
      </c>
      <c r="AK321" s="3" t="s">
        <v>54</v>
      </c>
      <c r="AL321" s="3" t="str">
        <f aca="false">IF(OR(T321="Negative - Invalid",T321="Above Allowed Range - Invalid",AE321="Invalid - Ship Before Order",AK321&lt;&gt;"Unique",AB321="Mismatch",AC321="Mismatch",AJ321&lt;&gt;"OK"),"Invalid",IF(OR(H321="Yes",O321="Yes",T321="Missing"),"Warning","Clean"))</f>
        <v>Clean</v>
      </c>
    </row>
    <row r="322" customFormat="false" ht="15" hidden="false" customHeight="true" outlineLevel="0" collapsed="false">
      <c r="A322" s="3" t="s">
        <v>1106</v>
      </c>
      <c r="B322" s="4" t="n">
        <v>45630</v>
      </c>
      <c r="C322" s="4" t="n">
        <v>45632</v>
      </c>
      <c r="D322" s="3" t="s">
        <v>1107</v>
      </c>
      <c r="E322" s="3" t="s">
        <v>155</v>
      </c>
      <c r="F322" s="3" t="s">
        <v>121</v>
      </c>
      <c r="G322" s="3" t="s">
        <v>59</v>
      </c>
      <c r="H322" s="3" t="s">
        <v>43</v>
      </c>
      <c r="I322" s="3" t="s">
        <v>125</v>
      </c>
      <c r="J322" s="3" t="s">
        <v>126</v>
      </c>
      <c r="K322" s="3" t="s">
        <v>46</v>
      </c>
      <c r="L322" s="3" t="s">
        <v>70</v>
      </c>
      <c r="M322" s="3" t="s">
        <v>1108</v>
      </c>
      <c r="N322" s="3" t="s">
        <v>49</v>
      </c>
      <c r="O322" s="3" t="s">
        <v>43</v>
      </c>
      <c r="P322" s="5" t="n">
        <v>3</v>
      </c>
      <c r="Q322" s="6" t="n">
        <v>876.14</v>
      </c>
      <c r="R322" s="3" t="s">
        <v>499</v>
      </c>
      <c r="S322" s="7" t="n">
        <v>0.7</v>
      </c>
      <c r="T322" s="3" t="s">
        <v>74</v>
      </c>
      <c r="U322" s="7" t="n">
        <f aca="false">IF(T322="Valid",S322,0)</f>
        <v>0</v>
      </c>
      <c r="V322" s="6" t="n">
        <v>2628.42</v>
      </c>
      <c r="W322" s="6" t="n">
        <v>1541.54</v>
      </c>
      <c r="X322" s="6" t="n">
        <v>1086.88</v>
      </c>
      <c r="Y322" s="6" t="n">
        <f aca="false">P322*Q322*(1-U322)</f>
        <v>2628.42</v>
      </c>
      <c r="Z322" s="6" t="n">
        <f aca="false">Y322-W322</f>
        <v>1086.88</v>
      </c>
      <c r="AA322" s="8" t="n">
        <f aca="false">IF(Y322=0,0,Z322/Y322)</f>
        <v>0.413510778338317</v>
      </c>
      <c r="AB322" s="3" t="str">
        <f aca="false">IF(ABS(V322-Y322)&gt;1,"Mismatch","OK")</f>
        <v>OK</v>
      </c>
      <c r="AC322" s="3" t="str">
        <f aca="false">IF(ABS(X322-Z322)&gt;1,"Mismatch","OK")</f>
        <v>OK</v>
      </c>
      <c r="AD322" s="5" t="n">
        <f aca="false">IF(OR(B322="",C322=""),"",C322-B322)</f>
        <v>2</v>
      </c>
      <c r="AE322" s="3" t="str">
        <f aca="false">IF(AD322="","Unknown",IF(AD322&lt;0,"Invalid - Ship Before Order","OK"))</f>
        <v>OK</v>
      </c>
      <c r="AF322" s="5" t="n">
        <f aca="false">IF(B322="","",MONTH(B322))</f>
        <v>12</v>
      </c>
      <c r="AG322" s="5" t="n">
        <f aca="false">IF(B322="","",YEAR(B322))</f>
        <v>2024</v>
      </c>
      <c r="AH322" s="3" t="s">
        <v>138</v>
      </c>
      <c r="AI322" s="3" t="s">
        <v>130</v>
      </c>
      <c r="AJ322" s="3" t="str">
        <f aca="false">IF(AND(AI322="Completed",AH322="Failed"),"Inconsistent - Completed Order with Failed Payment","OK")</f>
        <v>OK</v>
      </c>
      <c r="AK322" s="3" t="s">
        <v>54</v>
      </c>
      <c r="AL322" s="3" t="str">
        <f aca="false">IF(OR(T322="Negative - Invalid",T322="Above Allowed Range - Invalid",AE322="Invalid - Ship Before Order",AK322&lt;&gt;"Unique",AB322="Mismatch",AC322="Mismatch",AJ322&lt;&gt;"OK"),"Invalid",IF(OR(H322="Yes",O322="Yes",T322="Missing"),"Warning","Clean"))</f>
        <v>Invalid</v>
      </c>
    </row>
    <row r="323" customFormat="false" ht="15" hidden="false" customHeight="true" outlineLevel="0" collapsed="false">
      <c r="A323" s="3" t="s">
        <v>1109</v>
      </c>
      <c r="B323" s="4" t="n">
        <v>45466</v>
      </c>
      <c r="C323" s="4" t="n">
        <v>45473</v>
      </c>
      <c r="D323" s="3" t="s">
        <v>1110</v>
      </c>
      <c r="E323" s="3" t="s">
        <v>104</v>
      </c>
      <c r="F323" s="3" t="s">
        <v>58</v>
      </c>
      <c r="G323" s="3" t="s">
        <v>88</v>
      </c>
      <c r="H323" s="3" t="s">
        <v>43</v>
      </c>
      <c r="I323" s="3" t="s">
        <v>221</v>
      </c>
      <c r="J323" s="3" t="s">
        <v>222</v>
      </c>
      <c r="K323" s="3" t="s">
        <v>99</v>
      </c>
      <c r="L323" s="3" t="s">
        <v>100</v>
      </c>
      <c r="M323" s="3" t="s">
        <v>1111</v>
      </c>
      <c r="N323" s="3" t="s">
        <v>65</v>
      </c>
      <c r="O323" s="3" t="s">
        <v>43</v>
      </c>
      <c r="P323" s="5" t="n">
        <v>4</v>
      </c>
      <c r="Q323" s="6" t="n">
        <v>674.82</v>
      </c>
      <c r="R323" s="3" t="s">
        <v>66</v>
      </c>
      <c r="S323" s="7" t="n">
        <v>0</v>
      </c>
      <c r="T323" s="3" t="s">
        <v>51</v>
      </c>
      <c r="U323" s="7" t="n">
        <f aca="false">IF(T323="Valid",S323,0)</f>
        <v>0</v>
      </c>
      <c r="V323" s="6" t="n">
        <v>2699.28</v>
      </c>
      <c r="W323" s="6" t="n">
        <v>1759.76</v>
      </c>
      <c r="X323" s="6" t="n">
        <v>939.52</v>
      </c>
      <c r="Y323" s="6" t="n">
        <f aca="false">P323*Q323*(1-U323)</f>
        <v>2699.28</v>
      </c>
      <c r="Z323" s="6" t="n">
        <f aca="false">Y323-W323</f>
        <v>939.52</v>
      </c>
      <c r="AA323" s="8" t="n">
        <f aca="false">IF(Y323=0,0,Z323/Y323)</f>
        <v>0.348063187220296</v>
      </c>
      <c r="AB323" s="3" t="str">
        <f aca="false">IF(ABS(V323-Y323)&gt;1,"Mismatch","OK")</f>
        <v>OK</v>
      </c>
      <c r="AC323" s="3" t="str">
        <f aca="false">IF(ABS(X323-Z323)&gt;1,"Mismatch","OK")</f>
        <v>OK</v>
      </c>
      <c r="AD323" s="5" t="n">
        <f aca="false">IF(OR(B323="",C323=""),"",C323-B323)</f>
        <v>7</v>
      </c>
      <c r="AE323" s="3" t="str">
        <f aca="false">IF(AD323="","Unknown",IF(AD323&lt;0,"Invalid - Ship Before Order","OK"))</f>
        <v>OK</v>
      </c>
      <c r="AF323" s="5" t="n">
        <f aca="false">IF(B323="","",MONTH(B323))</f>
        <v>6</v>
      </c>
      <c r="AG323" s="5" t="n">
        <f aca="false">IF(B323="","",YEAR(B323))</f>
        <v>2024</v>
      </c>
      <c r="AH323" s="3" t="s">
        <v>185</v>
      </c>
      <c r="AI323" s="3" t="s">
        <v>93</v>
      </c>
      <c r="AJ323" s="3" t="str">
        <f aca="false">IF(AND(AI323="Completed",AH323="Failed"),"Inconsistent - Completed Order with Failed Payment","OK")</f>
        <v>OK</v>
      </c>
      <c r="AK323" s="3" t="s">
        <v>54</v>
      </c>
      <c r="AL323" s="3" t="str">
        <f aca="false">IF(OR(T323="Negative - Invalid",T323="Above Allowed Range - Invalid",AE323="Invalid - Ship Before Order",AK323&lt;&gt;"Unique",AB323="Mismatch",AC323="Mismatch",AJ323&lt;&gt;"OK"),"Invalid",IF(OR(H323="Yes",O323="Yes",T323="Missing"),"Warning","Clean"))</f>
        <v>Clean</v>
      </c>
    </row>
    <row r="324" customFormat="false" ht="15" hidden="false" customHeight="true" outlineLevel="0" collapsed="false">
      <c r="A324" s="3" t="s">
        <v>1112</v>
      </c>
      <c r="B324" s="4" t="n">
        <v>45608</v>
      </c>
      <c r="C324" s="4" t="n">
        <v>45608</v>
      </c>
      <c r="D324" s="3" t="s">
        <v>1113</v>
      </c>
      <c r="E324" s="3" t="s">
        <v>69</v>
      </c>
      <c r="F324" s="3" t="s">
        <v>41</v>
      </c>
      <c r="G324" s="3" t="s">
        <v>42</v>
      </c>
      <c r="H324" s="3" t="s">
        <v>43</v>
      </c>
      <c r="I324" s="3" t="s">
        <v>163</v>
      </c>
      <c r="J324" s="3" t="s">
        <v>164</v>
      </c>
      <c r="K324" s="3" t="s">
        <v>99</v>
      </c>
      <c r="L324" s="3" t="s">
        <v>201</v>
      </c>
      <c r="M324" s="3" t="s">
        <v>1114</v>
      </c>
      <c r="N324" s="3" t="s">
        <v>49</v>
      </c>
      <c r="O324" s="3" t="s">
        <v>43</v>
      </c>
      <c r="P324" s="5" t="n">
        <v>6</v>
      </c>
      <c r="Q324" s="6" t="n">
        <v>1369.48</v>
      </c>
      <c r="R324" s="3" t="s">
        <v>107</v>
      </c>
      <c r="S324" s="7" t="n">
        <v>0.15</v>
      </c>
      <c r="T324" s="3" t="s">
        <v>51</v>
      </c>
      <c r="U324" s="7" t="n">
        <f aca="false">IF(T324="Valid",S324,0)</f>
        <v>0.15</v>
      </c>
      <c r="V324" s="6" t="n">
        <v>6984.35</v>
      </c>
      <c r="W324" s="6" t="n">
        <v>4023.63</v>
      </c>
      <c r="X324" s="6" t="n">
        <v>2960.72</v>
      </c>
      <c r="Y324" s="6" t="n">
        <f aca="false">P324*Q324*(1-U324)</f>
        <v>6984.348</v>
      </c>
      <c r="Z324" s="6" t="n">
        <f aca="false">Y324-W324</f>
        <v>2960.718</v>
      </c>
      <c r="AA324" s="8" t="n">
        <f aca="false">IF(Y324=0,0,Z324/Y324)</f>
        <v>0.423907571615847</v>
      </c>
      <c r="AB324" s="3" t="str">
        <f aca="false">IF(ABS(V324-Y324)&gt;1,"Mismatch","OK")</f>
        <v>OK</v>
      </c>
      <c r="AC324" s="3" t="str">
        <f aca="false">IF(ABS(X324-Z324)&gt;1,"Mismatch","OK")</f>
        <v>OK</v>
      </c>
      <c r="AD324" s="5" t="n">
        <f aca="false">IF(OR(B324="",C324=""),"",C324-B324)</f>
        <v>0</v>
      </c>
      <c r="AE324" s="3" t="str">
        <f aca="false">IF(AD324="","Unknown",IF(AD324&lt;0,"Invalid - Ship Before Order","OK"))</f>
        <v>OK</v>
      </c>
      <c r="AF324" s="5" t="n">
        <f aca="false">IF(B324="","",MONTH(B324))</f>
        <v>11</v>
      </c>
      <c r="AG324" s="5" t="n">
        <f aca="false">IF(B324="","",YEAR(B324))</f>
        <v>2024</v>
      </c>
      <c r="AH324" s="3" t="s">
        <v>52</v>
      </c>
      <c r="AI324" s="3" t="s">
        <v>53</v>
      </c>
      <c r="AJ324" s="3" t="str">
        <f aca="false">IF(AND(AI324="Completed",AH324="Failed"),"Inconsistent - Completed Order with Failed Payment","OK")</f>
        <v>OK</v>
      </c>
      <c r="AK324" s="3" t="s">
        <v>54</v>
      </c>
      <c r="AL324" s="3" t="str">
        <f aca="false">IF(OR(T324="Negative - Invalid",T324="Above Allowed Range - Invalid",AE324="Invalid - Ship Before Order",AK324&lt;&gt;"Unique",AB324="Mismatch",AC324="Mismatch",AJ324&lt;&gt;"OK"),"Invalid",IF(OR(H324="Yes",O324="Yes",T324="Missing"),"Warning","Clean"))</f>
        <v>Clean</v>
      </c>
    </row>
    <row r="325" customFormat="false" ht="15" hidden="false" customHeight="true" outlineLevel="0" collapsed="false">
      <c r="A325" s="3" t="s">
        <v>1115</v>
      </c>
      <c r="B325" s="4" t="n">
        <v>45347</v>
      </c>
      <c r="C325" s="4" t="n">
        <v>45351</v>
      </c>
      <c r="D325" s="3" t="s">
        <v>1116</v>
      </c>
      <c r="E325" s="3" t="s">
        <v>69</v>
      </c>
      <c r="F325" s="3" t="s">
        <v>58</v>
      </c>
      <c r="G325" s="3" t="s">
        <v>88</v>
      </c>
      <c r="H325" s="3" t="s">
        <v>43</v>
      </c>
      <c r="I325" s="3" t="s">
        <v>221</v>
      </c>
      <c r="J325" s="3" t="s">
        <v>222</v>
      </c>
      <c r="K325" s="3" t="s">
        <v>62</v>
      </c>
      <c r="L325" s="3" t="s">
        <v>81</v>
      </c>
      <c r="M325" s="3" t="s">
        <v>179</v>
      </c>
      <c r="N325" s="3" t="s">
        <v>83</v>
      </c>
      <c r="O325" s="3" t="s">
        <v>43</v>
      </c>
      <c r="P325" s="5" t="n">
        <v>9</v>
      </c>
      <c r="Q325" s="6" t="n">
        <v>1331.46</v>
      </c>
      <c r="R325" s="3" t="s">
        <v>107</v>
      </c>
      <c r="S325" s="7" t="n">
        <v>0.15</v>
      </c>
      <c r="T325" s="3" t="s">
        <v>51</v>
      </c>
      <c r="U325" s="7" t="n">
        <f aca="false">IF(T325="Valid",S325,0)</f>
        <v>0.15</v>
      </c>
      <c r="V325" s="6" t="n">
        <v>10185.67</v>
      </c>
      <c r="W325" s="6" t="n">
        <v>6479.31</v>
      </c>
      <c r="X325" s="6" t="n">
        <v>3706.36</v>
      </c>
      <c r="Y325" s="6" t="n">
        <f aca="false">P325*Q325*(1-U325)</f>
        <v>10185.669</v>
      </c>
      <c r="Z325" s="6" t="n">
        <f aca="false">Y325-W325</f>
        <v>3706.359</v>
      </c>
      <c r="AA325" s="8" t="n">
        <f aca="false">IF(Y325=0,0,Z325/Y325)</f>
        <v>0.363879780503372</v>
      </c>
      <c r="AB325" s="3" t="str">
        <f aca="false">IF(ABS(V325-Y325)&gt;1,"Mismatch","OK")</f>
        <v>OK</v>
      </c>
      <c r="AC325" s="3" t="str">
        <f aca="false">IF(ABS(X325-Z325)&gt;1,"Mismatch","OK")</f>
        <v>OK</v>
      </c>
      <c r="AD325" s="5" t="n">
        <f aca="false">IF(OR(B325="",C325=""),"",C325-B325)</f>
        <v>4</v>
      </c>
      <c r="AE325" s="3" t="str">
        <f aca="false">IF(AD325="","Unknown",IF(AD325&lt;0,"Invalid - Ship Before Order","OK"))</f>
        <v>OK</v>
      </c>
      <c r="AF325" s="5" t="n">
        <f aca="false">IF(B325="","",MONTH(B325))</f>
        <v>2</v>
      </c>
      <c r="AG325" s="5" t="n">
        <f aca="false">IF(B325="","",YEAR(B325))</f>
        <v>2024</v>
      </c>
      <c r="AH325" s="3" t="s">
        <v>52</v>
      </c>
      <c r="AI325" s="3" t="s">
        <v>53</v>
      </c>
      <c r="AJ325" s="3" t="str">
        <f aca="false">IF(AND(AI325="Completed",AH325="Failed"),"Inconsistent - Completed Order with Failed Payment","OK")</f>
        <v>OK</v>
      </c>
      <c r="AK325" s="3" t="s">
        <v>54</v>
      </c>
      <c r="AL325" s="3" t="str">
        <f aca="false">IF(OR(T325="Negative - Invalid",T325="Above Allowed Range - Invalid",AE325="Invalid - Ship Before Order",AK325&lt;&gt;"Unique",AB325="Mismatch",AC325="Mismatch",AJ325&lt;&gt;"OK"),"Invalid",IF(OR(H325="Yes",O325="Yes",T325="Missing"),"Warning","Clean"))</f>
        <v>Clean</v>
      </c>
    </row>
    <row r="326" customFormat="false" ht="15" hidden="false" customHeight="true" outlineLevel="0" collapsed="false">
      <c r="A326" s="3" t="s">
        <v>1117</v>
      </c>
      <c r="B326" s="4" t="n">
        <v>45869</v>
      </c>
      <c r="C326" s="4" t="n">
        <v>45871</v>
      </c>
      <c r="D326" s="3" t="s">
        <v>1118</v>
      </c>
      <c r="E326" s="3" t="s">
        <v>168</v>
      </c>
      <c r="F326" s="3" t="s">
        <v>121</v>
      </c>
      <c r="G326" s="3" t="s">
        <v>78</v>
      </c>
      <c r="H326" s="3" t="s">
        <v>43</v>
      </c>
      <c r="I326" s="3" t="s">
        <v>110</v>
      </c>
      <c r="J326" s="3" t="s">
        <v>111</v>
      </c>
      <c r="K326" s="3" t="s">
        <v>46</v>
      </c>
      <c r="L326" s="3" t="s">
        <v>117</v>
      </c>
      <c r="M326" s="3" t="s">
        <v>1119</v>
      </c>
      <c r="N326" s="3" t="s">
        <v>65</v>
      </c>
      <c r="O326" s="3" t="s">
        <v>43</v>
      </c>
      <c r="P326" s="5" t="n">
        <v>1</v>
      </c>
      <c r="Q326" s="6" t="n">
        <v>1947.88</v>
      </c>
      <c r="R326" s="3" t="s">
        <v>107</v>
      </c>
      <c r="S326" s="7" t="n">
        <v>0.15</v>
      </c>
      <c r="T326" s="3" t="s">
        <v>51</v>
      </c>
      <c r="U326" s="7" t="n">
        <f aca="false">IF(T326="Valid",S326,0)</f>
        <v>0.15</v>
      </c>
      <c r="V326" s="6" t="n">
        <v>1655.7</v>
      </c>
      <c r="W326" s="6" t="n">
        <v>1354.8</v>
      </c>
      <c r="X326" s="6" t="n">
        <v>300.9</v>
      </c>
      <c r="Y326" s="6" t="n">
        <f aca="false">P326*Q326*(1-U326)</f>
        <v>1655.698</v>
      </c>
      <c r="Z326" s="6" t="n">
        <f aca="false">Y326-W326</f>
        <v>300.898</v>
      </c>
      <c r="AA326" s="8" t="n">
        <f aca="false">IF(Y326=0,0,Z326/Y326)</f>
        <v>0.181734833284814</v>
      </c>
      <c r="AB326" s="3" t="str">
        <f aca="false">IF(ABS(V326-Y326)&gt;1,"Mismatch","OK")</f>
        <v>OK</v>
      </c>
      <c r="AC326" s="3" t="str">
        <f aca="false">IF(ABS(X326-Z326)&gt;1,"Mismatch","OK")</f>
        <v>OK</v>
      </c>
      <c r="AD326" s="5" t="n">
        <f aca="false">IF(OR(B326="",C326=""),"",C326-B326)</f>
        <v>2</v>
      </c>
      <c r="AE326" s="3" t="str">
        <f aca="false">IF(AD326="","Unknown",IF(AD326&lt;0,"Invalid - Ship Before Order","OK"))</f>
        <v>OK</v>
      </c>
      <c r="AF326" s="5" t="n">
        <f aca="false">IF(B326="","",MONTH(B326))</f>
        <v>7</v>
      </c>
      <c r="AG326" s="5" t="n">
        <f aca="false">IF(B326="","",YEAR(B326))</f>
        <v>2025</v>
      </c>
      <c r="AH326" s="3" t="s">
        <v>52</v>
      </c>
      <c r="AI326" s="3" t="s">
        <v>130</v>
      </c>
      <c r="AJ326" s="3" t="str">
        <f aca="false">IF(AND(AI326="Completed",AH326="Failed"),"Inconsistent - Completed Order with Failed Payment","OK")</f>
        <v>OK</v>
      </c>
      <c r="AK326" s="3" t="s">
        <v>54</v>
      </c>
      <c r="AL326" s="3" t="str">
        <f aca="false">IF(OR(T326="Negative - Invalid",T326="Above Allowed Range - Invalid",AE326="Invalid - Ship Before Order",AK326&lt;&gt;"Unique",AB326="Mismatch",AC326="Mismatch",AJ326&lt;&gt;"OK"),"Invalid",IF(OR(H326="Yes",O326="Yes",T326="Missing"),"Warning","Clean"))</f>
        <v>Clean</v>
      </c>
    </row>
    <row r="327" customFormat="false" ht="15" hidden="false" customHeight="true" outlineLevel="0" collapsed="false">
      <c r="A327" s="3" t="s">
        <v>1120</v>
      </c>
      <c r="B327" s="4" t="n">
        <v>45916</v>
      </c>
      <c r="C327" s="4" t="n">
        <v>45922</v>
      </c>
      <c r="D327" s="3" t="s">
        <v>1121</v>
      </c>
      <c r="E327" s="3" t="s">
        <v>159</v>
      </c>
      <c r="F327" s="3" t="s">
        <v>121</v>
      </c>
      <c r="G327" s="3" t="s">
        <v>59</v>
      </c>
      <c r="H327" s="3" t="s">
        <v>43</v>
      </c>
      <c r="I327" s="3" t="s">
        <v>125</v>
      </c>
      <c r="J327" s="3" t="s">
        <v>126</v>
      </c>
      <c r="K327" s="3" t="s">
        <v>99</v>
      </c>
      <c r="L327" s="3" t="s">
        <v>105</v>
      </c>
      <c r="M327" s="3" t="s">
        <v>1122</v>
      </c>
      <c r="N327" s="3" t="s">
        <v>49</v>
      </c>
      <c r="O327" s="3" t="s">
        <v>43</v>
      </c>
      <c r="P327" s="5" t="n">
        <v>5</v>
      </c>
      <c r="Q327" s="6" t="n">
        <v>3671.2</v>
      </c>
      <c r="R327" s="3" t="s">
        <v>107</v>
      </c>
      <c r="S327" s="7" t="n">
        <v>0.15</v>
      </c>
      <c r="T327" s="3" t="s">
        <v>51</v>
      </c>
      <c r="U327" s="7" t="n">
        <f aca="false">IF(T327="Valid",S327,0)</f>
        <v>0.15</v>
      </c>
      <c r="V327" s="6" t="n">
        <v>15602.6</v>
      </c>
      <c r="W327" s="6" t="n">
        <v>11908.52</v>
      </c>
      <c r="X327" s="6" t="n">
        <v>3694.08</v>
      </c>
      <c r="Y327" s="6" t="n">
        <f aca="false">P327*Q327*(1-U327)</f>
        <v>15602.6</v>
      </c>
      <c r="Z327" s="6" t="n">
        <f aca="false">Y327-W327</f>
        <v>3694.08</v>
      </c>
      <c r="AA327" s="8" t="n">
        <f aca="false">IF(Y327=0,0,Z327/Y327)</f>
        <v>0.236760539910015</v>
      </c>
      <c r="AB327" s="3" t="str">
        <f aca="false">IF(ABS(V327-Y327)&gt;1,"Mismatch","OK")</f>
        <v>OK</v>
      </c>
      <c r="AC327" s="3" t="str">
        <f aca="false">IF(ABS(X327-Z327)&gt;1,"Mismatch","OK")</f>
        <v>OK</v>
      </c>
      <c r="AD327" s="5" t="n">
        <f aca="false">IF(OR(B327="",C327=""),"",C327-B327)</f>
        <v>6</v>
      </c>
      <c r="AE327" s="3" t="str">
        <f aca="false">IF(AD327="","Unknown",IF(AD327&lt;0,"Invalid - Ship Before Order","OK"))</f>
        <v>OK</v>
      </c>
      <c r="AF327" s="5" t="n">
        <f aca="false">IF(B327="","",MONTH(B327))</f>
        <v>9</v>
      </c>
      <c r="AG327" s="5" t="n">
        <f aca="false">IF(B327="","",YEAR(B327))</f>
        <v>2025</v>
      </c>
      <c r="AH327" s="3" t="s">
        <v>52</v>
      </c>
      <c r="AI327" s="3" t="s">
        <v>53</v>
      </c>
      <c r="AJ327" s="3" t="str">
        <f aca="false">IF(AND(AI327="Completed",AH327="Failed"),"Inconsistent - Completed Order with Failed Payment","OK")</f>
        <v>OK</v>
      </c>
      <c r="AK327" s="3" t="s">
        <v>54</v>
      </c>
      <c r="AL327" s="3" t="str">
        <f aca="false">IF(OR(T327="Negative - Invalid",T327="Above Allowed Range - Invalid",AE327="Invalid - Ship Before Order",AK327&lt;&gt;"Unique",AB327="Mismatch",AC327="Mismatch",AJ327&lt;&gt;"OK"),"Invalid",IF(OR(H327="Yes",O327="Yes",T327="Missing"),"Warning","Clean"))</f>
        <v>Clean</v>
      </c>
    </row>
    <row r="328" customFormat="false" ht="15" hidden="false" customHeight="true" outlineLevel="0" collapsed="false">
      <c r="A328" s="3" t="s">
        <v>1123</v>
      </c>
      <c r="B328" s="4" t="n">
        <v>45860</v>
      </c>
      <c r="C328" s="4" t="n">
        <v>45860</v>
      </c>
      <c r="D328" s="3" t="s">
        <v>1124</v>
      </c>
      <c r="E328" s="3" t="s">
        <v>159</v>
      </c>
      <c r="F328" s="3" t="s">
        <v>116</v>
      </c>
      <c r="G328" s="3" t="s">
        <v>59</v>
      </c>
      <c r="H328" s="3" t="s">
        <v>43</v>
      </c>
      <c r="I328" s="3" t="s">
        <v>262</v>
      </c>
      <c r="J328" s="3" t="s">
        <v>263</v>
      </c>
      <c r="K328" s="3" t="s">
        <v>62</v>
      </c>
      <c r="L328" s="3" t="s">
        <v>81</v>
      </c>
      <c r="M328" s="3" t="s">
        <v>1125</v>
      </c>
      <c r="N328" s="3" t="s">
        <v>65</v>
      </c>
      <c r="O328" s="3" t="s">
        <v>43</v>
      </c>
      <c r="P328" s="5" t="n">
        <v>5</v>
      </c>
      <c r="Q328" s="6" t="n">
        <v>3187.05</v>
      </c>
      <c r="R328" s="3" t="s">
        <v>128</v>
      </c>
      <c r="S328" s="7" t="n">
        <v>0.05</v>
      </c>
      <c r="T328" s="3" t="s">
        <v>51</v>
      </c>
      <c r="U328" s="7" t="n">
        <f aca="false">IF(T328="Valid",S328,0)</f>
        <v>0.05</v>
      </c>
      <c r="V328" s="6" t="n">
        <v>15138.49</v>
      </c>
      <c r="W328" s="6" t="n">
        <v>11235.72</v>
      </c>
      <c r="X328" s="6" t="n">
        <v>3902.77</v>
      </c>
      <c r="Y328" s="6" t="n">
        <f aca="false">P328*Q328*(1-U328)</f>
        <v>15138.4875</v>
      </c>
      <c r="Z328" s="6" t="n">
        <f aca="false">Y328-W328</f>
        <v>3902.7675</v>
      </c>
      <c r="AA328" s="8" t="n">
        <f aca="false">IF(Y328=0,0,Z328/Y328)</f>
        <v>0.25780432160082</v>
      </c>
      <c r="AB328" s="3" t="str">
        <f aca="false">IF(ABS(V328-Y328)&gt;1,"Mismatch","OK")</f>
        <v>OK</v>
      </c>
      <c r="AC328" s="3" t="str">
        <f aca="false">IF(ABS(X328-Z328)&gt;1,"Mismatch","OK")</f>
        <v>OK</v>
      </c>
      <c r="AD328" s="5" t="n">
        <f aca="false">IF(OR(B328="",C328=""),"",C328-B328)</f>
        <v>0</v>
      </c>
      <c r="AE328" s="3" t="str">
        <f aca="false">IF(AD328="","Unknown",IF(AD328&lt;0,"Invalid - Ship Before Order","OK"))</f>
        <v>OK</v>
      </c>
      <c r="AF328" s="5" t="n">
        <f aca="false">IF(B328="","",MONTH(B328))</f>
        <v>7</v>
      </c>
      <c r="AG328" s="5" t="n">
        <f aca="false">IF(B328="","",YEAR(B328))</f>
        <v>2025</v>
      </c>
      <c r="AH328" s="3" t="s">
        <v>52</v>
      </c>
      <c r="AI328" s="3" t="s">
        <v>53</v>
      </c>
      <c r="AJ328" s="3" t="str">
        <f aca="false">IF(AND(AI328="Completed",AH328="Failed"),"Inconsistent - Completed Order with Failed Payment","OK")</f>
        <v>OK</v>
      </c>
      <c r="AK328" s="3" t="s">
        <v>54</v>
      </c>
      <c r="AL328" s="3" t="str">
        <f aca="false">IF(OR(T328="Negative - Invalid",T328="Above Allowed Range - Invalid",AE328="Invalid - Ship Before Order",AK328&lt;&gt;"Unique",AB328="Mismatch",AC328="Mismatch",AJ328&lt;&gt;"OK"),"Invalid",IF(OR(H328="Yes",O328="Yes",T328="Missing"),"Warning","Clean"))</f>
        <v>Clean</v>
      </c>
    </row>
    <row r="329" customFormat="false" ht="15" hidden="false" customHeight="true" outlineLevel="0" collapsed="false">
      <c r="A329" s="3" t="s">
        <v>1126</v>
      </c>
      <c r="B329" s="4" t="n">
        <v>45497</v>
      </c>
      <c r="C329" s="4" t="n">
        <v>45500</v>
      </c>
      <c r="D329" s="3" t="s">
        <v>1127</v>
      </c>
      <c r="E329" s="3" t="s">
        <v>69</v>
      </c>
      <c r="F329" s="3" t="s">
        <v>41</v>
      </c>
      <c r="G329" s="3" t="s">
        <v>88</v>
      </c>
      <c r="H329" s="3" t="s">
        <v>43</v>
      </c>
      <c r="I329" s="3" t="s">
        <v>44</v>
      </c>
      <c r="J329" s="3" t="s">
        <v>136</v>
      </c>
      <c r="K329" s="3" t="s">
        <v>99</v>
      </c>
      <c r="L329" s="3" t="s">
        <v>100</v>
      </c>
      <c r="M329" s="3" t="s">
        <v>1128</v>
      </c>
      <c r="N329" s="3" t="s">
        <v>49</v>
      </c>
      <c r="O329" s="3" t="s">
        <v>43</v>
      </c>
      <c r="P329" s="5" t="n">
        <v>3</v>
      </c>
      <c r="Q329" s="6" t="n">
        <v>1834.55</v>
      </c>
      <c r="R329" s="3" t="s">
        <v>50</v>
      </c>
      <c r="S329" s="7" t="n">
        <v>0.2</v>
      </c>
      <c r="T329" s="3" t="s">
        <v>51</v>
      </c>
      <c r="U329" s="7" t="n">
        <f aca="false">IF(T329="Valid",S329,0)</f>
        <v>0.2</v>
      </c>
      <c r="V329" s="6" t="n">
        <v>4402.92</v>
      </c>
      <c r="W329" s="6" t="n">
        <v>2993.94</v>
      </c>
      <c r="X329" s="6" t="n">
        <v>1408.98</v>
      </c>
      <c r="Y329" s="6" t="n">
        <f aca="false">P329*Q329*(1-U329)</f>
        <v>4402.92</v>
      </c>
      <c r="Z329" s="6" t="n">
        <f aca="false">Y329-W329</f>
        <v>1408.98</v>
      </c>
      <c r="AA329" s="8" t="n">
        <f aca="false">IF(Y329=0,0,Z329/Y329)</f>
        <v>0.320010356763239</v>
      </c>
      <c r="AB329" s="3" t="str">
        <f aca="false">IF(ABS(V329-Y329)&gt;1,"Mismatch","OK")</f>
        <v>OK</v>
      </c>
      <c r="AC329" s="3" t="str">
        <f aca="false">IF(ABS(X329-Z329)&gt;1,"Mismatch","OK")</f>
        <v>OK</v>
      </c>
      <c r="AD329" s="5" t="n">
        <f aca="false">IF(OR(B329="",C329=""),"",C329-B329)</f>
        <v>3</v>
      </c>
      <c r="AE329" s="3" t="str">
        <f aca="false">IF(AD329="","Unknown",IF(AD329&lt;0,"Invalid - Ship Before Order","OK"))</f>
        <v>OK</v>
      </c>
      <c r="AF329" s="5" t="n">
        <f aca="false">IF(B329="","",MONTH(B329))</f>
        <v>7</v>
      </c>
      <c r="AG329" s="5" t="n">
        <f aca="false">IF(B329="","",YEAR(B329))</f>
        <v>2024</v>
      </c>
      <c r="AH329" s="3" t="s">
        <v>138</v>
      </c>
      <c r="AI329" s="3" t="s">
        <v>93</v>
      </c>
      <c r="AJ329" s="3" t="str">
        <f aca="false">IF(AND(AI329="Completed",AH329="Failed"),"Inconsistent - Completed Order with Failed Payment","OK")</f>
        <v>OK</v>
      </c>
      <c r="AK329" s="3" t="s">
        <v>54</v>
      </c>
      <c r="AL329" s="3" t="str">
        <f aca="false">IF(OR(T329="Negative - Invalid",T329="Above Allowed Range - Invalid",AE329="Invalid - Ship Before Order",AK329&lt;&gt;"Unique",AB329="Mismatch",AC329="Mismatch",AJ329&lt;&gt;"OK"),"Invalid",IF(OR(H329="Yes",O329="Yes",T329="Missing"),"Warning","Clean"))</f>
        <v>Clean</v>
      </c>
    </row>
    <row r="330" customFormat="false" ht="15" hidden="false" customHeight="true" outlineLevel="0" collapsed="false">
      <c r="A330" s="3" t="s">
        <v>1129</v>
      </c>
      <c r="B330" s="4" t="n">
        <v>45806</v>
      </c>
      <c r="C330" s="4" t="n">
        <v>45812</v>
      </c>
      <c r="D330" s="3" t="s">
        <v>1130</v>
      </c>
      <c r="E330" s="3" t="s">
        <v>192</v>
      </c>
      <c r="F330" s="3" t="s">
        <v>41</v>
      </c>
      <c r="G330" s="3" t="s">
        <v>88</v>
      </c>
      <c r="H330" s="3" t="s">
        <v>43</v>
      </c>
      <c r="I330" s="3" t="s">
        <v>89</v>
      </c>
      <c r="J330" s="3" t="s">
        <v>90</v>
      </c>
      <c r="K330" s="3" t="s">
        <v>46</v>
      </c>
      <c r="L330" s="3" t="s">
        <v>151</v>
      </c>
      <c r="M330" s="3" t="s">
        <v>1131</v>
      </c>
      <c r="N330" s="3" t="s">
        <v>72</v>
      </c>
      <c r="O330" s="3" t="s">
        <v>43</v>
      </c>
      <c r="P330" s="5" t="n">
        <v>6</v>
      </c>
      <c r="Q330" s="6" t="n">
        <v>3100.68</v>
      </c>
      <c r="R330" s="3" t="s">
        <v>66</v>
      </c>
      <c r="S330" s="7" t="n">
        <v>0</v>
      </c>
      <c r="T330" s="3" t="s">
        <v>51</v>
      </c>
      <c r="U330" s="7" t="n">
        <f aca="false">IF(T330="Valid",S330,0)</f>
        <v>0</v>
      </c>
      <c r="V330" s="6" t="n">
        <v>18604.08</v>
      </c>
      <c r="W330" s="6" t="n">
        <v>15834.3</v>
      </c>
      <c r="X330" s="6" t="n">
        <v>2769.78</v>
      </c>
      <c r="Y330" s="6" t="n">
        <f aca="false">P330*Q330*(1-U330)</f>
        <v>18604.08</v>
      </c>
      <c r="Z330" s="6" t="n">
        <f aca="false">Y330-W330</f>
        <v>2769.78</v>
      </c>
      <c r="AA330" s="8" t="n">
        <f aca="false">IF(Y330=0,0,Z330/Y330)</f>
        <v>0.148880245623541</v>
      </c>
      <c r="AB330" s="3" t="str">
        <f aca="false">IF(ABS(V330-Y330)&gt;1,"Mismatch","OK")</f>
        <v>OK</v>
      </c>
      <c r="AC330" s="3" t="str">
        <f aca="false">IF(ABS(X330-Z330)&gt;1,"Mismatch","OK")</f>
        <v>OK</v>
      </c>
      <c r="AD330" s="5" t="n">
        <f aca="false">IF(OR(B330="",C330=""),"",C330-B330)</f>
        <v>6</v>
      </c>
      <c r="AE330" s="3" t="str">
        <f aca="false">IF(AD330="","Unknown",IF(AD330&lt;0,"Invalid - Ship Before Order","OK"))</f>
        <v>OK</v>
      </c>
      <c r="AF330" s="5" t="n">
        <f aca="false">IF(B330="","",MONTH(B330))</f>
        <v>5</v>
      </c>
      <c r="AG330" s="5" t="n">
        <f aca="false">IF(B330="","",YEAR(B330))</f>
        <v>2025</v>
      </c>
      <c r="AH330" s="3" t="s">
        <v>52</v>
      </c>
      <c r="AI330" s="3" t="s">
        <v>53</v>
      </c>
      <c r="AJ330" s="3" t="str">
        <f aca="false">IF(AND(AI330="Completed",AH330="Failed"),"Inconsistent - Completed Order with Failed Payment","OK")</f>
        <v>OK</v>
      </c>
      <c r="AK330" s="3" t="s">
        <v>54</v>
      </c>
      <c r="AL330" s="3" t="str">
        <f aca="false">IF(OR(T330="Negative - Invalid",T330="Above Allowed Range - Invalid",AE330="Invalid - Ship Before Order",AK330&lt;&gt;"Unique",AB330="Mismatch",AC330="Mismatch",AJ330&lt;&gt;"OK"),"Invalid",IF(OR(H330="Yes",O330="Yes",T330="Missing"),"Warning","Clean"))</f>
        <v>Clean</v>
      </c>
    </row>
    <row r="331" customFormat="false" ht="15" hidden="false" customHeight="true" outlineLevel="0" collapsed="false">
      <c r="A331" s="3" t="s">
        <v>1132</v>
      </c>
      <c r="B331" s="4" t="n">
        <v>45789</v>
      </c>
      <c r="C331" s="4" t="n">
        <v>45795</v>
      </c>
      <c r="D331" s="3" t="s">
        <v>1133</v>
      </c>
      <c r="E331" s="3" t="s">
        <v>104</v>
      </c>
      <c r="F331" s="3" t="s">
        <v>58</v>
      </c>
      <c r="G331" s="3" t="s">
        <v>88</v>
      </c>
      <c r="H331" s="3" t="s">
        <v>43</v>
      </c>
      <c r="I331" s="3" t="s">
        <v>89</v>
      </c>
      <c r="J331" s="3" t="s">
        <v>90</v>
      </c>
      <c r="K331" s="3" t="s">
        <v>46</v>
      </c>
      <c r="L331" s="3" t="s">
        <v>151</v>
      </c>
      <c r="M331" s="3" t="s">
        <v>1134</v>
      </c>
      <c r="N331" s="3" t="s">
        <v>83</v>
      </c>
      <c r="O331" s="3" t="s">
        <v>43</v>
      </c>
      <c r="P331" s="5" t="n">
        <v>4</v>
      </c>
      <c r="Q331" s="6" t="n">
        <v>4053.03</v>
      </c>
      <c r="R331" s="3" t="s">
        <v>128</v>
      </c>
      <c r="S331" s="7" t="n">
        <v>0.05</v>
      </c>
      <c r="T331" s="3" t="s">
        <v>51</v>
      </c>
      <c r="U331" s="7" t="n">
        <f aca="false">IF(T331="Valid",S331,0)</f>
        <v>0.05</v>
      </c>
      <c r="V331" s="6" t="n">
        <v>15401.51</v>
      </c>
      <c r="W331" s="6" t="n">
        <v>8650.42</v>
      </c>
      <c r="X331" s="6" t="n">
        <v>6751.09</v>
      </c>
      <c r="Y331" s="6" t="n">
        <f aca="false">P331*Q331*(1-U331)</f>
        <v>15401.514</v>
      </c>
      <c r="Z331" s="6" t="n">
        <f aca="false">Y331-W331</f>
        <v>6751.094</v>
      </c>
      <c r="AA331" s="8" t="n">
        <f aca="false">IF(Y331=0,0,Z331/Y331)</f>
        <v>0.438339633363317</v>
      </c>
      <c r="AB331" s="3" t="str">
        <f aca="false">IF(ABS(V331-Y331)&gt;1,"Mismatch","OK")</f>
        <v>OK</v>
      </c>
      <c r="AC331" s="3" t="str">
        <f aca="false">IF(ABS(X331-Z331)&gt;1,"Mismatch","OK")</f>
        <v>OK</v>
      </c>
      <c r="AD331" s="5" t="n">
        <f aca="false">IF(OR(B331="",C331=""),"",C331-B331)</f>
        <v>6</v>
      </c>
      <c r="AE331" s="3" t="str">
        <f aca="false">IF(AD331="","Unknown",IF(AD331&lt;0,"Invalid - Ship Before Order","OK"))</f>
        <v>OK</v>
      </c>
      <c r="AF331" s="5" t="n">
        <f aca="false">IF(B331="","",MONTH(B331))</f>
        <v>5</v>
      </c>
      <c r="AG331" s="5" t="n">
        <f aca="false">IF(B331="","",YEAR(B331))</f>
        <v>2025</v>
      </c>
      <c r="AH331" s="3" t="s">
        <v>52</v>
      </c>
      <c r="AI331" s="3" t="s">
        <v>53</v>
      </c>
      <c r="AJ331" s="3" t="str">
        <f aca="false">IF(AND(AI331="Completed",AH331="Failed"),"Inconsistent - Completed Order with Failed Payment","OK")</f>
        <v>OK</v>
      </c>
      <c r="AK331" s="3" t="s">
        <v>54</v>
      </c>
      <c r="AL331" s="3" t="str">
        <f aca="false">IF(OR(T331="Negative - Invalid",T331="Above Allowed Range - Invalid",AE331="Invalid - Ship Before Order",AK331&lt;&gt;"Unique",AB331="Mismatch",AC331="Mismatch",AJ331&lt;&gt;"OK"),"Invalid",IF(OR(H331="Yes",O331="Yes",T331="Missing"),"Warning","Clean"))</f>
        <v>Clean</v>
      </c>
    </row>
    <row r="332" customFormat="false" ht="15" hidden="false" customHeight="true" outlineLevel="0" collapsed="false">
      <c r="A332" s="3" t="s">
        <v>1135</v>
      </c>
      <c r="B332" s="4" t="n">
        <v>45428</v>
      </c>
      <c r="C332" s="4" t="n">
        <v>45436</v>
      </c>
      <c r="D332" s="3" t="s">
        <v>1136</v>
      </c>
      <c r="E332" s="3" t="s">
        <v>77</v>
      </c>
      <c r="F332" s="3" t="s">
        <v>121</v>
      </c>
      <c r="G332" s="3" t="s">
        <v>42</v>
      </c>
      <c r="H332" s="3" t="s">
        <v>43</v>
      </c>
      <c r="I332" s="3" t="s">
        <v>149</v>
      </c>
      <c r="J332" s="3" t="s">
        <v>150</v>
      </c>
      <c r="K332" s="3" t="s">
        <v>99</v>
      </c>
      <c r="L332" s="3" t="s">
        <v>100</v>
      </c>
      <c r="M332" s="3" t="s">
        <v>1137</v>
      </c>
      <c r="N332" s="3" t="s">
        <v>65</v>
      </c>
      <c r="O332" s="3" t="s">
        <v>43</v>
      </c>
      <c r="P332" s="5" t="n">
        <v>1</v>
      </c>
      <c r="Q332" s="6" t="n">
        <v>783.09</v>
      </c>
      <c r="R332" s="3" t="s">
        <v>66</v>
      </c>
      <c r="S332" s="7" t="n">
        <v>0</v>
      </c>
      <c r="T332" s="3" t="s">
        <v>51</v>
      </c>
      <c r="U332" s="7" t="n">
        <f aca="false">IF(T332="Valid",S332,0)</f>
        <v>0</v>
      </c>
      <c r="V332" s="6" t="n">
        <v>783.09</v>
      </c>
      <c r="W332" s="6" t="n">
        <v>503.89</v>
      </c>
      <c r="X332" s="6" t="n">
        <v>279.2</v>
      </c>
      <c r="Y332" s="6" t="n">
        <f aca="false">P332*Q332*(1-U332)</f>
        <v>783.09</v>
      </c>
      <c r="Z332" s="6" t="n">
        <f aca="false">Y332-W332</f>
        <v>279.2</v>
      </c>
      <c r="AA332" s="8" t="n">
        <f aca="false">IF(Y332=0,0,Z332/Y332)</f>
        <v>0.356536285739826</v>
      </c>
      <c r="AB332" s="3" t="str">
        <f aca="false">IF(ABS(V332-Y332)&gt;1,"Mismatch","OK")</f>
        <v>OK</v>
      </c>
      <c r="AC332" s="3" t="str">
        <f aca="false">IF(ABS(X332-Z332)&gt;1,"Mismatch","OK")</f>
        <v>OK</v>
      </c>
      <c r="AD332" s="5" t="n">
        <f aca="false">IF(OR(B332="",C332=""),"",C332-B332)</f>
        <v>8</v>
      </c>
      <c r="AE332" s="3" t="str">
        <f aca="false">IF(AD332="","Unknown",IF(AD332&lt;0,"Invalid - Ship Before Order","OK"))</f>
        <v>OK</v>
      </c>
      <c r="AF332" s="5" t="n">
        <f aca="false">IF(B332="","",MONTH(B332))</f>
        <v>5</v>
      </c>
      <c r="AG332" s="5" t="n">
        <f aca="false">IF(B332="","",YEAR(B332))</f>
        <v>2024</v>
      </c>
      <c r="AH332" s="3" t="s">
        <v>185</v>
      </c>
      <c r="AI332" s="3" t="s">
        <v>93</v>
      </c>
      <c r="AJ332" s="3" t="str">
        <f aca="false">IF(AND(AI332="Completed",AH332="Failed"),"Inconsistent - Completed Order with Failed Payment","OK")</f>
        <v>OK</v>
      </c>
      <c r="AK332" s="3" t="s">
        <v>54</v>
      </c>
      <c r="AL332" s="3" t="str">
        <f aca="false">IF(OR(T332="Negative - Invalid",T332="Above Allowed Range - Invalid",AE332="Invalid - Ship Before Order",AK332&lt;&gt;"Unique",AB332="Mismatch",AC332="Mismatch",AJ332&lt;&gt;"OK"),"Invalid",IF(OR(H332="Yes",O332="Yes",T332="Missing"),"Warning","Clean"))</f>
        <v>Clean</v>
      </c>
    </row>
    <row r="333" customFormat="false" ht="15" hidden="false" customHeight="true" outlineLevel="0" collapsed="false">
      <c r="A333" s="3" t="s">
        <v>1138</v>
      </c>
      <c r="B333" s="4" t="n">
        <v>45630</v>
      </c>
      <c r="C333" s="4" t="n">
        <v>45632</v>
      </c>
      <c r="D333" s="3" t="s">
        <v>1139</v>
      </c>
      <c r="E333" s="3" t="s">
        <v>159</v>
      </c>
      <c r="F333" s="3" t="s">
        <v>121</v>
      </c>
      <c r="G333" s="3" t="s">
        <v>59</v>
      </c>
      <c r="H333" s="3" t="s">
        <v>43</v>
      </c>
      <c r="I333" s="3" t="s">
        <v>60</v>
      </c>
      <c r="J333" s="3" t="s">
        <v>61</v>
      </c>
      <c r="K333" s="3" t="s">
        <v>46</v>
      </c>
      <c r="L333" s="3" t="s">
        <v>183</v>
      </c>
      <c r="M333" s="3" t="s">
        <v>1140</v>
      </c>
      <c r="N333" s="3" t="s">
        <v>49</v>
      </c>
      <c r="O333" s="3" t="s">
        <v>43</v>
      </c>
      <c r="P333" s="5" t="n">
        <v>4</v>
      </c>
      <c r="Q333" s="6" t="n">
        <v>2685.66</v>
      </c>
      <c r="R333" s="3" t="s">
        <v>66</v>
      </c>
      <c r="S333" s="7" t="n">
        <v>0</v>
      </c>
      <c r="T333" s="3" t="s">
        <v>51</v>
      </c>
      <c r="U333" s="7" t="n">
        <f aca="false">IF(T333="Valid",S333,0)</f>
        <v>0</v>
      </c>
      <c r="V333" s="6" t="n">
        <v>10742.64</v>
      </c>
      <c r="W333" s="6" t="n">
        <v>6477.37</v>
      </c>
      <c r="X333" s="6" t="n">
        <v>4265.27</v>
      </c>
      <c r="Y333" s="6" t="n">
        <f aca="false">P333*Q333*(1-U333)</f>
        <v>10742.64</v>
      </c>
      <c r="Z333" s="6" t="n">
        <f aca="false">Y333-W333</f>
        <v>4265.27</v>
      </c>
      <c r="AA333" s="8" t="n">
        <f aca="false">IF(Y333=0,0,Z333/Y333)</f>
        <v>0.397041137001705</v>
      </c>
      <c r="AB333" s="3" t="str">
        <f aca="false">IF(ABS(V333-Y333)&gt;1,"Mismatch","OK")</f>
        <v>OK</v>
      </c>
      <c r="AC333" s="3" t="str">
        <f aca="false">IF(ABS(X333-Z333)&gt;1,"Mismatch","OK")</f>
        <v>OK</v>
      </c>
      <c r="AD333" s="5" t="n">
        <f aca="false">IF(OR(B333="",C333=""),"",C333-B333)</f>
        <v>2</v>
      </c>
      <c r="AE333" s="3" t="str">
        <f aca="false">IF(AD333="","Unknown",IF(AD333&lt;0,"Invalid - Ship Before Order","OK"))</f>
        <v>OK</v>
      </c>
      <c r="AF333" s="5" t="n">
        <f aca="false">IF(B333="","",MONTH(B333))</f>
        <v>12</v>
      </c>
      <c r="AG333" s="5" t="n">
        <f aca="false">IF(B333="","",YEAR(B333))</f>
        <v>2024</v>
      </c>
      <c r="AH333" s="3" t="s">
        <v>52</v>
      </c>
      <c r="AI333" s="3" t="s">
        <v>130</v>
      </c>
      <c r="AJ333" s="3" t="str">
        <f aca="false">IF(AND(AI333="Completed",AH333="Failed"),"Inconsistent - Completed Order with Failed Payment","OK")</f>
        <v>OK</v>
      </c>
      <c r="AK333" s="3" t="s">
        <v>417</v>
      </c>
      <c r="AL333" s="3" t="str">
        <f aca="false">IF(OR(T333="Negative - Invalid",T333="Above Allowed Range - Invalid",AE333="Invalid - Ship Before Order",AK333&lt;&gt;"Unique",AB333="Mismatch",AC333="Mismatch",AJ333&lt;&gt;"OK"),"Invalid",IF(OR(H333="Yes",O333="Yes",T333="Missing"),"Warning","Clean"))</f>
        <v>Invalid</v>
      </c>
    </row>
    <row r="334" customFormat="false" ht="15" hidden="false" customHeight="true" outlineLevel="0" collapsed="false">
      <c r="A334" s="3" t="s">
        <v>1141</v>
      </c>
      <c r="B334" s="4" t="n">
        <v>45804</v>
      </c>
      <c r="C334" s="4" t="n">
        <v>45805</v>
      </c>
      <c r="D334" s="3" t="s">
        <v>1142</v>
      </c>
      <c r="E334" s="3" t="s">
        <v>155</v>
      </c>
      <c r="F334" s="3" t="s">
        <v>41</v>
      </c>
      <c r="G334" s="3" t="s">
        <v>78</v>
      </c>
      <c r="H334" s="3" t="s">
        <v>43</v>
      </c>
      <c r="I334" s="3" t="s">
        <v>110</v>
      </c>
      <c r="J334" s="3" t="s">
        <v>111</v>
      </c>
      <c r="K334" s="3" t="s">
        <v>99</v>
      </c>
      <c r="L334" s="3" t="s">
        <v>308</v>
      </c>
      <c r="M334" s="3" t="s">
        <v>1143</v>
      </c>
      <c r="N334" s="3" t="s">
        <v>49</v>
      </c>
      <c r="O334" s="3" t="s">
        <v>43</v>
      </c>
      <c r="P334" s="5" t="n">
        <v>2</v>
      </c>
      <c r="Q334" s="6" t="n">
        <v>3911.96</v>
      </c>
      <c r="R334" s="3" t="s">
        <v>66</v>
      </c>
      <c r="S334" s="7" t="n">
        <v>0</v>
      </c>
      <c r="T334" s="3" t="s">
        <v>51</v>
      </c>
      <c r="U334" s="7" t="n">
        <f aca="false">IF(T334="Valid",S334,0)</f>
        <v>0</v>
      </c>
      <c r="V334" s="6" t="n">
        <v>7823.92</v>
      </c>
      <c r="W334" s="6" t="n">
        <v>6034.63</v>
      </c>
      <c r="X334" s="6" t="n">
        <v>1789.29</v>
      </c>
      <c r="Y334" s="6" t="n">
        <f aca="false">P334*Q334*(1-U334)</f>
        <v>7823.92</v>
      </c>
      <c r="Z334" s="6" t="n">
        <f aca="false">Y334-W334</f>
        <v>1789.29</v>
      </c>
      <c r="AA334" s="8" t="n">
        <f aca="false">IF(Y334=0,0,Z334/Y334)</f>
        <v>0.22869482305545</v>
      </c>
      <c r="AB334" s="3" t="str">
        <f aca="false">IF(ABS(V334-Y334)&gt;1,"Mismatch","OK")</f>
        <v>OK</v>
      </c>
      <c r="AC334" s="3" t="str">
        <f aca="false">IF(ABS(X334-Z334)&gt;1,"Mismatch","OK")</f>
        <v>OK</v>
      </c>
      <c r="AD334" s="5" t="n">
        <f aca="false">IF(OR(B334="",C334=""),"",C334-B334)</f>
        <v>1</v>
      </c>
      <c r="AE334" s="3" t="str">
        <f aca="false">IF(AD334="","Unknown",IF(AD334&lt;0,"Invalid - Ship Before Order","OK"))</f>
        <v>OK</v>
      </c>
      <c r="AF334" s="5" t="n">
        <f aca="false">IF(B334="","",MONTH(B334))</f>
        <v>5</v>
      </c>
      <c r="AG334" s="5" t="n">
        <f aca="false">IF(B334="","",YEAR(B334))</f>
        <v>2025</v>
      </c>
      <c r="AH334" s="3" t="s">
        <v>52</v>
      </c>
      <c r="AI334" s="3" t="s">
        <v>53</v>
      </c>
      <c r="AJ334" s="3" t="str">
        <f aca="false">IF(AND(AI334="Completed",AH334="Failed"),"Inconsistent - Completed Order with Failed Payment","OK")</f>
        <v>OK</v>
      </c>
      <c r="AK334" s="3" t="s">
        <v>54</v>
      </c>
      <c r="AL334" s="3" t="str">
        <f aca="false">IF(OR(T334="Negative - Invalid",T334="Above Allowed Range - Invalid",AE334="Invalid - Ship Before Order",AK334&lt;&gt;"Unique",AB334="Mismatch",AC334="Mismatch",AJ334&lt;&gt;"OK"),"Invalid",IF(OR(H334="Yes",O334="Yes",T334="Missing"),"Warning","Clean"))</f>
        <v>Clean</v>
      </c>
    </row>
    <row r="335" customFormat="false" ht="15" hidden="false" customHeight="true" outlineLevel="0" collapsed="false">
      <c r="A335" s="3" t="s">
        <v>1144</v>
      </c>
      <c r="B335" s="4" t="n">
        <v>45830</v>
      </c>
      <c r="C335" s="4" t="n">
        <v>45835</v>
      </c>
      <c r="D335" s="3" t="s">
        <v>1145</v>
      </c>
      <c r="E335" s="3" t="s">
        <v>168</v>
      </c>
      <c r="F335" s="3" t="s">
        <v>121</v>
      </c>
      <c r="G335" s="3" t="s">
        <v>237</v>
      </c>
      <c r="H335" s="3" t="s">
        <v>238</v>
      </c>
      <c r="I335" s="3" t="s">
        <v>384</v>
      </c>
      <c r="J335" s="3" t="s">
        <v>385</v>
      </c>
      <c r="K335" s="3" t="s">
        <v>99</v>
      </c>
      <c r="L335" s="3" t="s">
        <v>201</v>
      </c>
      <c r="M335" s="3" t="s">
        <v>1146</v>
      </c>
      <c r="N335" s="3" t="s">
        <v>72</v>
      </c>
      <c r="O335" s="3" t="s">
        <v>43</v>
      </c>
      <c r="P335" s="5" t="n">
        <v>2</v>
      </c>
      <c r="Q335" s="6" t="n">
        <v>1468.05</v>
      </c>
      <c r="R335" s="3" t="s">
        <v>66</v>
      </c>
      <c r="S335" s="7" t="n">
        <v>0</v>
      </c>
      <c r="T335" s="3" t="s">
        <v>51</v>
      </c>
      <c r="U335" s="7" t="n">
        <f aca="false">IF(T335="Valid",S335,0)</f>
        <v>0</v>
      </c>
      <c r="V335" s="6" t="n">
        <v>2936.1</v>
      </c>
      <c r="W335" s="6" t="n">
        <v>1923.1</v>
      </c>
      <c r="X335" s="6" t="n">
        <v>1013</v>
      </c>
      <c r="Y335" s="6" t="n">
        <f aca="false">P335*Q335*(1-U335)</f>
        <v>2936.1</v>
      </c>
      <c r="Z335" s="6" t="n">
        <f aca="false">Y335-W335</f>
        <v>1013</v>
      </c>
      <c r="AA335" s="8" t="n">
        <f aca="false">IF(Y335=0,0,Z335/Y335)</f>
        <v>0.345015496747386</v>
      </c>
      <c r="AB335" s="3" t="str">
        <f aca="false">IF(ABS(V335-Y335)&gt;1,"Mismatch","OK")</f>
        <v>OK</v>
      </c>
      <c r="AC335" s="3" t="str">
        <f aca="false">IF(ABS(X335-Z335)&gt;1,"Mismatch","OK")</f>
        <v>OK</v>
      </c>
      <c r="AD335" s="5" t="n">
        <f aca="false">IF(OR(B335="",C335=""),"",C335-B335)</f>
        <v>5</v>
      </c>
      <c r="AE335" s="3" t="str">
        <f aca="false">IF(AD335="","Unknown",IF(AD335&lt;0,"Invalid - Ship Before Order","OK"))</f>
        <v>OK</v>
      </c>
      <c r="AF335" s="5" t="n">
        <f aca="false">IF(B335="","",MONTH(B335))</f>
        <v>6</v>
      </c>
      <c r="AG335" s="5" t="n">
        <f aca="false">IF(B335="","",YEAR(B335))</f>
        <v>2025</v>
      </c>
      <c r="AH335" s="3" t="s">
        <v>52</v>
      </c>
      <c r="AI335" s="3" t="s">
        <v>53</v>
      </c>
      <c r="AJ335" s="3" t="str">
        <f aca="false">IF(AND(AI335="Completed",AH335="Failed"),"Inconsistent - Completed Order with Failed Payment","OK")</f>
        <v>OK</v>
      </c>
      <c r="AK335" s="3" t="s">
        <v>54</v>
      </c>
      <c r="AL335" s="3" t="str">
        <f aca="false">IF(OR(T335="Negative - Invalid",T335="Above Allowed Range - Invalid",AE335="Invalid - Ship Before Order",AK335&lt;&gt;"Unique",AB335="Mismatch",AC335="Mismatch",AJ335&lt;&gt;"OK"),"Invalid",IF(OR(H335="Yes",O335="Yes",T335="Missing"),"Warning","Clean"))</f>
        <v>Warning</v>
      </c>
    </row>
    <row r="336" customFormat="false" ht="15" hidden="false" customHeight="true" outlineLevel="0" collapsed="false">
      <c r="A336" s="3" t="s">
        <v>1147</v>
      </c>
      <c r="B336" s="4" t="n">
        <v>45547</v>
      </c>
      <c r="C336" s="4" t="n">
        <v>45552</v>
      </c>
      <c r="D336" s="3" t="s">
        <v>1148</v>
      </c>
      <c r="E336" s="3" t="s">
        <v>87</v>
      </c>
      <c r="F336" s="3" t="s">
        <v>41</v>
      </c>
      <c r="G336" s="3" t="s">
        <v>59</v>
      </c>
      <c r="H336" s="3" t="s">
        <v>43</v>
      </c>
      <c r="I336" s="3" t="s">
        <v>262</v>
      </c>
      <c r="J336" s="3" t="s">
        <v>263</v>
      </c>
      <c r="K336" s="3" t="s">
        <v>46</v>
      </c>
      <c r="L336" s="3" t="s">
        <v>151</v>
      </c>
      <c r="M336" s="3" t="s">
        <v>1149</v>
      </c>
      <c r="N336" s="3" t="s">
        <v>72</v>
      </c>
      <c r="O336" s="3" t="s">
        <v>43</v>
      </c>
      <c r="P336" s="5" t="n">
        <v>9</v>
      </c>
      <c r="Q336" s="6" t="n">
        <v>1921.47</v>
      </c>
      <c r="R336" s="3" t="s">
        <v>84</v>
      </c>
      <c r="S336" s="7" t="n">
        <v>0.25</v>
      </c>
      <c r="T336" s="3" t="s">
        <v>51</v>
      </c>
      <c r="U336" s="7" t="n">
        <f aca="false">IF(T336="Valid",S336,0)</f>
        <v>0.25</v>
      </c>
      <c r="V336" s="6" t="n">
        <v>12969.92</v>
      </c>
      <c r="W336" s="6" t="n">
        <v>9398.46</v>
      </c>
      <c r="X336" s="6" t="n">
        <v>3571.46</v>
      </c>
      <c r="Y336" s="6" t="n">
        <f aca="false">P336*Q336*(1-U336)</f>
        <v>12969.9225</v>
      </c>
      <c r="Z336" s="6" t="n">
        <f aca="false">Y336-W336</f>
        <v>3571.4625</v>
      </c>
      <c r="AA336" s="8" t="n">
        <f aca="false">IF(Y336=0,0,Z336/Y336)</f>
        <v>0.27536498386941</v>
      </c>
      <c r="AB336" s="3" t="str">
        <f aca="false">IF(ABS(V336-Y336)&gt;1,"Mismatch","OK")</f>
        <v>OK</v>
      </c>
      <c r="AC336" s="3" t="str">
        <f aca="false">IF(ABS(X336-Z336)&gt;1,"Mismatch","OK")</f>
        <v>OK</v>
      </c>
      <c r="AD336" s="5" t="n">
        <f aca="false">IF(OR(B336="",C336=""),"",C336-B336)</f>
        <v>5</v>
      </c>
      <c r="AE336" s="3" t="str">
        <f aca="false">IF(AD336="","Unknown",IF(AD336&lt;0,"Invalid - Ship Before Order","OK"))</f>
        <v>OK</v>
      </c>
      <c r="AF336" s="5" t="n">
        <f aca="false">IF(B336="","",MONTH(B336))</f>
        <v>9</v>
      </c>
      <c r="AG336" s="5" t="n">
        <f aca="false">IF(B336="","",YEAR(B336))</f>
        <v>2024</v>
      </c>
      <c r="AH336" s="3" t="s">
        <v>52</v>
      </c>
      <c r="AI336" s="3" t="s">
        <v>53</v>
      </c>
      <c r="AJ336" s="3" t="str">
        <f aca="false">IF(AND(AI336="Completed",AH336="Failed"),"Inconsistent - Completed Order with Failed Payment","OK")</f>
        <v>OK</v>
      </c>
      <c r="AK336" s="3" t="s">
        <v>54</v>
      </c>
      <c r="AL336" s="3" t="str">
        <f aca="false">IF(OR(T336="Negative - Invalid",T336="Above Allowed Range - Invalid",AE336="Invalid - Ship Before Order",AK336&lt;&gt;"Unique",AB336="Mismatch",AC336="Mismatch",AJ336&lt;&gt;"OK"),"Invalid",IF(OR(H336="Yes",O336="Yes",T336="Missing"),"Warning","Clean"))</f>
        <v>Clean</v>
      </c>
    </row>
    <row r="337" customFormat="false" ht="15" hidden="false" customHeight="true" outlineLevel="0" collapsed="false">
      <c r="A337" s="3" t="s">
        <v>1150</v>
      </c>
      <c r="B337" s="4" t="n">
        <v>45824</v>
      </c>
      <c r="C337" s="4" t="n">
        <v>45826</v>
      </c>
      <c r="D337" s="3" t="s">
        <v>1151</v>
      </c>
      <c r="E337" s="3" t="s">
        <v>145</v>
      </c>
      <c r="F337" s="3" t="s">
        <v>121</v>
      </c>
      <c r="G337" s="3" t="s">
        <v>88</v>
      </c>
      <c r="H337" s="3" t="s">
        <v>43</v>
      </c>
      <c r="I337" s="3" t="s">
        <v>97</v>
      </c>
      <c r="J337" s="3" t="s">
        <v>98</v>
      </c>
      <c r="K337" s="3" t="s">
        <v>46</v>
      </c>
      <c r="L337" s="3" t="s">
        <v>47</v>
      </c>
      <c r="M337" s="3" t="s">
        <v>1152</v>
      </c>
      <c r="N337" s="3" t="s">
        <v>72</v>
      </c>
      <c r="O337" s="3" t="s">
        <v>43</v>
      </c>
      <c r="P337" s="5" t="n">
        <v>3</v>
      </c>
      <c r="Q337" s="6" t="n">
        <v>4289.37</v>
      </c>
      <c r="R337" s="3" t="s">
        <v>203</v>
      </c>
      <c r="S337" s="7" t="n">
        <v>0.1</v>
      </c>
      <c r="T337" s="3" t="s">
        <v>51</v>
      </c>
      <c r="U337" s="7" t="n">
        <f aca="false">IF(T337="Valid",S337,0)</f>
        <v>0.1</v>
      </c>
      <c r="V337" s="6" t="n">
        <v>11581.3</v>
      </c>
      <c r="W337" s="6" t="n">
        <v>6829.43</v>
      </c>
      <c r="X337" s="6" t="n">
        <v>4751.87</v>
      </c>
      <c r="Y337" s="6" t="n">
        <f aca="false">P337*Q337*(1-U337)</f>
        <v>11581.299</v>
      </c>
      <c r="Z337" s="6" t="n">
        <f aca="false">Y337-W337</f>
        <v>4751.869</v>
      </c>
      <c r="AA337" s="8" t="n">
        <f aca="false">IF(Y337=0,0,Z337/Y337)</f>
        <v>0.410305355211017</v>
      </c>
      <c r="AB337" s="3" t="str">
        <f aca="false">IF(ABS(V337-Y337)&gt;1,"Mismatch","OK")</f>
        <v>OK</v>
      </c>
      <c r="AC337" s="3" t="str">
        <f aca="false">IF(ABS(X337-Z337)&gt;1,"Mismatch","OK")</f>
        <v>OK</v>
      </c>
      <c r="AD337" s="5" t="n">
        <f aca="false">IF(OR(B337="",C337=""),"",C337-B337)</f>
        <v>2</v>
      </c>
      <c r="AE337" s="3" t="str">
        <f aca="false">IF(AD337="","Unknown",IF(AD337&lt;0,"Invalid - Ship Before Order","OK"))</f>
        <v>OK</v>
      </c>
      <c r="AF337" s="5" t="n">
        <f aca="false">IF(B337="","",MONTH(B337))</f>
        <v>6</v>
      </c>
      <c r="AG337" s="5" t="n">
        <f aca="false">IF(B337="","",YEAR(B337))</f>
        <v>2025</v>
      </c>
      <c r="AH337" s="3" t="s">
        <v>52</v>
      </c>
      <c r="AI337" s="3" t="s">
        <v>53</v>
      </c>
      <c r="AJ337" s="3" t="str">
        <f aca="false">IF(AND(AI337="Completed",AH337="Failed"),"Inconsistent - Completed Order with Failed Payment","OK")</f>
        <v>OK</v>
      </c>
      <c r="AK337" s="3" t="s">
        <v>417</v>
      </c>
      <c r="AL337" s="3" t="str">
        <f aca="false">IF(OR(T337="Negative - Invalid",T337="Above Allowed Range - Invalid",AE337="Invalid - Ship Before Order",AK337&lt;&gt;"Unique",AB337="Mismatch",AC337="Mismatch",AJ337&lt;&gt;"OK"),"Invalid",IF(OR(H337="Yes",O337="Yes",T337="Missing"),"Warning","Clean"))</f>
        <v>Invalid</v>
      </c>
    </row>
    <row r="338" customFormat="false" ht="15" hidden="false" customHeight="true" outlineLevel="0" collapsed="false">
      <c r="A338" s="3" t="s">
        <v>1153</v>
      </c>
      <c r="B338" s="4" t="n">
        <v>45368</v>
      </c>
      <c r="C338" s="4" t="n">
        <v>45372</v>
      </c>
      <c r="D338" s="3" t="s">
        <v>904</v>
      </c>
      <c r="E338" s="3" t="s">
        <v>155</v>
      </c>
      <c r="F338" s="3" t="s">
        <v>41</v>
      </c>
      <c r="G338" s="3" t="s">
        <v>42</v>
      </c>
      <c r="H338" s="3" t="s">
        <v>43</v>
      </c>
      <c r="I338" s="3" t="s">
        <v>44</v>
      </c>
      <c r="J338" s="3" t="s">
        <v>45</v>
      </c>
      <c r="K338" s="3" t="s">
        <v>99</v>
      </c>
      <c r="L338" s="3" t="s">
        <v>105</v>
      </c>
      <c r="M338" s="3" t="s">
        <v>1154</v>
      </c>
      <c r="N338" s="3" t="s">
        <v>72</v>
      </c>
      <c r="O338" s="3" t="s">
        <v>43</v>
      </c>
      <c r="P338" s="5" t="n">
        <v>8</v>
      </c>
      <c r="Q338" s="6" t="n">
        <v>1992.57</v>
      </c>
      <c r="R338" s="3" t="s">
        <v>66</v>
      </c>
      <c r="S338" s="7" t="n">
        <v>0</v>
      </c>
      <c r="T338" s="3" t="s">
        <v>51</v>
      </c>
      <c r="U338" s="7" t="n">
        <f aca="false">IF(T338="Valid",S338,0)</f>
        <v>0</v>
      </c>
      <c r="V338" s="6" t="n">
        <v>15940.56</v>
      </c>
      <c r="W338" s="6" t="n">
        <v>12347.15</v>
      </c>
      <c r="X338" s="6" t="n">
        <v>3593.41</v>
      </c>
      <c r="Y338" s="6" t="n">
        <f aca="false">P338*Q338*(1-U338)</f>
        <v>15940.56</v>
      </c>
      <c r="Z338" s="6" t="n">
        <f aca="false">Y338-W338</f>
        <v>3593.41</v>
      </c>
      <c r="AA338" s="8" t="n">
        <f aca="false">IF(Y338=0,0,Z338/Y338)</f>
        <v>0.22542558103354</v>
      </c>
      <c r="AB338" s="3" t="str">
        <f aca="false">IF(ABS(V338-Y338)&gt;1,"Mismatch","OK")</f>
        <v>OK</v>
      </c>
      <c r="AC338" s="3" t="str">
        <f aca="false">IF(ABS(X338-Z338)&gt;1,"Mismatch","OK")</f>
        <v>OK</v>
      </c>
      <c r="AD338" s="5" t="n">
        <f aca="false">IF(OR(B338="",C338=""),"",C338-B338)</f>
        <v>4</v>
      </c>
      <c r="AE338" s="3" t="str">
        <f aca="false">IF(AD338="","Unknown",IF(AD338&lt;0,"Invalid - Ship Before Order","OK"))</f>
        <v>OK</v>
      </c>
      <c r="AF338" s="5" t="n">
        <f aca="false">IF(B338="","",MONTH(B338))</f>
        <v>3</v>
      </c>
      <c r="AG338" s="5" t="n">
        <f aca="false">IF(B338="","",YEAR(B338))</f>
        <v>2024</v>
      </c>
      <c r="AH338" s="3" t="s">
        <v>52</v>
      </c>
      <c r="AI338" s="3" t="s">
        <v>53</v>
      </c>
      <c r="AJ338" s="3" t="str">
        <f aca="false">IF(AND(AI338="Completed",AH338="Failed"),"Inconsistent - Completed Order with Failed Payment","OK")</f>
        <v>OK</v>
      </c>
      <c r="AK338" s="3" t="s">
        <v>54</v>
      </c>
      <c r="AL338" s="3" t="str">
        <f aca="false">IF(OR(T338="Negative - Invalid",T338="Above Allowed Range - Invalid",AE338="Invalid - Ship Before Order",AK338&lt;&gt;"Unique",AB338="Mismatch",AC338="Mismatch",AJ338&lt;&gt;"OK"),"Invalid",IF(OR(H338="Yes",O338="Yes",T338="Missing"),"Warning","Clean"))</f>
        <v>Clean</v>
      </c>
    </row>
    <row r="339" customFormat="false" ht="15" hidden="false" customHeight="true" outlineLevel="0" collapsed="false">
      <c r="A339" s="3" t="s">
        <v>1155</v>
      </c>
      <c r="B339" s="4" t="n">
        <v>45516</v>
      </c>
      <c r="C339" s="4" t="n">
        <v>45522</v>
      </c>
      <c r="D339" s="3" t="s">
        <v>1156</v>
      </c>
      <c r="E339" s="3" t="s">
        <v>87</v>
      </c>
      <c r="F339" s="3" t="s">
        <v>41</v>
      </c>
      <c r="G339" s="3" t="s">
        <v>59</v>
      </c>
      <c r="H339" s="3" t="s">
        <v>43</v>
      </c>
      <c r="I339" s="3" t="s">
        <v>196</v>
      </c>
      <c r="J339" s="3" t="s">
        <v>197</v>
      </c>
      <c r="K339" s="3" t="s">
        <v>46</v>
      </c>
      <c r="L339" s="3" t="s">
        <v>117</v>
      </c>
      <c r="M339" s="3" t="s">
        <v>1157</v>
      </c>
      <c r="N339" s="3" t="s">
        <v>65</v>
      </c>
      <c r="O339" s="3" t="s">
        <v>43</v>
      </c>
      <c r="P339" s="5" t="n">
        <v>6</v>
      </c>
      <c r="Q339" s="6" t="n">
        <v>1181.74</v>
      </c>
      <c r="R339" s="3" t="s">
        <v>66</v>
      </c>
      <c r="S339" s="7" t="n">
        <v>0</v>
      </c>
      <c r="T339" s="3" t="s">
        <v>51</v>
      </c>
      <c r="U339" s="7" t="n">
        <f aca="false">IF(T339="Valid",S339,0)</f>
        <v>0</v>
      </c>
      <c r="V339" s="6" t="n">
        <v>7090.44</v>
      </c>
      <c r="W339" s="6" t="n">
        <v>5672.27</v>
      </c>
      <c r="X339" s="6" t="n">
        <v>1262.87</v>
      </c>
      <c r="Y339" s="6" t="n">
        <f aca="false">P339*Q339*(1-U339)</f>
        <v>7090.44</v>
      </c>
      <c r="Z339" s="6" t="n">
        <f aca="false">Y339-W339</f>
        <v>1418.17</v>
      </c>
      <c r="AA339" s="8" t="n">
        <f aca="false">IF(Y339=0,0,Z339/Y339)</f>
        <v>0.200011564867625</v>
      </c>
      <c r="AB339" s="3" t="str">
        <f aca="false">IF(ABS(V339-Y339)&gt;1,"Mismatch","OK")</f>
        <v>OK</v>
      </c>
      <c r="AC339" s="3" t="str">
        <f aca="false">IF(ABS(X339-Z339)&gt;1,"Mismatch","OK")</f>
        <v>Mismatch</v>
      </c>
      <c r="AD339" s="5" t="n">
        <f aca="false">IF(OR(B339="",C339=""),"",C339-B339)</f>
        <v>6</v>
      </c>
      <c r="AE339" s="3" t="str">
        <f aca="false">IF(AD339="","Unknown",IF(AD339&lt;0,"Invalid - Ship Before Order","OK"))</f>
        <v>OK</v>
      </c>
      <c r="AF339" s="5" t="n">
        <f aca="false">IF(B339="","",MONTH(B339))</f>
        <v>8</v>
      </c>
      <c r="AG339" s="5" t="n">
        <f aca="false">IF(B339="","",YEAR(B339))</f>
        <v>2024</v>
      </c>
      <c r="AH339" s="3" t="s">
        <v>52</v>
      </c>
      <c r="AI339" s="3" t="s">
        <v>53</v>
      </c>
      <c r="AJ339" s="3" t="str">
        <f aca="false">IF(AND(AI339="Completed",AH339="Failed"),"Inconsistent - Completed Order with Failed Payment","OK")</f>
        <v>OK</v>
      </c>
      <c r="AK339" s="3" t="s">
        <v>54</v>
      </c>
      <c r="AL339" s="3" t="str">
        <f aca="false">IF(OR(T339="Negative - Invalid",T339="Above Allowed Range - Invalid",AE339="Invalid - Ship Before Order",AK339&lt;&gt;"Unique",AB339="Mismatch",AC339="Mismatch",AJ339&lt;&gt;"OK"),"Invalid",IF(OR(H339="Yes",O339="Yes",T339="Missing"),"Warning","Clean"))</f>
        <v>Invalid</v>
      </c>
    </row>
    <row r="340" customFormat="false" ht="15" hidden="false" customHeight="true" outlineLevel="0" collapsed="false">
      <c r="A340" s="3" t="s">
        <v>1158</v>
      </c>
      <c r="B340" s="4" t="n">
        <v>45634</v>
      </c>
      <c r="C340" s="4" t="n">
        <v>45634</v>
      </c>
      <c r="D340" s="3" t="s">
        <v>1159</v>
      </c>
      <c r="E340" s="3" t="s">
        <v>77</v>
      </c>
      <c r="F340" s="3" t="s">
        <v>58</v>
      </c>
      <c r="G340" s="3" t="s">
        <v>78</v>
      </c>
      <c r="H340" s="3" t="s">
        <v>43</v>
      </c>
      <c r="I340" s="3" t="s">
        <v>110</v>
      </c>
      <c r="J340" s="3" t="s">
        <v>111</v>
      </c>
      <c r="K340" s="3" t="s">
        <v>99</v>
      </c>
      <c r="L340" s="3" t="s">
        <v>100</v>
      </c>
      <c r="M340" s="3" t="s">
        <v>1160</v>
      </c>
      <c r="N340" s="3" t="s">
        <v>72</v>
      </c>
      <c r="O340" s="3" t="s">
        <v>43</v>
      </c>
      <c r="P340" s="5" t="n">
        <v>8</v>
      </c>
      <c r="Q340" s="6" t="n">
        <v>4402.36</v>
      </c>
      <c r="R340" s="3" t="s">
        <v>84</v>
      </c>
      <c r="S340" s="7" t="n">
        <v>0.25</v>
      </c>
      <c r="T340" s="3" t="s">
        <v>51</v>
      </c>
      <c r="U340" s="7" t="n">
        <f aca="false">IF(T340="Valid",S340,0)</f>
        <v>0.25</v>
      </c>
      <c r="V340" s="6" t="n">
        <v>26414.16</v>
      </c>
      <c r="W340" s="6" t="n">
        <v>21822.53</v>
      </c>
      <c r="X340" s="6" t="n">
        <v>4591.63</v>
      </c>
      <c r="Y340" s="6" t="n">
        <f aca="false">P340*Q340*(1-U340)</f>
        <v>26414.16</v>
      </c>
      <c r="Z340" s="6" t="n">
        <f aca="false">Y340-W340</f>
        <v>4591.63</v>
      </c>
      <c r="AA340" s="8" t="n">
        <f aca="false">IF(Y340=0,0,Z340/Y340)</f>
        <v>0.173832141548321</v>
      </c>
      <c r="AB340" s="3" t="str">
        <f aca="false">IF(ABS(V340-Y340)&gt;1,"Mismatch","OK")</f>
        <v>OK</v>
      </c>
      <c r="AC340" s="3" t="str">
        <f aca="false">IF(ABS(X340-Z340)&gt;1,"Mismatch","OK")</f>
        <v>OK</v>
      </c>
      <c r="AD340" s="5" t="n">
        <f aca="false">IF(OR(B340="",C340=""),"",C340-B340)</f>
        <v>0</v>
      </c>
      <c r="AE340" s="3" t="str">
        <f aca="false">IF(AD340="","Unknown",IF(AD340&lt;0,"Invalid - Ship Before Order","OK"))</f>
        <v>OK</v>
      </c>
      <c r="AF340" s="5" t="n">
        <f aca="false">IF(B340="","",MONTH(B340))</f>
        <v>12</v>
      </c>
      <c r="AG340" s="5" t="n">
        <f aca="false">IF(B340="","",YEAR(B340))</f>
        <v>2024</v>
      </c>
      <c r="AH340" s="3" t="s">
        <v>52</v>
      </c>
      <c r="AI340" s="3" t="s">
        <v>53</v>
      </c>
      <c r="AJ340" s="3" t="str">
        <f aca="false">IF(AND(AI340="Completed",AH340="Failed"),"Inconsistent - Completed Order with Failed Payment","OK")</f>
        <v>OK</v>
      </c>
      <c r="AK340" s="3" t="s">
        <v>54</v>
      </c>
      <c r="AL340" s="3" t="str">
        <f aca="false">IF(OR(T340="Negative - Invalid",T340="Above Allowed Range - Invalid",AE340="Invalid - Ship Before Order",AK340&lt;&gt;"Unique",AB340="Mismatch",AC340="Mismatch",AJ340&lt;&gt;"OK"),"Invalid",IF(OR(H340="Yes",O340="Yes",T340="Missing"),"Warning","Clean"))</f>
        <v>Clean</v>
      </c>
    </row>
    <row r="341" customFormat="false" ht="15" hidden="false" customHeight="true" outlineLevel="0" collapsed="false">
      <c r="A341" s="3" t="s">
        <v>1161</v>
      </c>
      <c r="B341" s="4" t="n">
        <v>45708</v>
      </c>
      <c r="C341" s="4" t="n">
        <v>45710</v>
      </c>
      <c r="D341" s="3" t="s">
        <v>1162</v>
      </c>
      <c r="E341" s="3" t="s">
        <v>104</v>
      </c>
      <c r="F341" s="3" t="s">
        <v>116</v>
      </c>
      <c r="G341" s="3" t="s">
        <v>59</v>
      </c>
      <c r="H341" s="3" t="s">
        <v>43</v>
      </c>
      <c r="I341" s="3" t="s">
        <v>262</v>
      </c>
      <c r="J341" s="3" t="s">
        <v>263</v>
      </c>
      <c r="K341" s="3" t="s">
        <v>62</v>
      </c>
      <c r="L341" s="3" t="s">
        <v>188</v>
      </c>
      <c r="M341" s="3" t="s">
        <v>1163</v>
      </c>
      <c r="N341" s="3" t="s">
        <v>83</v>
      </c>
      <c r="O341" s="3" t="s">
        <v>43</v>
      </c>
      <c r="P341" s="5" t="n">
        <v>8</v>
      </c>
      <c r="Q341" s="6" t="n">
        <v>3265.76</v>
      </c>
      <c r="R341" s="3" t="s">
        <v>50</v>
      </c>
      <c r="S341" s="7" t="n">
        <v>0.2</v>
      </c>
      <c r="T341" s="3" t="s">
        <v>51</v>
      </c>
      <c r="U341" s="7" t="n">
        <f aca="false">IF(T341="Valid",S341,0)</f>
        <v>0.2</v>
      </c>
      <c r="V341" s="6" t="n">
        <v>20900.86</v>
      </c>
      <c r="W341" s="6" t="n">
        <v>12513.14</v>
      </c>
      <c r="X341" s="6" t="n">
        <v>8387.72</v>
      </c>
      <c r="Y341" s="6" t="n">
        <f aca="false">P341*Q341*(1-U341)</f>
        <v>20900.864</v>
      </c>
      <c r="Z341" s="6" t="n">
        <f aca="false">Y341-W341</f>
        <v>8387.724</v>
      </c>
      <c r="AA341" s="8" t="n">
        <f aca="false">IF(Y341=0,0,Z341/Y341)</f>
        <v>0.401309917140268</v>
      </c>
      <c r="AB341" s="3" t="str">
        <f aca="false">IF(ABS(V341-Y341)&gt;1,"Mismatch","OK")</f>
        <v>OK</v>
      </c>
      <c r="AC341" s="3" t="str">
        <f aca="false">IF(ABS(X341-Z341)&gt;1,"Mismatch","OK")</f>
        <v>OK</v>
      </c>
      <c r="AD341" s="5" t="n">
        <f aca="false">IF(OR(B341="",C341=""),"",C341-B341)</f>
        <v>2</v>
      </c>
      <c r="AE341" s="3" t="str">
        <f aca="false">IF(AD341="","Unknown",IF(AD341&lt;0,"Invalid - Ship Before Order","OK"))</f>
        <v>OK</v>
      </c>
      <c r="AF341" s="5" t="n">
        <f aca="false">IF(B341="","",MONTH(B341))</f>
        <v>2</v>
      </c>
      <c r="AG341" s="5" t="n">
        <f aca="false">IF(B341="","",YEAR(B341))</f>
        <v>2025</v>
      </c>
      <c r="AH341" s="3" t="s">
        <v>52</v>
      </c>
      <c r="AI341" s="3" t="s">
        <v>53</v>
      </c>
      <c r="AJ341" s="3" t="str">
        <f aca="false">IF(AND(AI341="Completed",AH341="Failed"),"Inconsistent - Completed Order with Failed Payment","OK")</f>
        <v>OK</v>
      </c>
      <c r="AK341" s="3" t="s">
        <v>54</v>
      </c>
      <c r="AL341" s="3" t="str">
        <f aca="false">IF(OR(T341="Negative - Invalid",T341="Above Allowed Range - Invalid",AE341="Invalid - Ship Before Order",AK341&lt;&gt;"Unique",AB341="Mismatch",AC341="Mismatch",AJ341&lt;&gt;"OK"),"Invalid",IF(OR(H341="Yes",O341="Yes",T341="Missing"),"Warning","Clean"))</f>
        <v>Clean</v>
      </c>
    </row>
    <row r="342" customFormat="false" ht="15" hidden="false" customHeight="true" outlineLevel="0" collapsed="false">
      <c r="A342" s="3" t="s">
        <v>1164</v>
      </c>
      <c r="B342" s="4" t="n">
        <v>45312</v>
      </c>
      <c r="C342" s="4" t="n">
        <v>45320</v>
      </c>
      <c r="D342" s="3" t="s">
        <v>1165</v>
      </c>
      <c r="E342" s="3" t="s">
        <v>104</v>
      </c>
      <c r="F342" s="3" t="s">
        <v>41</v>
      </c>
      <c r="G342" s="3" t="s">
        <v>78</v>
      </c>
      <c r="H342" s="3" t="s">
        <v>43</v>
      </c>
      <c r="I342" s="3" t="s">
        <v>206</v>
      </c>
      <c r="J342" s="3" t="s">
        <v>207</v>
      </c>
      <c r="K342" s="3" t="s">
        <v>46</v>
      </c>
      <c r="L342" s="3" t="s">
        <v>183</v>
      </c>
      <c r="M342" s="3" t="s">
        <v>1166</v>
      </c>
      <c r="N342" s="3" t="s">
        <v>83</v>
      </c>
      <c r="O342" s="3" t="s">
        <v>43</v>
      </c>
      <c r="P342" s="5" t="n">
        <v>5</v>
      </c>
      <c r="Q342" s="6" t="n">
        <v>4058.08</v>
      </c>
      <c r="R342" s="3" t="s">
        <v>203</v>
      </c>
      <c r="S342" s="7" t="n">
        <v>0.1</v>
      </c>
      <c r="T342" s="3" t="s">
        <v>51</v>
      </c>
      <c r="U342" s="7" t="n">
        <f aca="false">IF(T342="Valid",S342,0)</f>
        <v>0.1</v>
      </c>
      <c r="V342" s="6" t="n">
        <v>18261.36</v>
      </c>
      <c r="W342" s="6" t="n">
        <v>11399.94</v>
      </c>
      <c r="X342" s="6" t="n">
        <v>6861.42</v>
      </c>
      <c r="Y342" s="6" t="n">
        <f aca="false">P342*Q342*(1-U342)</f>
        <v>18261.36</v>
      </c>
      <c r="Z342" s="6" t="n">
        <f aca="false">Y342-W342</f>
        <v>6861.42</v>
      </c>
      <c r="AA342" s="8" t="n">
        <f aca="false">IF(Y342=0,0,Z342/Y342)</f>
        <v>0.375734337420652</v>
      </c>
      <c r="AB342" s="3" t="str">
        <f aca="false">IF(ABS(V342-Y342)&gt;1,"Mismatch","OK")</f>
        <v>OK</v>
      </c>
      <c r="AC342" s="3" t="str">
        <f aca="false">IF(ABS(X342-Z342)&gt;1,"Mismatch","OK")</f>
        <v>OK</v>
      </c>
      <c r="AD342" s="5" t="n">
        <f aca="false">IF(OR(B342="",C342=""),"",C342-B342)</f>
        <v>8</v>
      </c>
      <c r="AE342" s="3" t="str">
        <f aca="false">IF(AD342="","Unknown",IF(AD342&lt;0,"Invalid - Ship Before Order","OK"))</f>
        <v>OK</v>
      </c>
      <c r="AF342" s="5" t="n">
        <f aca="false">IF(B342="","",MONTH(B342))</f>
        <v>1</v>
      </c>
      <c r="AG342" s="5" t="n">
        <f aca="false">IF(B342="","",YEAR(B342))</f>
        <v>2024</v>
      </c>
      <c r="AH342" s="3" t="s">
        <v>52</v>
      </c>
      <c r="AI342" s="3" t="s">
        <v>53</v>
      </c>
      <c r="AJ342" s="3" t="str">
        <f aca="false">IF(AND(AI342="Completed",AH342="Failed"),"Inconsistent - Completed Order with Failed Payment","OK")</f>
        <v>OK</v>
      </c>
      <c r="AK342" s="3" t="s">
        <v>54</v>
      </c>
      <c r="AL342" s="3" t="str">
        <f aca="false">IF(OR(T342="Negative - Invalid",T342="Above Allowed Range - Invalid",AE342="Invalid - Ship Before Order",AK342&lt;&gt;"Unique",AB342="Mismatch",AC342="Mismatch",AJ342&lt;&gt;"OK"),"Invalid",IF(OR(H342="Yes",O342="Yes",T342="Missing"),"Warning","Clean"))</f>
        <v>Clean</v>
      </c>
    </row>
    <row r="343" customFormat="false" ht="15" hidden="false" customHeight="true" outlineLevel="0" collapsed="false">
      <c r="A343" s="3" t="s">
        <v>1167</v>
      </c>
      <c r="B343" s="4" t="n">
        <v>45908</v>
      </c>
      <c r="C343" s="4" t="n">
        <v>45909</v>
      </c>
      <c r="D343" s="3" t="s">
        <v>1168</v>
      </c>
      <c r="E343" s="3" t="s">
        <v>168</v>
      </c>
      <c r="F343" s="3" t="s">
        <v>121</v>
      </c>
      <c r="G343" s="3" t="s">
        <v>88</v>
      </c>
      <c r="H343" s="3" t="s">
        <v>43</v>
      </c>
      <c r="I343" s="3" t="s">
        <v>211</v>
      </c>
      <c r="J343" s="3" t="s">
        <v>212</v>
      </c>
      <c r="K343" s="3" t="s">
        <v>62</v>
      </c>
      <c r="L343" s="3" t="s">
        <v>91</v>
      </c>
      <c r="M343" s="3" t="s">
        <v>1169</v>
      </c>
      <c r="N343" s="3" t="s">
        <v>49</v>
      </c>
      <c r="O343" s="3" t="s">
        <v>43</v>
      </c>
      <c r="P343" s="5" t="n">
        <v>2</v>
      </c>
      <c r="Q343" s="6" t="n">
        <v>3960.33</v>
      </c>
      <c r="R343" s="3" t="s">
        <v>128</v>
      </c>
      <c r="S343" s="7" t="n">
        <v>0.05</v>
      </c>
      <c r="T343" s="3" t="s">
        <v>51</v>
      </c>
      <c r="U343" s="7" t="n">
        <f aca="false">IF(T343="Valid",S343,0)</f>
        <v>0.05</v>
      </c>
      <c r="V343" s="6" t="n">
        <v>7524.63</v>
      </c>
      <c r="W343" s="6" t="n">
        <v>6229.6</v>
      </c>
      <c r="X343" s="6" t="n">
        <v>1295.03</v>
      </c>
      <c r="Y343" s="6" t="n">
        <f aca="false">P343*Q343*(1-U343)</f>
        <v>7524.627</v>
      </c>
      <c r="Z343" s="6" t="n">
        <f aca="false">Y343-W343</f>
        <v>1295.027</v>
      </c>
      <c r="AA343" s="8" t="n">
        <f aca="false">IF(Y343=0,0,Z343/Y343)</f>
        <v>0.172105142221668</v>
      </c>
      <c r="AB343" s="3" t="str">
        <f aca="false">IF(ABS(V343-Y343)&gt;1,"Mismatch","OK")</f>
        <v>OK</v>
      </c>
      <c r="AC343" s="3" t="str">
        <f aca="false">IF(ABS(X343-Z343)&gt;1,"Mismatch","OK")</f>
        <v>OK</v>
      </c>
      <c r="AD343" s="5" t="n">
        <f aca="false">IF(OR(B343="",C343=""),"",C343-B343)</f>
        <v>1</v>
      </c>
      <c r="AE343" s="3" t="str">
        <f aca="false">IF(AD343="","Unknown",IF(AD343&lt;0,"Invalid - Ship Before Order","OK"))</f>
        <v>OK</v>
      </c>
      <c r="AF343" s="5" t="n">
        <f aca="false">IF(B343="","",MONTH(B343))</f>
        <v>9</v>
      </c>
      <c r="AG343" s="5" t="n">
        <f aca="false">IF(B343="","",YEAR(B343))</f>
        <v>2025</v>
      </c>
      <c r="AH343" s="3" t="s">
        <v>52</v>
      </c>
      <c r="AI343" s="3" t="s">
        <v>53</v>
      </c>
      <c r="AJ343" s="3" t="str">
        <f aca="false">IF(AND(AI343="Completed",AH343="Failed"),"Inconsistent - Completed Order with Failed Payment","OK")</f>
        <v>OK</v>
      </c>
      <c r="AK343" s="3" t="s">
        <v>54</v>
      </c>
      <c r="AL343" s="3" t="str">
        <f aca="false">IF(OR(T343="Negative - Invalid",T343="Above Allowed Range - Invalid",AE343="Invalid - Ship Before Order",AK343&lt;&gt;"Unique",AB343="Mismatch",AC343="Mismatch",AJ343&lt;&gt;"OK"),"Invalid",IF(OR(H343="Yes",O343="Yes",T343="Missing"),"Warning","Clean"))</f>
        <v>Clean</v>
      </c>
    </row>
    <row r="344" customFormat="false" ht="15" hidden="false" customHeight="true" outlineLevel="0" collapsed="false">
      <c r="A344" s="3" t="s">
        <v>1170</v>
      </c>
      <c r="B344" s="4" t="n">
        <v>45862</v>
      </c>
      <c r="C344" s="4" t="n">
        <v>45870</v>
      </c>
      <c r="D344" s="3" t="s">
        <v>1171</v>
      </c>
      <c r="E344" s="3" t="s">
        <v>298</v>
      </c>
      <c r="F344" s="3" t="s">
        <v>58</v>
      </c>
      <c r="G344" s="3" t="s">
        <v>59</v>
      </c>
      <c r="H344" s="3" t="s">
        <v>43</v>
      </c>
      <c r="I344" s="3" t="s">
        <v>262</v>
      </c>
      <c r="J344" s="3" t="s">
        <v>263</v>
      </c>
      <c r="K344" s="3" t="s">
        <v>46</v>
      </c>
      <c r="L344" s="3" t="s">
        <v>183</v>
      </c>
      <c r="M344" s="3" t="s">
        <v>1172</v>
      </c>
      <c r="N344" s="3" t="s">
        <v>72</v>
      </c>
      <c r="O344" s="3" t="s">
        <v>43</v>
      </c>
      <c r="P344" s="5" t="n">
        <v>8</v>
      </c>
      <c r="Q344" s="6" t="n">
        <v>1528.92</v>
      </c>
      <c r="R344" s="3" t="s">
        <v>66</v>
      </c>
      <c r="S344" s="7" t="n">
        <v>0</v>
      </c>
      <c r="T344" s="3" t="s">
        <v>51</v>
      </c>
      <c r="U344" s="7" t="n">
        <f aca="false">IF(T344="Valid",S344,0)</f>
        <v>0</v>
      </c>
      <c r="V344" s="6" t="n">
        <v>12231.36</v>
      </c>
      <c r="W344" s="6" t="n">
        <v>8766.9</v>
      </c>
      <c r="X344" s="6" t="n">
        <v>3464.46</v>
      </c>
      <c r="Y344" s="6" t="n">
        <f aca="false">P344*Q344*(1-U344)</f>
        <v>12231.36</v>
      </c>
      <c r="Z344" s="6" t="n">
        <f aca="false">Y344-W344</f>
        <v>3464.46</v>
      </c>
      <c r="AA344" s="8" t="n">
        <f aca="false">IF(Y344=0,0,Z344/Y344)</f>
        <v>0.283244054626795</v>
      </c>
      <c r="AB344" s="3" t="str">
        <f aca="false">IF(ABS(V344-Y344)&gt;1,"Mismatch","OK")</f>
        <v>OK</v>
      </c>
      <c r="AC344" s="3" t="str">
        <f aca="false">IF(ABS(X344-Z344)&gt;1,"Mismatch","OK")</f>
        <v>OK</v>
      </c>
      <c r="AD344" s="5" t="n">
        <f aca="false">IF(OR(B344="",C344=""),"",C344-B344)</f>
        <v>8</v>
      </c>
      <c r="AE344" s="3" t="str">
        <f aca="false">IF(AD344="","Unknown",IF(AD344&lt;0,"Invalid - Ship Before Order","OK"))</f>
        <v>OK</v>
      </c>
      <c r="AF344" s="5" t="n">
        <f aca="false">IF(B344="","",MONTH(B344))</f>
        <v>7</v>
      </c>
      <c r="AG344" s="5" t="n">
        <f aca="false">IF(B344="","",YEAR(B344))</f>
        <v>2025</v>
      </c>
      <c r="AH344" s="3" t="s">
        <v>52</v>
      </c>
      <c r="AI344" s="3" t="s">
        <v>53</v>
      </c>
      <c r="AJ344" s="3" t="str">
        <f aca="false">IF(AND(AI344="Completed",AH344="Failed"),"Inconsistent - Completed Order with Failed Payment","OK")</f>
        <v>OK</v>
      </c>
      <c r="AK344" s="3" t="s">
        <v>54</v>
      </c>
      <c r="AL344" s="3" t="str">
        <f aca="false">IF(OR(T344="Negative - Invalid",T344="Above Allowed Range - Invalid",AE344="Invalid - Ship Before Order",AK344&lt;&gt;"Unique",AB344="Mismatch",AC344="Mismatch",AJ344&lt;&gt;"OK"),"Invalid",IF(OR(H344="Yes",O344="Yes",T344="Missing"),"Warning","Clean"))</f>
        <v>Clean</v>
      </c>
    </row>
    <row r="345" customFormat="false" ht="15" hidden="false" customHeight="true" outlineLevel="0" collapsed="false">
      <c r="A345" s="3" t="s">
        <v>1173</v>
      </c>
      <c r="B345" s="4" t="n">
        <v>45933</v>
      </c>
      <c r="C345" s="4" t="n">
        <v>45938</v>
      </c>
      <c r="D345" s="3" t="s">
        <v>1174</v>
      </c>
      <c r="E345" s="3" t="s">
        <v>155</v>
      </c>
      <c r="F345" s="3" t="s">
        <v>116</v>
      </c>
      <c r="G345" s="3" t="s">
        <v>88</v>
      </c>
      <c r="H345" s="3" t="s">
        <v>43</v>
      </c>
      <c r="I345" s="3" t="s">
        <v>97</v>
      </c>
      <c r="J345" s="3" t="s">
        <v>98</v>
      </c>
      <c r="K345" s="3" t="s">
        <v>99</v>
      </c>
      <c r="L345" s="3" t="s">
        <v>308</v>
      </c>
      <c r="M345" s="3" t="s">
        <v>1175</v>
      </c>
      <c r="N345" s="3" t="s">
        <v>65</v>
      </c>
      <c r="O345" s="3" t="s">
        <v>43</v>
      </c>
      <c r="P345" s="5" t="n">
        <v>9</v>
      </c>
      <c r="Q345" s="6" t="n">
        <v>3837</v>
      </c>
      <c r="R345" s="3" t="s">
        <v>203</v>
      </c>
      <c r="S345" s="7" t="n">
        <v>0.1</v>
      </c>
      <c r="T345" s="3" t="s">
        <v>51</v>
      </c>
      <c r="U345" s="7" t="n">
        <f aca="false">IF(T345="Valid",S345,0)</f>
        <v>0.1</v>
      </c>
      <c r="V345" s="6" t="n">
        <v>31079.7</v>
      </c>
      <c r="W345" s="6" t="n">
        <v>17758.25</v>
      </c>
      <c r="X345" s="6" t="n">
        <v>13321.45</v>
      </c>
      <c r="Y345" s="6" t="n">
        <f aca="false">P345*Q345*(1-U345)</f>
        <v>31079.7</v>
      </c>
      <c r="Z345" s="6" t="n">
        <f aca="false">Y345-W345</f>
        <v>13321.45</v>
      </c>
      <c r="AA345" s="8" t="n">
        <f aca="false">IF(Y345=0,0,Z345/Y345)</f>
        <v>0.428622219648195</v>
      </c>
      <c r="AB345" s="3" t="str">
        <f aca="false">IF(ABS(V345-Y345)&gt;1,"Mismatch","OK")</f>
        <v>OK</v>
      </c>
      <c r="AC345" s="3" t="str">
        <f aca="false">IF(ABS(X345-Z345)&gt;1,"Mismatch","OK")</f>
        <v>OK</v>
      </c>
      <c r="AD345" s="5" t="n">
        <f aca="false">IF(OR(B345="",C345=""),"",C345-B345)</f>
        <v>5</v>
      </c>
      <c r="AE345" s="3" t="str">
        <f aca="false">IF(AD345="","Unknown",IF(AD345&lt;0,"Invalid - Ship Before Order","OK"))</f>
        <v>OK</v>
      </c>
      <c r="AF345" s="5" t="n">
        <f aca="false">IF(B345="","",MONTH(B345))</f>
        <v>10</v>
      </c>
      <c r="AG345" s="5" t="n">
        <f aca="false">IF(B345="","",YEAR(B345))</f>
        <v>2025</v>
      </c>
      <c r="AH345" s="3" t="s">
        <v>52</v>
      </c>
      <c r="AI345" s="3" t="s">
        <v>53</v>
      </c>
      <c r="AJ345" s="3" t="str">
        <f aca="false">IF(AND(AI345="Completed",AH345="Failed"),"Inconsistent - Completed Order with Failed Payment","OK")</f>
        <v>OK</v>
      </c>
      <c r="AK345" s="3" t="s">
        <v>54</v>
      </c>
      <c r="AL345" s="3" t="str">
        <f aca="false">IF(OR(T345="Negative - Invalid",T345="Above Allowed Range - Invalid",AE345="Invalid - Ship Before Order",AK345&lt;&gt;"Unique",AB345="Mismatch",AC345="Mismatch",AJ345&lt;&gt;"OK"),"Invalid",IF(OR(H345="Yes",O345="Yes",T345="Missing"),"Warning","Clean"))</f>
        <v>Clean</v>
      </c>
    </row>
    <row r="346" customFormat="false" ht="15" hidden="false" customHeight="true" outlineLevel="0" collapsed="false">
      <c r="A346" s="3" t="s">
        <v>1176</v>
      </c>
      <c r="B346" s="4" t="n">
        <v>45362</v>
      </c>
      <c r="C346" s="4" t="n">
        <v>45362</v>
      </c>
      <c r="D346" s="3" t="s">
        <v>1177</v>
      </c>
      <c r="E346" s="3" t="s">
        <v>141</v>
      </c>
      <c r="F346" s="3" t="s">
        <v>41</v>
      </c>
      <c r="G346" s="3" t="s">
        <v>42</v>
      </c>
      <c r="H346" s="3" t="s">
        <v>43</v>
      </c>
      <c r="I346" s="3" t="s">
        <v>149</v>
      </c>
      <c r="J346" s="3" t="s">
        <v>150</v>
      </c>
      <c r="K346" s="3" t="s">
        <v>62</v>
      </c>
      <c r="L346" s="3" t="s">
        <v>188</v>
      </c>
      <c r="M346" s="3" t="s">
        <v>1178</v>
      </c>
      <c r="N346" s="3" t="s">
        <v>65</v>
      </c>
      <c r="O346" s="3" t="s">
        <v>43</v>
      </c>
      <c r="P346" s="5" t="n">
        <v>9</v>
      </c>
      <c r="Q346" s="6" t="n">
        <v>3456.38</v>
      </c>
      <c r="R346" s="3" t="s">
        <v>66</v>
      </c>
      <c r="S346" s="7" t="n">
        <v>0</v>
      </c>
      <c r="T346" s="3" t="s">
        <v>51</v>
      </c>
      <c r="U346" s="7" t="n">
        <f aca="false">IF(T346="Valid",S346,0)</f>
        <v>0</v>
      </c>
      <c r="V346" s="6" t="n">
        <v>31107.42</v>
      </c>
      <c r="W346" s="6" t="n">
        <v>20146.66</v>
      </c>
      <c r="X346" s="6" t="n">
        <v>10960.76</v>
      </c>
      <c r="Y346" s="6" t="n">
        <f aca="false">P346*Q346*(1-U346)</f>
        <v>31107.42</v>
      </c>
      <c r="Z346" s="6" t="n">
        <f aca="false">Y346-W346</f>
        <v>10960.76</v>
      </c>
      <c r="AA346" s="8" t="n">
        <f aca="false">IF(Y346=0,0,Z346/Y346)</f>
        <v>0.352351946898843</v>
      </c>
      <c r="AB346" s="3" t="str">
        <f aca="false">IF(ABS(V346-Y346)&gt;1,"Mismatch","OK")</f>
        <v>OK</v>
      </c>
      <c r="AC346" s="3" t="str">
        <f aca="false">IF(ABS(X346-Z346)&gt;1,"Mismatch","OK")</f>
        <v>OK</v>
      </c>
      <c r="AD346" s="5" t="n">
        <f aca="false">IF(OR(B346="",C346=""),"",C346-B346)</f>
        <v>0</v>
      </c>
      <c r="AE346" s="3" t="str">
        <f aca="false">IF(AD346="","Unknown",IF(AD346&lt;0,"Invalid - Ship Before Order","OK"))</f>
        <v>OK</v>
      </c>
      <c r="AF346" s="5" t="n">
        <f aca="false">IF(B346="","",MONTH(B346))</f>
        <v>3</v>
      </c>
      <c r="AG346" s="5" t="n">
        <f aca="false">IF(B346="","",YEAR(B346))</f>
        <v>2024</v>
      </c>
      <c r="AH346" s="3" t="s">
        <v>138</v>
      </c>
      <c r="AI346" s="3" t="s">
        <v>130</v>
      </c>
      <c r="AJ346" s="3" t="str">
        <f aca="false">IF(AND(AI346="Completed",AH346="Failed"),"Inconsistent - Completed Order with Failed Payment","OK")</f>
        <v>OK</v>
      </c>
      <c r="AK346" s="3" t="s">
        <v>54</v>
      </c>
      <c r="AL346" s="3" t="str">
        <f aca="false">IF(OR(T346="Negative - Invalid",T346="Above Allowed Range - Invalid",AE346="Invalid - Ship Before Order",AK346&lt;&gt;"Unique",AB346="Mismatch",AC346="Mismatch",AJ346&lt;&gt;"OK"),"Invalid",IF(OR(H346="Yes",O346="Yes",T346="Missing"),"Warning","Clean"))</f>
        <v>Clean</v>
      </c>
    </row>
    <row r="347" customFormat="false" ht="15" hidden="false" customHeight="true" outlineLevel="0" collapsed="false">
      <c r="A347" s="3" t="s">
        <v>1179</v>
      </c>
      <c r="B347" s="4" t="n">
        <v>45549</v>
      </c>
      <c r="C347" s="4" t="n">
        <v>45557</v>
      </c>
      <c r="D347" s="3" t="s">
        <v>1180</v>
      </c>
      <c r="E347" s="3" t="s">
        <v>40</v>
      </c>
      <c r="F347" s="3" t="s">
        <v>41</v>
      </c>
      <c r="G347" s="3" t="s">
        <v>88</v>
      </c>
      <c r="H347" s="3" t="s">
        <v>43</v>
      </c>
      <c r="I347" s="3" t="s">
        <v>97</v>
      </c>
      <c r="J347" s="3" t="s">
        <v>98</v>
      </c>
      <c r="K347" s="3" t="s">
        <v>62</v>
      </c>
      <c r="L347" s="3" t="s">
        <v>81</v>
      </c>
      <c r="M347" s="3" t="s">
        <v>1181</v>
      </c>
      <c r="N347" s="3" t="s">
        <v>49</v>
      </c>
      <c r="O347" s="3" t="s">
        <v>43</v>
      </c>
      <c r="P347" s="5" t="n">
        <v>2</v>
      </c>
      <c r="Q347" s="6" t="n">
        <v>2765.3</v>
      </c>
      <c r="R347" s="3" t="s">
        <v>66</v>
      </c>
      <c r="S347" s="7" t="n">
        <v>0</v>
      </c>
      <c r="T347" s="3" t="s">
        <v>51</v>
      </c>
      <c r="U347" s="7" t="n">
        <f aca="false">IF(T347="Valid",S347,0)</f>
        <v>0</v>
      </c>
      <c r="V347" s="6" t="n">
        <v>5530.6</v>
      </c>
      <c r="W347" s="6" t="n">
        <v>4453.11</v>
      </c>
      <c r="X347" s="6" t="n">
        <v>1077.49</v>
      </c>
      <c r="Y347" s="6" t="n">
        <f aca="false">P347*Q347*(1-U347)</f>
        <v>5530.6</v>
      </c>
      <c r="Z347" s="6" t="n">
        <f aca="false">Y347-W347</f>
        <v>1077.49</v>
      </c>
      <c r="AA347" s="8" t="n">
        <f aca="false">IF(Y347=0,0,Z347/Y347)</f>
        <v>0.194823346472354</v>
      </c>
      <c r="AB347" s="3" t="str">
        <f aca="false">IF(ABS(V347-Y347)&gt;1,"Mismatch","OK")</f>
        <v>OK</v>
      </c>
      <c r="AC347" s="3" t="str">
        <f aca="false">IF(ABS(X347-Z347)&gt;1,"Mismatch","OK")</f>
        <v>OK</v>
      </c>
      <c r="AD347" s="5" t="n">
        <f aca="false">IF(OR(B347="",C347=""),"",C347-B347)</f>
        <v>8</v>
      </c>
      <c r="AE347" s="3" t="str">
        <f aca="false">IF(AD347="","Unknown",IF(AD347&lt;0,"Invalid - Ship Before Order","OK"))</f>
        <v>OK</v>
      </c>
      <c r="AF347" s="5" t="n">
        <f aca="false">IF(B347="","",MONTH(B347))</f>
        <v>9</v>
      </c>
      <c r="AG347" s="5" t="n">
        <f aca="false">IF(B347="","",YEAR(B347))</f>
        <v>2024</v>
      </c>
      <c r="AH347" s="3" t="s">
        <v>52</v>
      </c>
      <c r="AI347" s="3" t="s">
        <v>53</v>
      </c>
      <c r="AJ347" s="3" t="str">
        <f aca="false">IF(AND(AI347="Completed",AH347="Failed"),"Inconsistent - Completed Order with Failed Payment","OK")</f>
        <v>OK</v>
      </c>
      <c r="AK347" s="3" t="s">
        <v>54</v>
      </c>
      <c r="AL347" s="3" t="str">
        <f aca="false">IF(OR(T347="Negative - Invalid",T347="Above Allowed Range - Invalid",AE347="Invalid - Ship Before Order",AK347&lt;&gt;"Unique",AB347="Mismatch",AC347="Mismatch",AJ347&lt;&gt;"OK"),"Invalid",IF(OR(H347="Yes",O347="Yes",T347="Missing"),"Warning","Clean"))</f>
        <v>Clean</v>
      </c>
    </row>
    <row r="348" customFormat="false" ht="15" hidden="false" customHeight="true" outlineLevel="0" collapsed="false">
      <c r="A348" s="3" t="s">
        <v>1182</v>
      </c>
      <c r="B348" s="4" t="n">
        <v>45860</v>
      </c>
      <c r="C348" s="4" t="n">
        <v>45866</v>
      </c>
      <c r="D348" s="3" t="s">
        <v>1183</v>
      </c>
      <c r="E348" s="3" t="s">
        <v>145</v>
      </c>
      <c r="F348" s="3" t="s">
        <v>116</v>
      </c>
      <c r="G348" s="3" t="s">
        <v>78</v>
      </c>
      <c r="H348" s="3" t="s">
        <v>43</v>
      </c>
      <c r="I348" s="3" t="s">
        <v>216</v>
      </c>
      <c r="J348" s="3" t="s">
        <v>217</v>
      </c>
      <c r="K348" s="3" t="s">
        <v>62</v>
      </c>
      <c r="L348" s="3" t="s">
        <v>91</v>
      </c>
      <c r="M348" s="3" t="s">
        <v>1184</v>
      </c>
      <c r="N348" s="3" t="s">
        <v>49</v>
      </c>
      <c r="O348" s="3" t="s">
        <v>43</v>
      </c>
      <c r="P348" s="5" t="n">
        <v>6</v>
      </c>
      <c r="Q348" s="6" t="n">
        <v>1607.46</v>
      </c>
      <c r="R348" s="3" t="s">
        <v>50</v>
      </c>
      <c r="S348" s="7" t="n">
        <v>0.2</v>
      </c>
      <c r="T348" s="3" t="s">
        <v>51</v>
      </c>
      <c r="U348" s="7" t="n">
        <f aca="false">IF(T348="Valid",S348,0)</f>
        <v>0.2</v>
      </c>
      <c r="V348" s="6" t="n">
        <v>7715.81</v>
      </c>
      <c r="W348" s="6" t="n">
        <v>4258.42</v>
      </c>
      <c r="X348" s="6" t="n">
        <v>3457.39</v>
      </c>
      <c r="Y348" s="6" t="n">
        <f aca="false">P348*Q348*(1-U348)</f>
        <v>7715.808</v>
      </c>
      <c r="Z348" s="6" t="n">
        <f aca="false">Y348-W348</f>
        <v>3457.388</v>
      </c>
      <c r="AA348" s="8" t="n">
        <f aca="false">IF(Y348=0,0,Z348/Y348)</f>
        <v>0.448091502536092</v>
      </c>
      <c r="AB348" s="3" t="str">
        <f aca="false">IF(ABS(V348-Y348)&gt;1,"Mismatch","OK")</f>
        <v>OK</v>
      </c>
      <c r="AC348" s="3" t="str">
        <f aca="false">IF(ABS(X348-Z348)&gt;1,"Mismatch","OK")</f>
        <v>OK</v>
      </c>
      <c r="AD348" s="5" t="n">
        <f aca="false">IF(OR(B348="",C348=""),"",C348-B348)</f>
        <v>6</v>
      </c>
      <c r="AE348" s="3" t="str">
        <f aca="false">IF(AD348="","Unknown",IF(AD348&lt;0,"Invalid - Ship Before Order","OK"))</f>
        <v>OK</v>
      </c>
      <c r="AF348" s="5" t="n">
        <f aca="false">IF(B348="","",MONTH(B348))</f>
        <v>7</v>
      </c>
      <c r="AG348" s="5" t="n">
        <f aca="false">IF(B348="","",YEAR(B348))</f>
        <v>2025</v>
      </c>
      <c r="AH348" s="3" t="s">
        <v>52</v>
      </c>
      <c r="AI348" s="3" t="s">
        <v>53</v>
      </c>
      <c r="AJ348" s="3" t="str">
        <f aca="false">IF(AND(AI348="Completed",AH348="Failed"),"Inconsistent - Completed Order with Failed Payment","OK")</f>
        <v>OK</v>
      </c>
      <c r="AK348" s="3" t="s">
        <v>54</v>
      </c>
      <c r="AL348" s="3" t="str">
        <f aca="false">IF(OR(T348="Negative - Invalid",T348="Above Allowed Range - Invalid",AE348="Invalid - Ship Before Order",AK348&lt;&gt;"Unique",AB348="Mismatch",AC348="Mismatch",AJ348&lt;&gt;"OK"),"Invalid",IF(OR(H348="Yes",O348="Yes",T348="Missing"),"Warning","Clean"))</f>
        <v>Clean</v>
      </c>
    </row>
    <row r="349" customFormat="false" ht="15" hidden="false" customHeight="true" outlineLevel="0" collapsed="false">
      <c r="A349" s="3" t="s">
        <v>1185</v>
      </c>
      <c r="B349" s="4" t="n">
        <v>45627</v>
      </c>
      <c r="C349" s="4" t="n">
        <v>45634</v>
      </c>
      <c r="D349" s="3" t="s">
        <v>1186</v>
      </c>
      <c r="E349" s="3" t="s">
        <v>155</v>
      </c>
      <c r="F349" s="3" t="s">
        <v>58</v>
      </c>
      <c r="G349" s="3" t="s">
        <v>88</v>
      </c>
      <c r="H349" s="3" t="s">
        <v>43</v>
      </c>
      <c r="I349" s="3" t="s">
        <v>221</v>
      </c>
      <c r="J349" s="3" t="s">
        <v>222</v>
      </c>
      <c r="K349" s="3" t="s">
        <v>62</v>
      </c>
      <c r="L349" s="3" t="s">
        <v>91</v>
      </c>
      <c r="M349" s="3" t="s">
        <v>1187</v>
      </c>
      <c r="N349" s="3" t="s">
        <v>49</v>
      </c>
      <c r="O349" s="3" t="s">
        <v>43</v>
      </c>
      <c r="P349" s="5" t="n">
        <v>5</v>
      </c>
      <c r="Q349" s="6" t="n">
        <v>2981.49</v>
      </c>
      <c r="R349" s="3" t="s">
        <v>50</v>
      </c>
      <c r="S349" s="7" t="n">
        <v>0.2</v>
      </c>
      <c r="T349" s="3" t="s">
        <v>51</v>
      </c>
      <c r="U349" s="7" t="n">
        <f aca="false">IF(T349="Valid",S349,0)</f>
        <v>0.2</v>
      </c>
      <c r="V349" s="6" t="n">
        <v>11925.96</v>
      </c>
      <c r="W349" s="6" t="n">
        <v>10103.51</v>
      </c>
      <c r="X349" s="6" t="n">
        <v>1822.45</v>
      </c>
      <c r="Y349" s="6" t="n">
        <f aca="false">P349*Q349*(1-U349)</f>
        <v>11925.96</v>
      </c>
      <c r="Z349" s="6" t="n">
        <f aca="false">Y349-W349</f>
        <v>1822.45</v>
      </c>
      <c r="AA349" s="8" t="n">
        <f aca="false">IF(Y349=0,0,Z349/Y349)</f>
        <v>0.152813693824229</v>
      </c>
      <c r="AB349" s="3" t="str">
        <f aca="false">IF(ABS(V349-Y349)&gt;1,"Mismatch","OK")</f>
        <v>OK</v>
      </c>
      <c r="AC349" s="3" t="str">
        <f aca="false">IF(ABS(X349-Z349)&gt;1,"Mismatch","OK")</f>
        <v>OK</v>
      </c>
      <c r="AD349" s="5" t="n">
        <f aca="false">IF(OR(B349="",C349=""),"",C349-B349)</f>
        <v>7</v>
      </c>
      <c r="AE349" s="3" t="str">
        <f aca="false">IF(AD349="","Unknown",IF(AD349&lt;0,"Invalid - Ship Before Order","OK"))</f>
        <v>OK</v>
      </c>
      <c r="AF349" s="5" t="n">
        <f aca="false">IF(B349="","",MONTH(B349))</f>
        <v>12</v>
      </c>
      <c r="AG349" s="5" t="n">
        <f aca="false">IF(B349="","",YEAR(B349))</f>
        <v>2024</v>
      </c>
      <c r="AH349" s="3" t="s">
        <v>129</v>
      </c>
      <c r="AI349" s="3" t="s">
        <v>130</v>
      </c>
      <c r="AJ349" s="3" t="str">
        <f aca="false">IF(AND(AI349="Completed",AH349="Failed"),"Inconsistent - Completed Order with Failed Payment","OK")</f>
        <v>OK</v>
      </c>
      <c r="AK349" s="3" t="s">
        <v>54</v>
      </c>
      <c r="AL349" s="3" t="str">
        <f aca="false">IF(OR(T349="Negative - Invalid",T349="Above Allowed Range - Invalid",AE349="Invalid - Ship Before Order",AK349&lt;&gt;"Unique",AB349="Mismatch",AC349="Mismatch",AJ349&lt;&gt;"OK"),"Invalid",IF(OR(H349="Yes",O349="Yes",T349="Missing"),"Warning","Clean"))</f>
        <v>Clean</v>
      </c>
    </row>
    <row r="350" customFormat="false" ht="15" hidden="false" customHeight="true" outlineLevel="0" collapsed="false">
      <c r="A350" s="3" t="s">
        <v>1188</v>
      </c>
      <c r="B350" s="4" t="n">
        <v>45445</v>
      </c>
      <c r="C350" s="4" t="n">
        <v>45450</v>
      </c>
      <c r="D350" s="3" t="s">
        <v>1189</v>
      </c>
      <c r="E350" s="3" t="s">
        <v>155</v>
      </c>
      <c r="F350" s="3" t="s">
        <v>116</v>
      </c>
      <c r="G350" s="3" t="s">
        <v>78</v>
      </c>
      <c r="H350" s="3" t="s">
        <v>43</v>
      </c>
      <c r="I350" s="3" t="s">
        <v>206</v>
      </c>
      <c r="J350" s="3" t="s">
        <v>207</v>
      </c>
      <c r="K350" s="3" t="s">
        <v>99</v>
      </c>
      <c r="L350" s="3" t="s">
        <v>201</v>
      </c>
      <c r="M350" s="3" t="s">
        <v>1190</v>
      </c>
      <c r="N350" s="3" t="s">
        <v>65</v>
      </c>
      <c r="O350" s="3" t="s">
        <v>43</v>
      </c>
      <c r="P350" s="5" t="n">
        <v>9</v>
      </c>
      <c r="Q350" s="6" t="n">
        <v>2860.26</v>
      </c>
      <c r="R350" s="3" t="s">
        <v>84</v>
      </c>
      <c r="S350" s="7" t="n">
        <v>0.25</v>
      </c>
      <c r="T350" s="3" t="s">
        <v>51</v>
      </c>
      <c r="U350" s="7" t="n">
        <f aca="false">IF(T350="Valid",S350,0)</f>
        <v>0.25</v>
      </c>
      <c r="V350" s="6" t="n">
        <v>19306.76</v>
      </c>
      <c r="W350" s="6" t="n">
        <v>14442.38</v>
      </c>
      <c r="X350" s="6" t="n">
        <v>4864.38</v>
      </c>
      <c r="Y350" s="6" t="n">
        <f aca="false">P350*Q350*(1-U350)</f>
        <v>19306.755</v>
      </c>
      <c r="Z350" s="6" t="n">
        <f aca="false">Y350-W350</f>
        <v>4864.37500000001</v>
      </c>
      <c r="AA350" s="8" t="n">
        <f aca="false">IF(Y350=0,0,Z350/Y350)</f>
        <v>0.251951972250127</v>
      </c>
      <c r="AB350" s="3" t="str">
        <f aca="false">IF(ABS(V350-Y350)&gt;1,"Mismatch","OK")</f>
        <v>OK</v>
      </c>
      <c r="AC350" s="3" t="str">
        <f aca="false">IF(ABS(X350-Z350)&gt;1,"Mismatch","OK")</f>
        <v>OK</v>
      </c>
      <c r="AD350" s="5" t="n">
        <f aca="false">IF(OR(B350="",C350=""),"",C350-B350)</f>
        <v>5</v>
      </c>
      <c r="AE350" s="3" t="str">
        <f aca="false">IF(AD350="","Unknown",IF(AD350&lt;0,"Invalid - Ship Before Order","OK"))</f>
        <v>OK</v>
      </c>
      <c r="AF350" s="5" t="n">
        <f aca="false">IF(B350="","",MONTH(B350))</f>
        <v>6</v>
      </c>
      <c r="AG350" s="5" t="n">
        <f aca="false">IF(B350="","",YEAR(B350))</f>
        <v>2024</v>
      </c>
      <c r="AH350" s="3" t="s">
        <v>52</v>
      </c>
      <c r="AI350" s="3" t="s">
        <v>53</v>
      </c>
      <c r="AJ350" s="3" t="str">
        <f aca="false">IF(AND(AI350="Completed",AH350="Failed"),"Inconsistent - Completed Order with Failed Payment","OK")</f>
        <v>OK</v>
      </c>
      <c r="AK350" s="3" t="s">
        <v>54</v>
      </c>
      <c r="AL350" s="3" t="str">
        <f aca="false">IF(OR(T350="Negative - Invalid",T350="Above Allowed Range - Invalid",AE350="Invalid - Ship Before Order",AK350&lt;&gt;"Unique",AB350="Mismatch",AC350="Mismatch",AJ350&lt;&gt;"OK"),"Invalid",IF(OR(H350="Yes",O350="Yes",T350="Missing"),"Warning","Clean"))</f>
        <v>Clean</v>
      </c>
    </row>
    <row r="351" customFormat="false" ht="15" hidden="false" customHeight="true" outlineLevel="0" collapsed="false">
      <c r="A351" s="3" t="s">
        <v>1191</v>
      </c>
      <c r="B351" s="4" t="n">
        <v>45927</v>
      </c>
      <c r="C351" s="4" t="n">
        <v>45929</v>
      </c>
      <c r="D351" s="3" t="s">
        <v>1192</v>
      </c>
      <c r="E351" s="3" t="s">
        <v>298</v>
      </c>
      <c r="F351" s="3" t="s">
        <v>121</v>
      </c>
      <c r="G351" s="3" t="s">
        <v>59</v>
      </c>
      <c r="H351" s="3" t="s">
        <v>43</v>
      </c>
      <c r="I351" s="3" t="s">
        <v>262</v>
      </c>
      <c r="J351" s="3" t="s">
        <v>263</v>
      </c>
      <c r="K351" s="3" t="s">
        <v>62</v>
      </c>
      <c r="L351" s="3" t="s">
        <v>81</v>
      </c>
      <c r="M351" s="3" t="s">
        <v>1193</v>
      </c>
      <c r="N351" s="3" t="s">
        <v>49</v>
      </c>
      <c r="O351" s="3" t="s">
        <v>43</v>
      </c>
      <c r="P351" s="5" t="n">
        <v>9</v>
      </c>
      <c r="Q351" s="6" t="n">
        <v>2867.55</v>
      </c>
      <c r="R351" s="3" t="s">
        <v>84</v>
      </c>
      <c r="S351" s="7" t="n">
        <v>0.25</v>
      </c>
      <c r="T351" s="3" t="s">
        <v>51</v>
      </c>
      <c r="U351" s="7" t="n">
        <f aca="false">IF(T351="Valid",S351,0)</f>
        <v>0.25</v>
      </c>
      <c r="V351" s="6" t="n">
        <v>19355.96</v>
      </c>
      <c r="W351" s="6" t="n">
        <v>15012.45</v>
      </c>
      <c r="X351" s="6" t="n">
        <v>4017.4</v>
      </c>
      <c r="Y351" s="6" t="n">
        <f aca="false">P351*Q351*(1-U351)</f>
        <v>19355.9625</v>
      </c>
      <c r="Z351" s="6" t="n">
        <f aca="false">Y351-W351</f>
        <v>4343.5125</v>
      </c>
      <c r="AA351" s="8" t="n">
        <f aca="false">IF(Y351=0,0,Z351/Y351)</f>
        <v>0.224401783171465</v>
      </c>
      <c r="AB351" s="3" t="str">
        <f aca="false">IF(ABS(V351-Y351)&gt;1,"Mismatch","OK")</f>
        <v>OK</v>
      </c>
      <c r="AC351" s="3" t="str">
        <f aca="false">IF(ABS(X351-Z351)&gt;1,"Mismatch","OK")</f>
        <v>Mismatch</v>
      </c>
      <c r="AD351" s="5" t="n">
        <f aca="false">IF(OR(B351="",C351=""),"",C351-B351)</f>
        <v>2</v>
      </c>
      <c r="AE351" s="3" t="str">
        <f aca="false">IF(AD351="","Unknown",IF(AD351&lt;0,"Invalid - Ship Before Order","OK"))</f>
        <v>OK</v>
      </c>
      <c r="AF351" s="5" t="n">
        <f aca="false">IF(B351="","",MONTH(B351))</f>
        <v>9</v>
      </c>
      <c r="AG351" s="5" t="n">
        <f aca="false">IF(B351="","",YEAR(B351))</f>
        <v>2025</v>
      </c>
      <c r="AH351" s="3" t="s">
        <v>52</v>
      </c>
      <c r="AI351" s="3" t="s">
        <v>53</v>
      </c>
      <c r="AJ351" s="3" t="str">
        <f aca="false">IF(AND(AI351="Completed",AH351="Failed"),"Inconsistent - Completed Order with Failed Payment","OK")</f>
        <v>OK</v>
      </c>
      <c r="AK351" s="3" t="s">
        <v>54</v>
      </c>
      <c r="AL351" s="3" t="str">
        <f aca="false">IF(OR(T351="Negative - Invalid",T351="Above Allowed Range - Invalid",AE351="Invalid - Ship Before Order",AK351&lt;&gt;"Unique",AB351="Mismatch",AC351="Mismatch",AJ351&lt;&gt;"OK"),"Invalid",IF(OR(H351="Yes",O351="Yes",T351="Missing"),"Warning","Clean"))</f>
        <v>Invalid</v>
      </c>
    </row>
    <row r="352" customFormat="false" ht="15" hidden="false" customHeight="true" outlineLevel="0" collapsed="false">
      <c r="A352" s="3" t="s">
        <v>1194</v>
      </c>
      <c r="B352" s="4" t="n">
        <v>45298</v>
      </c>
      <c r="C352" s="4" t="n">
        <v>45305</v>
      </c>
      <c r="D352" s="3" t="s">
        <v>1195</v>
      </c>
      <c r="E352" s="3" t="s">
        <v>159</v>
      </c>
      <c r="F352" s="3" t="s">
        <v>58</v>
      </c>
      <c r="G352" s="3" t="s">
        <v>59</v>
      </c>
      <c r="H352" s="3" t="s">
        <v>43</v>
      </c>
      <c r="I352" s="3" t="s">
        <v>262</v>
      </c>
      <c r="J352" s="3" t="s">
        <v>263</v>
      </c>
      <c r="K352" s="3" t="s">
        <v>62</v>
      </c>
      <c r="L352" s="3" t="s">
        <v>81</v>
      </c>
      <c r="M352" s="3" t="s">
        <v>1196</v>
      </c>
      <c r="N352" s="3" t="s">
        <v>49</v>
      </c>
      <c r="O352" s="3" t="s">
        <v>43</v>
      </c>
      <c r="P352" s="5" t="n">
        <v>4</v>
      </c>
      <c r="Q352" s="6" t="n">
        <v>3309.54</v>
      </c>
      <c r="R352" s="3" t="s">
        <v>203</v>
      </c>
      <c r="S352" s="7" t="n">
        <v>0.1</v>
      </c>
      <c r="T352" s="3" t="s">
        <v>51</v>
      </c>
      <c r="U352" s="7" t="n">
        <f aca="false">IF(T352="Valid",S352,0)</f>
        <v>0.1</v>
      </c>
      <c r="V352" s="6" t="n">
        <v>11914.34</v>
      </c>
      <c r="W352" s="6" t="n">
        <v>9771.24</v>
      </c>
      <c r="X352" s="6" t="n">
        <v>2143.1</v>
      </c>
      <c r="Y352" s="6" t="n">
        <f aca="false">P352*Q352*(1-U352)</f>
        <v>11914.344</v>
      </c>
      <c r="Z352" s="6" t="n">
        <f aca="false">Y352-W352</f>
        <v>2143.104</v>
      </c>
      <c r="AA352" s="8" t="n">
        <f aca="false">IF(Y352=0,0,Z352/Y352)</f>
        <v>0.179875954563676</v>
      </c>
      <c r="AB352" s="3" t="str">
        <f aca="false">IF(ABS(V352-Y352)&gt;1,"Mismatch","OK")</f>
        <v>OK</v>
      </c>
      <c r="AC352" s="3" t="str">
        <f aca="false">IF(ABS(X352-Z352)&gt;1,"Mismatch","OK")</f>
        <v>OK</v>
      </c>
      <c r="AD352" s="5" t="n">
        <f aca="false">IF(OR(B352="",C352=""),"",C352-B352)</f>
        <v>7</v>
      </c>
      <c r="AE352" s="3" t="str">
        <f aca="false">IF(AD352="","Unknown",IF(AD352&lt;0,"Invalid - Ship Before Order","OK"))</f>
        <v>OK</v>
      </c>
      <c r="AF352" s="5" t="n">
        <f aca="false">IF(B352="","",MONTH(B352))</f>
        <v>1</v>
      </c>
      <c r="AG352" s="5" t="n">
        <f aca="false">IF(B352="","",YEAR(B352))</f>
        <v>2024</v>
      </c>
      <c r="AH352" s="3" t="s">
        <v>129</v>
      </c>
      <c r="AI352" s="3" t="s">
        <v>130</v>
      </c>
      <c r="AJ352" s="3" t="str">
        <f aca="false">IF(AND(AI352="Completed",AH352="Failed"),"Inconsistent - Completed Order with Failed Payment","OK")</f>
        <v>OK</v>
      </c>
      <c r="AK352" s="3" t="s">
        <v>54</v>
      </c>
      <c r="AL352" s="3" t="str">
        <f aca="false">IF(OR(T352="Negative - Invalid",T352="Above Allowed Range - Invalid",AE352="Invalid - Ship Before Order",AK352&lt;&gt;"Unique",AB352="Mismatch",AC352="Mismatch",AJ352&lt;&gt;"OK"),"Invalid",IF(OR(H352="Yes",O352="Yes",T352="Missing"),"Warning","Clean"))</f>
        <v>Clean</v>
      </c>
    </row>
    <row r="353" customFormat="false" ht="15" hidden="false" customHeight="true" outlineLevel="0" collapsed="false">
      <c r="A353" s="3" t="s">
        <v>1197</v>
      </c>
      <c r="B353" s="4" t="n">
        <v>45800</v>
      </c>
      <c r="C353" s="4" t="n">
        <v>45804</v>
      </c>
      <c r="D353" s="3" t="s">
        <v>1198</v>
      </c>
      <c r="E353" s="3" t="s">
        <v>96</v>
      </c>
      <c r="F353" s="3" t="s">
        <v>58</v>
      </c>
      <c r="G353" s="3" t="s">
        <v>78</v>
      </c>
      <c r="H353" s="3" t="s">
        <v>43</v>
      </c>
      <c r="I353" s="3" t="s">
        <v>79</v>
      </c>
      <c r="J353" s="3" t="s">
        <v>80</v>
      </c>
      <c r="K353" s="3" t="s">
        <v>46</v>
      </c>
      <c r="L353" s="3" t="s">
        <v>151</v>
      </c>
      <c r="M353" s="3" t="s">
        <v>1199</v>
      </c>
      <c r="N353" s="3" t="s">
        <v>72</v>
      </c>
      <c r="O353" s="3" t="s">
        <v>43</v>
      </c>
      <c r="P353" s="5" t="n">
        <v>6</v>
      </c>
      <c r="Q353" s="6" t="n">
        <v>719.44</v>
      </c>
      <c r="R353" s="3" t="s">
        <v>84</v>
      </c>
      <c r="S353" s="7" t="n">
        <v>0.25</v>
      </c>
      <c r="T353" s="3" t="s">
        <v>51</v>
      </c>
      <c r="U353" s="7" t="n">
        <f aca="false">IF(T353="Valid",S353,0)</f>
        <v>0.25</v>
      </c>
      <c r="V353" s="6" t="n">
        <v>3237.48</v>
      </c>
      <c r="W353" s="6" t="n">
        <v>2118.34</v>
      </c>
      <c r="X353" s="6" t="n">
        <v>1119.14</v>
      </c>
      <c r="Y353" s="6" t="n">
        <f aca="false">P353*Q353*(1-U353)</f>
        <v>3237.48</v>
      </c>
      <c r="Z353" s="6" t="n">
        <f aca="false">Y353-W353</f>
        <v>1119.14</v>
      </c>
      <c r="AA353" s="8" t="n">
        <f aca="false">IF(Y353=0,0,Z353/Y353)</f>
        <v>0.345682444370313</v>
      </c>
      <c r="AB353" s="3" t="str">
        <f aca="false">IF(ABS(V353-Y353)&gt;1,"Mismatch","OK")</f>
        <v>OK</v>
      </c>
      <c r="AC353" s="3" t="str">
        <f aca="false">IF(ABS(X353-Z353)&gt;1,"Mismatch","OK")</f>
        <v>OK</v>
      </c>
      <c r="AD353" s="5" t="n">
        <f aca="false">IF(OR(B353="",C353=""),"",C353-B353)</f>
        <v>4</v>
      </c>
      <c r="AE353" s="3" t="str">
        <f aca="false">IF(AD353="","Unknown",IF(AD353&lt;0,"Invalid - Ship Before Order","OK"))</f>
        <v>OK</v>
      </c>
      <c r="AF353" s="5" t="n">
        <f aca="false">IF(B353="","",MONTH(B353))</f>
        <v>5</v>
      </c>
      <c r="AG353" s="5" t="n">
        <f aca="false">IF(B353="","",YEAR(B353))</f>
        <v>2025</v>
      </c>
      <c r="AH353" s="3" t="s">
        <v>138</v>
      </c>
      <c r="AI353" s="3" t="s">
        <v>93</v>
      </c>
      <c r="AJ353" s="3" t="str">
        <f aca="false">IF(AND(AI353="Completed",AH353="Failed"),"Inconsistent - Completed Order with Failed Payment","OK")</f>
        <v>OK</v>
      </c>
      <c r="AK353" s="3" t="s">
        <v>54</v>
      </c>
      <c r="AL353" s="3" t="str">
        <f aca="false">IF(OR(T353="Negative - Invalid",T353="Above Allowed Range - Invalid",AE353="Invalid - Ship Before Order",AK353&lt;&gt;"Unique",AB353="Mismatch",AC353="Mismatch",AJ353&lt;&gt;"OK"),"Invalid",IF(OR(H353="Yes",O353="Yes",T353="Missing"),"Warning","Clean"))</f>
        <v>Clean</v>
      </c>
    </row>
    <row r="354" customFormat="false" ht="15" hidden="false" customHeight="true" outlineLevel="0" collapsed="false">
      <c r="A354" s="3" t="s">
        <v>1200</v>
      </c>
      <c r="B354" s="4" t="n">
        <v>45884</v>
      </c>
      <c r="C354" s="4" t="n">
        <v>45886</v>
      </c>
      <c r="D354" s="3" t="s">
        <v>1201</v>
      </c>
      <c r="E354" s="3" t="s">
        <v>192</v>
      </c>
      <c r="F354" s="3" t="s">
        <v>58</v>
      </c>
      <c r="G354" s="3" t="s">
        <v>59</v>
      </c>
      <c r="H354" s="3" t="s">
        <v>43</v>
      </c>
      <c r="I354" s="3" t="s">
        <v>196</v>
      </c>
      <c r="J354" s="3" t="s">
        <v>197</v>
      </c>
      <c r="K354" s="3" t="s">
        <v>99</v>
      </c>
      <c r="L354" s="3" t="s">
        <v>105</v>
      </c>
      <c r="M354" s="3" t="s">
        <v>1202</v>
      </c>
      <c r="N354" s="3" t="s">
        <v>72</v>
      </c>
      <c r="O354" s="3" t="s">
        <v>43</v>
      </c>
      <c r="P354" s="5" t="n">
        <v>5</v>
      </c>
      <c r="Q354" s="6" t="n">
        <v>2862.6</v>
      </c>
      <c r="R354" s="3" t="s">
        <v>84</v>
      </c>
      <c r="S354" s="7" t="n">
        <v>0.25</v>
      </c>
      <c r="T354" s="3" t="s">
        <v>51</v>
      </c>
      <c r="U354" s="7" t="n">
        <f aca="false">IF(T354="Valid",S354,0)</f>
        <v>0.25</v>
      </c>
      <c r="V354" s="6" t="n">
        <v>10734.75</v>
      </c>
      <c r="W354" s="6" t="n">
        <v>6475.73</v>
      </c>
      <c r="X354" s="6" t="n">
        <v>4259.02</v>
      </c>
      <c r="Y354" s="6" t="n">
        <f aca="false">P354*Q354*(1-U354)</f>
        <v>10734.75</v>
      </c>
      <c r="Z354" s="6" t="n">
        <f aca="false">Y354-W354</f>
        <v>4259.02</v>
      </c>
      <c r="AA354" s="8" t="n">
        <f aca="false">IF(Y354=0,0,Z354/Y354)</f>
        <v>0.396750739421039</v>
      </c>
      <c r="AB354" s="3" t="str">
        <f aca="false">IF(ABS(V354-Y354)&gt;1,"Mismatch","OK")</f>
        <v>OK</v>
      </c>
      <c r="AC354" s="3" t="str">
        <f aca="false">IF(ABS(X354-Z354)&gt;1,"Mismatch","OK")</f>
        <v>OK</v>
      </c>
      <c r="AD354" s="5" t="n">
        <f aca="false">IF(OR(B354="",C354=""),"",C354-B354)</f>
        <v>2</v>
      </c>
      <c r="AE354" s="3" t="str">
        <f aca="false">IF(AD354="","Unknown",IF(AD354&lt;0,"Invalid - Ship Before Order","OK"))</f>
        <v>OK</v>
      </c>
      <c r="AF354" s="5" t="n">
        <f aca="false">IF(B354="","",MONTH(B354))</f>
        <v>8</v>
      </c>
      <c r="AG354" s="5" t="n">
        <f aca="false">IF(B354="","",YEAR(B354))</f>
        <v>2025</v>
      </c>
      <c r="AH354" s="3" t="s">
        <v>52</v>
      </c>
      <c r="AI354" s="3" t="s">
        <v>53</v>
      </c>
      <c r="AJ354" s="3" t="str">
        <f aca="false">IF(AND(AI354="Completed",AH354="Failed"),"Inconsistent - Completed Order with Failed Payment","OK")</f>
        <v>OK</v>
      </c>
      <c r="AK354" s="3" t="s">
        <v>54</v>
      </c>
      <c r="AL354" s="3" t="str">
        <f aca="false">IF(OR(T354="Negative - Invalid",T354="Above Allowed Range - Invalid",AE354="Invalid - Ship Before Order",AK354&lt;&gt;"Unique",AB354="Mismatch",AC354="Mismatch",AJ354&lt;&gt;"OK"),"Invalid",IF(OR(H354="Yes",O354="Yes",T354="Missing"),"Warning","Clean"))</f>
        <v>Clean</v>
      </c>
    </row>
    <row r="355" customFormat="false" ht="15" hidden="false" customHeight="true" outlineLevel="0" collapsed="false">
      <c r="A355" s="3" t="s">
        <v>1203</v>
      </c>
      <c r="B355" s="4" t="n">
        <v>45709</v>
      </c>
      <c r="C355" s="4" t="n">
        <v>45715</v>
      </c>
      <c r="D355" s="3" t="s">
        <v>1204</v>
      </c>
      <c r="E355" s="3" t="s">
        <v>87</v>
      </c>
      <c r="F355" s="3" t="s">
        <v>41</v>
      </c>
      <c r="G355" s="3" t="s">
        <v>42</v>
      </c>
      <c r="H355" s="3" t="s">
        <v>43</v>
      </c>
      <c r="I355" s="3" t="s">
        <v>44</v>
      </c>
      <c r="J355" s="3" t="s">
        <v>45</v>
      </c>
      <c r="K355" s="3" t="s">
        <v>46</v>
      </c>
      <c r="L355" s="3" t="s">
        <v>70</v>
      </c>
      <c r="M355" s="3" t="s">
        <v>1205</v>
      </c>
      <c r="N355" s="3" t="s">
        <v>65</v>
      </c>
      <c r="O355" s="3" t="s">
        <v>43</v>
      </c>
      <c r="P355" s="5" t="n">
        <v>9</v>
      </c>
      <c r="Q355" s="6" t="n">
        <v>1431.67</v>
      </c>
      <c r="R355" s="3" t="s">
        <v>50</v>
      </c>
      <c r="S355" s="7" t="n">
        <v>0.2</v>
      </c>
      <c r="T355" s="3" t="s">
        <v>51</v>
      </c>
      <c r="U355" s="7" t="n">
        <f aca="false">IF(T355="Valid",S355,0)</f>
        <v>0.2</v>
      </c>
      <c r="V355" s="6" t="n">
        <v>10308.02</v>
      </c>
      <c r="W355" s="6" t="n">
        <v>5822.31</v>
      </c>
      <c r="X355" s="6" t="n">
        <v>4485.71</v>
      </c>
      <c r="Y355" s="6" t="n">
        <f aca="false">P355*Q355*(1-U355)</f>
        <v>10308.024</v>
      </c>
      <c r="Z355" s="6" t="n">
        <f aca="false">Y355-W355</f>
        <v>4485.714</v>
      </c>
      <c r="AA355" s="8" t="n">
        <f aca="false">IF(Y355=0,0,Z355/Y355)</f>
        <v>0.435167205664248</v>
      </c>
      <c r="AB355" s="3" t="str">
        <f aca="false">IF(ABS(V355-Y355)&gt;1,"Mismatch","OK")</f>
        <v>OK</v>
      </c>
      <c r="AC355" s="3" t="str">
        <f aca="false">IF(ABS(X355-Z355)&gt;1,"Mismatch","OK")</f>
        <v>OK</v>
      </c>
      <c r="AD355" s="5" t="n">
        <f aca="false">IF(OR(B355="",C355=""),"",C355-B355)</f>
        <v>6</v>
      </c>
      <c r="AE355" s="3" t="str">
        <f aca="false">IF(AD355="","Unknown",IF(AD355&lt;0,"Invalid - Ship Before Order","OK"))</f>
        <v>OK</v>
      </c>
      <c r="AF355" s="5" t="n">
        <f aca="false">IF(B355="","",MONTH(B355))</f>
        <v>2</v>
      </c>
      <c r="AG355" s="5" t="n">
        <f aca="false">IF(B355="","",YEAR(B355))</f>
        <v>2025</v>
      </c>
      <c r="AH355" s="3" t="s">
        <v>52</v>
      </c>
      <c r="AI355" s="3" t="s">
        <v>53</v>
      </c>
      <c r="AJ355" s="3" t="str">
        <f aca="false">IF(AND(AI355="Completed",AH355="Failed"),"Inconsistent - Completed Order with Failed Payment","OK")</f>
        <v>OK</v>
      </c>
      <c r="AK355" s="3" t="s">
        <v>54</v>
      </c>
      <c r="AL355" s="3" t="str">
        <f aca="false">IF(OR(T355="Negative - Invalid",T355="Above Allowed Range - Invalid",AE355="Invalid - Ship Before Order",AK355&lt;&gt;"Unique",AB355="Mismatch",AC355="Mismatch",AJ355&lt;&gt;"OK"),"Invalid",IF(OR(H355="Yes",O355="Yes",T355="Missing"),"Warning","Clean"))</f>
        <v>Clean</v>
      </c>
    </row>
    <row r="356" customFormat="false" ht="15" hidden="false" customHeight="true" outlineLevel="0" collapsed="false">
      <c r="A356" s="3" t="s">
        <v>1206</v>
      </c>
      <c r="B356" s="4" t="n">
        <v>45653</v>
      </c>
      <c r="C356" s="4" t="n">
        <v>45657</v>
      </c>
      <c r="D356" s="3" t="s">
        <v>1207</v>
      </c>
      <c r="E356" s="3" t="s">
        <v>298</v>
      </c>
      <c r="F356" s="3" t="s">
        <v>116</v>
      </c>
      <c r="G356" s="3" t="s">
        <v>42</v>
      </c>
      <c r="H356" s="3" t="s">
        <v>43</v>
      </c>
      <c r="I356" s="3" t="s">
        <v>149</v>
      </c>
      <c r="J356" s="3" t="s">
        <v>150</v>
      </c>
      <c r="K356" s="3" t="s">
        <v>62</v>
      </c>
      <c r="L356" s="3" t="s">
        <v>81</v>
      </c>
      <c r="M356" s="3" t="s">
        <v>1208</v>
      </c>
      <c r="N356" s="3" t="s">
        <v>83</v>
      </c>
      <c r="O356" s="3" t="s">
        <v>43</v>
      </c>
      <c r="P356" s="5" t="n">
        <v>6</v>
      </c>
      <c r="Q356" s="6" t="n">
        <v>3346.78</v>
      </c>
      <c r="R356" s="3" t="s">
        <v>1209</v>
      </c>
      <c r="S356" s="7" t="n">
        <v>-0.06</v>
      </c>
      <c r="T356" s="3" t="s">
        <v>171</v>
      </c>
      <c r="U356" s="7" t="n">
        <f aca="false">IF(T356="Valid",S356,0)</f>
        <v>0</v>
      </c>
      <c r="V356" s="6" t="n">
        <v>20080.68</v>
      </c>
      <c r="W356" s="6" t="n">
        <v>12908.84</v>
      </c>
      <c r="X356" s="6" t="n">
        <v>7171.84</v>
      </c>
      <c r="Y356" s="6" t="n">
        <f aca="false">P356*Q356*(1-U356)</f>
        <v>20080.68</v>
      </c>
      <c r="Z356" s="6" t="n">
        <f aca="false">Y356-W356</f>
        <v>7171.84</v>
      </c>
      <c r="AA356" s="8" t="n">
        <f aca="false">IF(Y356=0,0,Z356/Y356)</f>
        <v>0.357151251850037</v>
      </c>
      <c r="AB356" s="3" t="str">
        <f aca="false">IF(ABS(V356-Y356)&gt;1,"Mismatch","OK")</f>
        <v>OK</v>
      </c>
      <c r="AC356" s="3" t="str">
        <f aca="false">IF(ABS(X356-Z356)&gt;1,"Mismatch","OK")</f>
        <v>OK</v>
      </c>
      <c r="AD356" s="5" t="n">
        <f aca="false">IF(OR(B356="",C356=""),"",C356-B356)</f>
        <v>4</v>
      </c>
      <c r="AE356" s="3" t="str">
        <f aca="false">IF(AD356="","Unknown",IF(AD356&lt;0,"Invalid - Ship Before Order","OK"))</f>
        <v>OK</v>
      </c>
      <c r="AF356" s="5" t="n">
        <f aca="false">IF(B356="","",MONTH(B356))</f>
        <v>12</v>
      </c>
      <c r="AG356" s="5" t="n">
        <f aca="false">IF(B356="","",YEAR(B356))</f>
        <v>2024</v>
      </c>
      <c r="AH356" s="3" t="s">
        <v>138</v>
      </c>
      <c r="AI356" s="3" t="s">
        <v>93</v>
      </c>
      <c r="AJ356" s="3" t="str">
        <f aca="false">IF(AND(AI356="Completed",AH356="Failed"),"Inconsistent - Completed Order with Failed Payment","OK")</f>
        <v>OK</v>
      </c>
      <c r="AK356" s="3" t="s">
        <v>54</v>
      </c>
      <c r="AL356" s="3" t="str">
        <f aca="false">IF(OR(T356="Negative - Invalid",T356="Above Allowed Range - Invalid",AE356="Invalid - Ship Before Order",AK356&lt;&gt;"Unique",AB356="Mismatch",AC356="Mismatch",AJ356&lt;&gt;"OK"),"Invalid",IF(OR(H356="Yes",O356="Yes",T356="Missing"),"Warning","Clean"))</f>
        <v>Invalid</v>
      </c>
    </row>
    <row r="357" customFormat="false" ht="15" hidden="false" customHeight="true" outlineLevel="0" collapsed="false">
      <c r="A357" s="3" t="s">
        <v>1210</v>
      </c>
      <c r="B357" s="4" t="n">
        <v>45424</v>
      </c>
      <c r="C357" s="4" t="n">
        <v>45421</v>
      </c>
      <c r="D357" s="3" t="s">
        <v>1211</v>
      </c>
      <c r="E357" s="3" t="s">
        <v>141</v>
      </c>
      <c r="F357" s="3" t="s">
        <v>116</v>
      </c>
      <c r="G357" s="3" t="s">
        <v>88</v>
      </c>
      <c r="H357" s="3" t="s">
        <v>43</v>
      </c>
      <c r="I357" s="3" t="s">
        <v>44</v>
      </c>
      <c r="J357" s="3" t="s">
        <v>136</v>
      </c>
      <c r="K357" s="3" t="s">
        <v>62</v>
      </c>
      <c r="L357" s="3" t="s">
        <v>63</v>
      </c>
      <c r="M357" s="3" t="s">
        <v>1212</v>
      </c>
      <c r="N357" s="3" t="s">
        <v>83</v>
      </c>
      <c r="O357" s="3" t="s">
        <v>43</v>
      </c>
      <c r="P357" s="5" t="n">
        <v>5</v>
      </c>
      <c r="Q357" s="6" t="n">
        <v>3203.48</v>
      </c>
      <c r="R357" s="3" t="s">
        <v>66</v>
      </c>
      <c r="S357" s="7" t="n">
        <v>0</v>
      </c>
      <c r="T357" s="3" t="s">
        <v>51</v>
      </c>
      <c r="U357" s="7" t="n">
        <f aca="false">IF(T357="Valid",S357,0)</f>
        <v>0</v>
      </c>
      <c r="V357" s="6" t="n">
        <v>16017.4</v>
      </c>
      <c r="W357" s="6" t="n">
        <v>9557.8</v>
      </c>
      <c r="X357" s="6" t="n">
        <v>6459.6</v>
      </c>
      <c r="Y357" s="6" t="n">
        <f aca="false">P357*Q357*(1-U357)</f>
        <v>16017.4</v>
      </c>
      <c r="Z357" s="6" t="n">
        <f aca="false">Y357-W357</f>
        <v>6459.6</v>
      </c>
      <c r="AA357" s="8" t="n">
        <f aca="false">IF(Y357=0,0,Z357/Y357)</f>
        <v>0.403286426011712</v>
      </c>
      <c r="AB357" s="3" t="str">
        <f aca="false">IF(ABS(V357-Y357)&gt;1,"Mismatch","OK")</f>
        <v>OK</v>
      </c>
      <c r="AC357" s="3" t="str">
        <f aca="false">IF(ABS(X357-Z357)&gt;1,"Mismatch","OK")</f>
        <v>OK</v>
      </c>
      <c r="AD357" s="5" t="n">
        <f aca="false">IF(OR(B357="",C357=""),"",C357-B357)</f>
        <v>-3</v>
      </c>
      <c r="AE357" s="3" t="str">
        <f aca="false">IF(AD357="","Unknown",IF(AD357&lt;0,"Invalid - Ship Before Order","OK"))</f>
        <v>Invalid - Ship Before Order</v>
      </c>
      <c r="AF357" s="5" t="n">
        <f aca="false">IF(B357="","",MONTH(B357))</f>
        <v>5</v>
      </c>
      <c r="AG357" s="5" t="n">
        <f aca="false">IF(B357="","",YEAR(B357))</f>
        <v>2024</v>
      </c>
      <c r="AH357" s="3" t="s">
        <v>138</v>
      </c>
      <c r="AI357" s="3" t="s">
        <v>93</v>
      </c>
      <c r="AJ357" s="3" t="str">
        <f aca="false">IF(AND(AI357="Completed",AH357="Failed"),"Inconsistent - Completed Order with Failed Payment","OK")</f>
        <v>OK</v>
      </c>
      <c r="AK357" s="3" t="s">
        <v>54</v>
      </c>
      <c r="AL357" s="3" t="str">
        <f aca="false">IF(OR(T357="Negative - Invalid",T357="Above Allowed Range - Invalid",AE357="Invalid - Ship Before Order",AK357&lt;&gt;"Unique",AB357="Mismatch",AC357="Mismatch",AJ357&lt;&gt;"OK"),"Invalid",IF(OR(H357="Yes",O357="Yes",T357="Missing"),"Warning","Clean"))</f>
        <v>Invalid</v>
      </c>
    </row>
    <row r="358" customFormat="false" ht="15" hidden="false" customHeight="true" outlineLevel="0" collapsed="false">
      <c r="A358" s="3" t="s">
        <v>1213</v>
      </c>
      <c r="B358" s="4" t="n">
        <v>45835</v>
      </c>
      <c r="C358" s="4" t="n">
        <v>45837</v>
      </c>
      <c r="D358" s="3" t="s">
        <v>1214</v>
      </c>
      <c r="E358" s="3" t="s">
        <v>168</v>
      </c>
      <c r="F358" s="3" t="s">
        <v>121</v>
      </c>
      <c r="G358" s="3" t="s">
        <v>78</v>
      </c>
      <c r="H358" s="3" t="s">
        <v>43</v>
      </c>
      <c r="I358" s="3" t="s">
        <v>79</v>
      </c>
      <c r="J358" s="3" t="s">
        <v>80</v>
      </c>
      <c r="K358" s="3" t="s">
        <v>62</v>
      </c>
      <c r="L358" s="3" t="s">
        <v>91</v>
      </c>
      <c r="M358" s="3" t="s">
        <v>1215</v>
      </c>
      <c r="N358" s="3" t="s">
        <v>72</v>
      </c>
      <c r="O358" s="3" t="s">
        <v>43</v>
      </c>
      <c r="P358" s="5" t="n">
        <v>5</v>
      </c>
      <c r="Q358" s="6" t="n">
        <v>621.7</v>
      </c>
      <c r="R358" s="3" t="s">
        <v>50</v>
      </c>
      <c r="S358" s="7" t="n">
        <v>0.2</v>
      </c>
      <c r="T358" s="3" t="s">
        <v>51</v>
      </c>
      <c r="U358" s="7" t="n">
        <f aca="false">IF(T358="Valid",S358,0)</f>
        <v>0.2</v>
      </c>
      <c r="V358" s="6" t="n">
        <v>2486.8</v>
      </c>
      <c r="W358" s="6" t="n">
        <v>2131.73</v>
      </c>
      <c r="X358" s="6" t="n">
        <v>355.07</v>
      </c>
      <c r="Y358" s="6" t="n">
        <f aca="false">P358*Q358*(1-U358)</f>
        <v>2486.8</v>
      </c>
      <c r="Z358" s="6" t="n">
        <f aca="false">Y358-W358</f>
        <v>355.07</v>
      </c>
      <c r="AA358" s="8" t="n">
        <f aca="false">IF(Y358=0,0,Z358/Y358)</f>
        <v>0.142781888370597</v>
      </c>
      <c r="AB358" s="3" t="str">
        <f aca="false">IF(ABS(V358-Y358)&gt;1,"Mismatch","OK")</f>
        <v>OK</v>
      </c>
      <c r="AC358" s="3" t="str">
        <f aca="false">IF(ABS(X358-Z358)&gt;1,"Mismatch","OK")</f>
        <v>OK</v>
      </c>
      <c r="AD358" s="5" t="n">
        <f aca="false">IF(OR(B358="",C358=""),"",C358-B358)</f>
        <v>2</v>
      </c>
      <c r="AE358" s="3" t="str">
        <f aca="false">IF(AD358="","Unknown",IF(AD358&lt;0,"Invalid - Ship Before Order","OK"))</f>
        <v>OK</v>
      </c>
      <c r="AF358" s="5" t="n">
        <f aca="false">IF(B358="","",MONTH(B358))</f>
        <v>6</v>
      </c>
      <c r="AG358" s="5" t="n">
        <f aca="false">IF(B358="","",YEAR(B358))</f>
        <v>2025</v>
      </c>
      <c r="AH358" s="3" t="s">
        <v>138</v>
      </c>
      <c r="AI358" s="3" t="s">
        <v>130</v>
      </c>
      <c r="AJ358" s="3" t="str">
        <f aca="false">IF(AND(AI358="Completed",AH358="Failed"),"Inconsistent - Completed Order with Failed Payment","OK")</f>
        <v>OK</v>
      </c>
      <c r="AK358" s="3" t="s">
        <v>54</v>
      </c>
      <c r="AL358" s="3" t="str">
        <f aca="false">IF(OR(T358="Negative - Invalid",T358="Above Allowed Range - Invalid",AE358="Invalid - Ship Before Order",AK358&lt;&gt;"Unique",AB358="Mismatch",AC358="Mismatch",AJ358&lt;&gt;"OK"),"Invalid",IF(OR(H358="Yes",O358="Yes",T358="Missing"),"Warning","Clean"))</f>
        <v>Clean</v>
      </c>
    </row>
    <row r="359" customFormat="false" ht="15" hidden="false" customHeight="true" outlineLevel="0" collapsed="false">
      <c r="A359" s="3" t="s">
        <v>1216</v>
      </c>
      <c r="B359" s="4" t="n">
        <v>45678</v>
      </c>
      <c r="C359" s="4" t="n">
        <v>45686</v>
      </c>
      <c r="D359" s="3" t="s">
        <v>1217</v>
      </c>
      <c r="E359" s="3" t="s">
        <v>57</v>
      </c>
      <c r="F359" s="3" t="s">
        <v>121</v>
      </c>
      <c r="G359" s="3" t="s">
        <v>78</v>
      </c>
      <c r="H359" s="3" t="s">
        <v>43</v>
      </c>
      <c r="I359" s="3" t="s">
        <v>110</v>
      </c>
      <c r="J359" s="3" t="s">
        <v>111</v>
      </c>
      <c r="K359" s="3" t="s">
        <v>99</v>
      </c>
      <c r="L359" s="3" t="s">
        <v>308</v>
      </c>
      <c r="M359" s="3" t="s">
        <v>1218</v>
      </c>
      <c r="N359" s="3" t="s">
        <v>49</v>
      </c>
      <c r="O359" s="3" t="s">
        <v>43</v>
      </c>
      <c r="P359" s="5" t="n">
        <v>8</v>
      </c>
      <c r="Q359" s="6" t="n">
        <v>546.13</v>
      </c>
      <c r="R359" s="3" t="s">
        <v>66</v>
      </c>
      <c r="S359" s="7" t="n">
        <v>0</v>
      </c>
      <c r="T359" s="3" t="s">
        <v>51</v>
      </c>
      <c r="U359" s="7" t="n">
        <f aca="false">IF(T359="Valid",S359,0)</f>
        <v>0</v>
      </c>
      <c r="V359" s="6" t="n">
        <v>4369.04</v>
      </c>
      <c r="W359" s="6" t="n">
        <v>3716.88</v>
      </c>
      <c r="X359" s="6" t="n">
        <v>652.16</v>
      </c>
      <c r="Y359" s="6" t="n">
        <f aca="false">P359*Q359*(1-U359)</f>
        <v>4369.04</v>
      </c>
      <c r="Z359" s="6" t="n">
        <f aca="false">Y359-W359</f>
        <v>652.16</v>
      </c>
      <c r="AA359" s="8" t="n">
        <f aca="false">IF(Y359=0,0,Z359/Y359)</f>
        <v>0.149268489187556</v>
      </c>
      <c r="AB359" s="3" t="str">
        <f aca="false">IF(ABS(V359-Y359)&gt;1,"Mismatch","OK")</f>
        <v>OK</v>
      </c>
      <c r="AC359" s="3" t="str">
        <f aca="false">IF(ABS(X359-Z359)&gt;1,"Mismatch","OK")</f>
        <v>OK</v>
      </c>
      <c r="AD359" s="5" t="n">
        <f aca="false">IF(OR(B359="",C359=""),"",C359-B359)</f>
        <v>8</v>
      </c>
      <c r="AE359" s="3" t="str">
        <f aca="false">IF(AD359="","Unknown",IF(AD359&lt;0,"Invalid - Ship Before Order","OK"))</f>
        <v>OK</v>
      </c>
      <c r="AF359" s="5" t="n">
        <f aca="false">IF(B359="","",MONTH(B359))</f>
        <v>1</v>
      </c>
      <c r="AG359" s="5" t="n">
        <f aca="false">IF(B359="","",YEAR(B359))</f>
        <v>2025</v>
      </c>
      <c r="AH359" s="3" t="s">
        <v>52</v>
      </c>
      <c r="AI359" s="3" t="s">
        <v>93</v>
      </c>
      <c r="AJ359" s="3" t="str">
        <f aca="false">IF(AND(AI359="Completed",AH359="Failed"),"Inconsistent - Completed Order with Failed Payment","OK")</f>
        <v>OK</v>
      </c>
      <c r="AK359" s="3" t="s">
        <v>54</v>
      </c>
      <c r="AL359" s="3" t="str">
        <f aca="false">IF(OR(T359="Negative - Invalid",T359="Above Allowed Range - Invalid",AE359="Invalid - Ship Before Order",AK359&lt;&gt;"Unique",AB359="Mismatch",AC359="Mismatch",AJ359&lt;&gt;"OK"),"Invalid",IF(OR(H359="Yes",O359="Yes",T359="Missing"),"Warning","Clean"))</f>
        <v>Clean</v>
      </c>
    </row>
    <row r="360" customFormat="false" ht="15" hidden="false" customHeight="true" outlineLevel="0" collapsed="false">
      <c r="A360" s="3" t="s">
        <v>1219</v>
      </c>
      <c r="B360" s="4" t="n">
        <v>45878</v>
      </c>
      <c r="C360" s="4" t="n">
        <v>45876</v>
      </c>
      <c r="D360" s="3" t="s">
        <v>1220</v>
      </c>
      <c r="E360" s="3" t="s">
        <v>96</v>
      </c>
      <c r="F360" s="3" t="s">
        <v>121</v>
      </c>
      <c r="G360" s="3" t="s">
        <v>88</v>
      </c>
      <c r="H360" s="3" t="s">
        <v>43</v>
      </c>
      <c r="I360" s="3" t="s">
        <v>211</v>
      </c>
      <c r="J360" s="3" t="s">
        <v>212</v>
      </c>
      <c r="K360" s="3" t="s">
        <v>62</v>
      </c>
      <c r="L360" s="3" t="s">
        <v>188</v>
      </c>
      <c r="M360" s="3" t="s">
        <v>1221</v>
      </c>
      <c r="N360" s="3" t="s">
        <v>49</v>
      </c>
      <c r="O360" s="3" t="s">
        <v>43</v>
      </c>
      <c r="P360" s="5" t="n">
        <v>5</v>
      </c>
      <c r="Q360" s="6" t="n">
        <v>1253.92</v>
      </c>
      <c r="R360" s="3" t="s">
        <v>128</v>
      </c>
      <c r="S360" s="7" t="n">
        <v>0.05</v>
      </c>
      <c r="T360" s="3" t="s">
        <v>51</v>
      </c>
      <c r="U360" s="7" t="n">
        <f aca="false">IF(T360="Valid",S360,0)</f>
        <v>0.05</v>
      </c>
      <c r="V360" s="6" t="n">
        <v>5956.12</v>
      </c>
      <c r="W360" s="6" t="n">
        <v>4379.18</v>
      </c>
      <c r="X360" s="6" t="n">
        <v>1576.94</v>
      </c>
      <c r="Y360" s="6" t="n">
        <f aca="false">P360*Q360*(1-U360)</f>
        <v>5956.12</v>
      </c>
      <c r="Z360" s="6" t="n">
        <f aca="false">Y360-W360</f>
        <v>1576.94</v>
      </c>
      <c r="AA360" s="8" t="n">
        <f aca="false">IF(Y360=0,0,Z360/Y360)</f>
        <v>0.264759608604259</v>
      </c>
      <c r="AB360" s="3" t="str">
        <f aca="false">IF(ABS(V360-Y360)&gt;1,"Mismatch","OK")</f>
        <v>OK</v>
      </c>
      <c r="AC360" s="3" t="str">
        <f aca="false">IF(ABS(X360-Z360)&gt;1,"Mismatch","OK")</f>
        <v>OK</v>
      </c>
      <c r="AD360" s="5" t="n">
        <f aca="false">IF(OR(B360="",C360=""),"",C360-B360)</f>
        <v>-2</v>
      </c>
      <c r="AE360" s="3" t="str">
        <f aca="false">IF(AD360="","Unknown",IF(AD360&lt;0,"Invalid - Ship Before Order","OK"))</f>
        <v>Invalid - Ship Before Order</v>
      </c>
      <c r="AF360" s="5" t="n">
        <f aca="false">IF(B360="","",MONTH(B360))</f>
        <v>8</v>
      </c>
      <c r="AG360" s="5" t="n">
        <f aca="false">IF(B360="","",YEAR(B360))</f>
        <v>2025</v>
      </c>
      <c r="AH360" s="3" t="s">
        <v>138</v>
      </c>
      <c r="AI360" s="3" t="s">
        <v>130</v>
      </c>
      <c r="AJ360" s="3" t="str">
        <f aca="false">IF(AND(AI360="Completed",AH360="Failed"),"Inconsistent - Completed Order with Failed Payment","OK")</f>
        <v>OK</v>
      </c>
      <c r="AK360" s="3" t="s">
        <v>54</v>
      </c>
      <c r="AL360" s="3" t="str">
        <f aca="false">IF(OR(T360="Negative - Invalid",T360="Above Allowed Range - Invalid",AE360="Invalid - Ship Before Order",AK360&lt;&gt;"Unique",AB360="Mismatch",AC360="Mismatch",AJ360&lt;&gt;"OK"),"Invalid",IF(OR(H360="Yes",O360="Yes",T360="Missing"),"Warning","Clean"))</f>
        <v>Invalid</v>
      </c>
    </row>
    <row r="361" customFormat="false" ht="15" hidden="false" customHeight="true" outlineLevel="0" collapsed="false">
      <c r="A361" s="3" t="s">
        <v>1222</v>
      </c>
      <c r="B361" s="4" t="n">
        <v>45525</v>
      </c>
      <c r="C361" s="4" t="n">
        <v>45526</v>
      </c>
      <c r="D361" s="3" t="s">
        <v>1223</v>
      </c>
      <c r="E361" s="3" t="s">
        <v>69</v>
      </c>
      <c r="F361" s="3" t="s">
        <v>41</v>
      </c>
      <c r="G361" s="3" t="s">
        <v>78</v>
      </c>
      <c r="H361" s="3" t="s">
        <v>43</v>
      </c>
      <c r="I361" s="3" t="s">
        <v>281</v>
      </c>
      <c r="J361" s="3" t="s">
        <v>282</v>
      </c>
      <c r="K361" s="3" t="s">
        <v>99</v>
      </c>
      <c r="L361" s="3" t="s">
        <v>201</v>
      </c>
      <c r="M361" s="3" t="s">
        <v>1224</v>
      </c>
      <c r="N361" s="3" t="s">
        <v>65</v>
      </c>
      <c r="O361" s="3" t="s">
        <v>43</v>
      </c>
      <c r="P361" s="5" t="n">
        <v>9</v>
      </c>
      <c r="Q361" s="6" t="n">
        <v>616.96</v>
      </c>
      <c r="R361" s="3" t="s">
        <v>203</v>
      </c>
      <c r="S361" s="7" t="n">
        <v>0.1</v>
      </c>
      <c r="T361" s="3" t="s">
        <v>51</v>
      </c>
      <c r="U361" s="7" t="n">
        <f aca="false">IF(T361="Valid",S361,0)</f>
        <v>0.1</v>
      </c>
      <c r="V361" s="6" t="n">
        <v>4997.38</v>
      </c>
      <c r="W361" s="6" t="n">
        <v>2971.39</v>
      </c>
      <c r="X361" s="6" t="n">
        <v>2025.99</v>
      </c>
      <c r="Y361" s="6" t="n">
        <f aca="false">P361*Q361*(1-U361)</f>
        <v>4997.376</v>
      </c>
      <c r="Z361" s="6" t="n">
        <f aca="false">Y361-W361</f>
        <v>2025.986</v>
      </c>
      <c r="AA361" s="8" t="n">
        <f aca="false">IF(Y361=0,0,Z361/Y361)</f>
        <v>0.40540995914656</v>
      </c>
      <c r="AB361" s="3" t="str">
        <f aca="false">IF(ABS(V361-Y361)&gt;1,"Mismatch","OK")</f>
        <v>OK</v>
      </c>
      <c r="AC361" s="3" t="str">
        <f aca="false">IF(ABS(X361-Z361)&gt;1,"Mismatch","OK")</f>
        <v>OK</v>
      </c>
      <c r="AD361" s="5" t="n">
        <f aca="false">IF(OR(B361="",C361=""),"",C361-B361)</f>
        <v>1</v>
      </c>
      <c r="AE361" s="3" t="str">
        <f aca="false">IF(AD361="","Unknown",IF(AD361&lt;0,"Invalid - Ship Before Order","OK"))</f>
        <v>OK</v>
      </c>
      <c r="AF361" s="5" t="n">
        <f aca="false">IF(B361="","",MONTH(B361))</f>
        <v>8</v>
      </c>
      <c r="AG361" s="5" t="n">
        <f aca="false">IF(B361="","",YEAR(B361))</f>
        <v>2024</v>
      </c>
      <c r="AH361" s="3" t="s">
        <v>52</v>
      </c>
      <c r="AI361" s="3" t="s">
        <v>53</v>
      </c>
      <c r="AJ361" s="3" t="str">
        <f aca="false">IF(AND(AI361="Completed",AH361="Failed"),"Inconsistent - Completed Order with Failed Payment","OK")</f>
        <v>OK</v>
      </c>
      <c r="AK361" s="3" t="s">
        <v>54</v>
      </c>
      <c r="AL361" s="3" t="str">
        <f aca="false">IF(OR(T361="Negative - Invalid",T361="Above Allowed Range - Invalid",AE361="Invalid - Ship Before Order",AK361&lt;&gt;"Unique",AB361="Mismatch",AC361="Mismatch",AJ361&lt;&gt;"OK"),"Invalid",IF(OR(H361="Yes",O361="Yes",T361="Missing"),"Warning","Clean"))</f>
        <v>Clean</v>
      </c>
    </row>
    <row r="362" customFormat="false" ht="15" hidden="false" customHeight="true" outlineLevel="0" collapsed="false">
      <c r="A362" s="3" t="s">
        <v>1225</v>
      </c>
      <c r="B362" s="4" t="n">
        <v>45460</v>
      </c>
      <c r="C362" s="4" t="n">
        <v>45463</v>
      </c>
      <c r="D362" s="3" t="s">
        <v>1226</v>
      </c>
      <c r="E362" s="3" t="s">
        <v>159</v>
      </c>
      <c r="F362" s="3" t="s">
        <v>58</v>
      </c>
      <c r="G362" s="3" t="s">
        <v>88</v>
      </c>
      <c r="H362" s="3" t="s">
        <v>43</v>
      </c>
      <c r="I362" s="3" t="s">
        <v>211</v>
      </c>
      <c r="J362" s="3" t="s">
        <v>212</v>
      </c>
      <c r="K362" s="3" t="s">
        <v>62</v>
      </c>
      <c r="L362" s="3" t="s">
        <v>81</v>
      </c>
      <c r="M362" s="3" t="s">
        <v>1227</v>
      </c>
      <c r="N362" s="3" t="s">
        <v>83</v>
      </c>
      <c r="O362" s="3" t="s">
        <v>43</v>
      </c>
      <c r="P362" s="5" t="n">
        <v>7</v>
      </c>
      <c r="Q362" s="6" t="n">
        <v>3155.25</v>
      </c>
      <c r="R362" s="3" t="s">
        <v>50</v>
      </c>
      <c r="S362" s="7" t="n">
        <v>0.2</v>
      </c>
      <c r="T362" s="3" t="s">
        <v>51</v>
      </c>
      <c r="U362" s="7" t="n">
        <f aca="false">IF(T362="Valid",S362,0)</f>
        <v>0.2</v>
      </c>
      <c r="V362" s="6" t="n">
        <v>17669.4</v>
      </c>
      <c r="W362" s="6" t="n">
        <v>13718.77</v>
      </c>
      <c r="X362" s="6" t="n">
        <v>3950.63</v>
      </c>
      <c r="Y362" s="6" t="n">
        <f aca="false">P362*Q362*(1-U362)</f>
        <v>17669.4</v>
      </c>
      <c r="Z362" s="6" t="n">
        <f aca="false">Y362-W362</f>
        <v>3950.63</v>
      </c>
      <c r="AA362" s="8" t="n">
        <f aca="false">IF(Y362=0,0,Z362/Y362)</f>
        <v>0.223585973490894</v>
      </c>
      <c r="AB362" s="3" t="str">
        <f aca="false">IF(ABS(V362-Y362)&gt;1,"Mismatch","OK")</f>
        <v>OK</v>
      </c>
      <c r="AC362" s="3" t="str">
        <f aca="false">IF(ABS(X362-Z362)&gt;1,"Mismatch","OK")</f>
        <v>OK</v>
      </c>
      <c r="AD362" s="5" t="n">
        <f aca="false">IF(OR(B362="",C362=""),"",C362-B362)</f>
        <v>3</v>
      </c>
      <c r="AE362" s="3" t="str">
        <f aca="false">IF(AD362="","Unknown",IF(AD362&lt;0,"Invalid - Ship Before Order","OK"))</f>
        <v>OK</v>
      </c>
      <c r="AF362" s="5" t="n">
        <f aca="false">IF(B362="","",MONTH(B362))</f>
        <v>6</v>
      </c>
      <c r="AG362" s="5" t="n">
        <f aca="false">IF(B362="","",YEAR(B362))</f>
        <v>2024</v>
      </c>
      <c r="AH362" s="3" t="s">
        <v>129</v>
      </c>
      <c r="AI362" s="3" t="s">
        <v>93</v>
      </c>
      <c r="AJ362" s="3" t="str">
        <f aca="false">IF(AND(AI362="Completed",AH362="Failed"),"Inconsistent - Completed Order with Failed Payment","OK")</f>
        <v>OK</v>
      </c>
      <c r="AK362" s="3" t="s">
        <v>54</v>
      </c>
      <c r="AL362" s="3" t="str">
        <f aca="false">IF(OR(T362="Negative - Invalid",T362="Above Allowed Range - Invalid",AE362="Invalid - Ship Before Order",AK362&lt;&gt;"Unique",AB362="Mismatch",AC362="Mismatch",AJ362&lt;&gt;"OK"),"Invalid",IF(OR(H362="Yes",O362="Yes",T362="Missing"),"Warning","Clean"))</f>
        <v>Clean</v>
      </c>
    </row>
    <row r="363" customFormat="false" ht="15" hidden="false" customHeight="true" outlineLevel="0" collapsed="false">
      <c r="A363" s="3" t="s">
        <v>1228</v>
      </c>
      <c r="B363" s="4" t="n">
        <v>45748</v>
      </c>
      <c r="C363" s="4" t="n">
        <v>45749</v>
      </c>
      <c r="D363" s="3" t="s">
        <v>1229</v>
      </c>
      <c r="E363" s="3" t="s">
        <v>168</v>
      </c>
      <c r="F363" s="3" t="s">
        <v>116</v>
      </c>
      <c r="G363" s="3" t="s">
        <v>59</v>
      </c>
      <c r="H363" s="3" t="s">
        <v>43</v>
      </c>
      <c r="I363" s="3" t="s">
        <v>60</v>
      </c>
      <c r="J363" s="3" t="s">
        <v>61</v>
      </c>
      <c r="K363" s="3" t="s">
        <v>62</v>
      </c>
      <c r="L363" s="3" t="s">
        <v>91</v>
      </c>
      <c r="M363" s="3" t="s">
        <v>1230</v>
      </c>
      <c r="N363" s="3" t="s">
        <v>49</v>
      </c>
      <c r="O363" s="3" t="s">
        <v>43</v>
      </c>
      <c r="P363" s="5" t="n">
        <v>9</v>
      </c>
      <c r="Q363" s="6" t="n">
        <v>4165.58</v>
      </c>
      <c r="R363" s="3" t="s">
        <v>128</v>
      </c>
      <c r="S363" s="7" t="n">
        <v>0.05</v>
      </c>
      <c r="T363" s="3" t="s">
        <v>51</v>
      </c>
      <c r="U363" s="7" t="n">
        <f aca="false">IF(T363="Valid",S363,0)</f>
        <v>0.05</v>
      </c>
      <c r="V363" s="6" t="n">
        <v>35615.71</v>
      </c>
      <c r="W363" s="6" t="n">
        <v>20389.71</v>
      </c>
      <c r="X363" s="6" t="n">
        <v>15226</v>
      </c>
      <c r="Y363" s="6" t="n">
        <f aca="false">P363*Q363*(1-U363)</f>
        <v>35615.709</v>
      </c>
      <c r="Z363" s="6" t="n">
        <f aca="false">Y363-W363</f>
        <v>15225.999</v>
      </c>
      <c r="AA363" s="8" t="n">
        <f aca="false">IF(Y363=0,0,Z363/Y363)</f>
        <v>0.427507957233141</v>
      </c>
      <c r="AB363" s="3" t="str">
        <f aca="false">IF(ABS(V363-Y363)&gt;1,"Mismatch","OK")</f>
        <v>OK</v>
      </c>
      <c r="AC363" s="3" t="str">
        <f aca="false">IF(ABS(X363-Z363)&gt;1,"Mismatch","OK")</f>
        <v>OK</v>
      </c>
      <c r="AD363" s="5" t="n">
        <f aca="false">IF(OR(B363="",C363=""),"",C363-B363)</f>
        <v>1</v>
      </c>
      <c r="AE363" s="3" t="str">
        <f aca="false">IF(AD363="","Unknown",IF(AD363&lt;0,"Invalid - Ship Before Order","OK"))</f>
        <v>OK</v>
      </c>
      <c r="AF363" s="5" t="n">
        <f aca="false">IF(B363="","",MONTH(B363))</f>
        <v>4</v>
      </c>
      <c r="AG363" s="5" t="n">
        <f aca="false">IF(B363="","",YEAR(B363))</f>
        <v>2025</v>
      </c>
      <c r="AH363" s="3" t="s">
        <v>138</v>
      </c>
      <c r="AI363" s="3" t="s">
        <v>130</v>
      </c>
      <c r="AJ363" s="3" t="str">
        <f aca="false">IF(AND(AI363="Completed",AH363="Failed"),"Inconsistent - Completed Order with Failed Payment","OK")</f>
        <v>OK</v>
      </c>
      <c r="AK363" s="3" t="s">
        <v>54</v>
      </c>
      <c r="AL363" s="3" t="str">
        <f aca="false">IF(OR(T363="Negative - Invalid",T363="Above Allowed Range - Invalid",AE363="Invalid - Ship Before Order",AK363&lt;&gt;"Unique",AB363="Mismatch",AC363="Mismatch",AJ363&lt;&gt;"OK"),"Invalid",IF(OR(H363="Yes",O363="Yes",T363="Missing"),"Warning","Clean"))</f>
        <v>Clean</v>
      </c>
    </row>
    <row r="364" customFormat="false" ht="15" hidden="false" customHeight="true" outlineLevel="0" collapsed="false">
      <c r="A364" s="3" t="s">
        <v>1231</v>
      </c>
      <c r="B364" s="4" t="n">
        <v>45527</v>
      </c>
      <c r="C364" s="4" t="n">
        <v>45529</v>
      </c>
      <c r="D364" s="3" t="s">
        <v>1232</v>
      </c>
      <c r="E364" s="3" t="s">
        <v>96</v>
      </c>
      <c r="F364" s="3" t="s">
        <v>41</v>
      </c>
      <c r="G364" s="3" t="s">
        <v>88</v>
      </c>
      <c r="H364" s="3" t="s">
        <v>43</v>
      </c>
      <c r="I364" s="3" t="s">
        <v>221</v>
      </c>
      <c r="J364" s="3" t="s">
        <v>222</v>
      </c>
      <c r="K364" s="3" t="s">
        <v>99</v>
      </c>
      <c r="L364" s="3" t="s">
        <v>308</v>
      </c>
      <c r="M364" s="3" t="s">
        <v>1233</v>
      </c>
      <c r="N364" s="3" t="s">
        <v>65</v>
      </c>
      <c r="O364" s="3" t="s">
        <v>43</v>
      </c>
      <c r="P364" s="5" t="n">
        <v>4</v>
      </c>
      <c r="Q364" s="6" t="n">
        <v>491.16</v>
      </c>
      <c r="R364" s="3" t="s">
        <v>128</v>
      </c>
      <c r="S364" s="7" t="n">
        <v>0.05</v>
      </c>
      <c r="T364" s="3" t="s">
        <v>51</v>
      </c>
      <c r="U364" s="7" t="n">
        <f aca="false">IF(T364="Valid",S364,0)</f>
        <v>0.05</v>
      </c>
      <c r="V364" s="6" t="n">
        <v>1866.41</v>
      </c>
      <c r="W364" s="6" t="n">
        <v>1576.49</v>
      </c>
      <c r="X364" s="6" t="n">
        <v>289.92</v>
      </c>
      <c r="Y364" s="6" t="n">
        <f aca="false">P364*Q364*(1-U364)</f>
        <v>1866.408</v>
      </c>
      <c r="Z364" s="6" t="n">
        <f aca="false">Y364-W364</f>
        <v>289.918</v>
      </c>
      <c r="AA364" s="8" t="n">
        <f aca="false">IF(Y364=0,0,Z364/Y364)</f>
        <v>0.155334739242438</v>
      </c>
      <c r="AB364" s="3" t="str">
        <f aca="false">IF(ABS(V364-Y364)&gt;1,"Mismatch","OK")</f>
        <v>OK</v>
      </c>
      <c r="AC364" s="3" t="str">
        <f aca="false">IF(ABS(X364-Z364)&gt;1,"Mismatch","OK")</f>
        <v>OK</v>
      </c>
      <c r="AD364" s="5" t="n">
        <f aca="false">IF(OR(B364="",C364=""),"",C364-B364)</f>
        <v>2</v>
      </c>
      <c r="AE364" s="3" t="str">
        <f aca="false">IF(AD364="","Unknown",IF(AD364&lt;0,"Invalid - Ship Before Order","OK"))</f>
        <v>OK</v>
      </c>
      <c r="AF364" s="5" t="n">
        <f aca="false">IF(B364="","",MONTH(B364))</f>
        <v>8</v>
      </c>
      <c r="AG364" s="5" t="n">
        <f aca="false">IF(B364="","",YEAR(B364))</f>
        <v>2024</v>
      </c>
      <c r="AH364" s="3" t="s">
        <v>52</v>
      </c>
      <c r="AI364" s="3" t="s">
        <v>53</v>
      </c>
      <c r="AJ364" s="3" t="str">
        <f aca="false">IF(AND(AI364="Completed",AH364="Failed"),"Inconsistent - Completed Order with Failed Payment","OK")</f>
        <v>OK</v>
      </c>
      <c r="AK364" s="3" t="s">
        <v>54</v>
      </c>
      <c r="AL364" s="3" t="str">
        <f aca="false">IF(OR(T364="Negative - Invalid",T364="Above Allowed Range - Invalid",AE364="Invalid - Ship Before Order",AK364&lt;&gt;"Unique",AB364="Mismatch",AC364="Mismatch",AJ364&lt;&gt;"OK"),"Invalid",IF(OR(H364="Yes",O364="Yes",T364="Missing"),"Warning","Clean"))</f>
        <v>Clean</v>
      </c>
    </row>
    <row r="365" customFormat="false" ht="15" hidden="false" customHeight="true" outlineLevel="0" collapsed="false">
      <c r="A365" s="3" t="s">
        <v>1234</v>
      </c>
      <c r="B365" s="4" t="n">
        <v>45845</v>
      </c>
      <c r="C365" s="4" t="n">
        <v>45850</v>
      </c>
      <c r="D365" s="3" t="s">
        <v>1235</v>
      </c>
      <c r="E365" s="3" t="s">
        <v>192</v>
      </c>
      <c r="F365" s="3" t="s">
        <v>116</v>
      </c>
      <c r="G365" s="3" t="s">
        <v>59</v>
      </c>
      <c r="H365" s="3" t="s">
        <v>43</v>
      </c>
      <c r="I365" s="3" t="s">
        <v>125</v>
      </c>
      <c r="J365" s="3" t="s">
        <v>126</v>
      </c>
      <c r="K365" s="3" t="s">
        <v>62</v>
      </c>
      <c r="L365" s="3" t="s">
        <v>63</v>
      </c>
      <c r="M365" s="3" t="s">
        <v>1236</v>
      </c>
      <c r="N365" s="3" t="s">
        <v>49</v>
      </c>
      <c r="O365" s="3" t="s">
        <v>43</v>
      </c>
      <c r="P365" s="5" t="n">
        <v>5</v>
      </c>
      <c r="Q365" s="6" t="n">
        <v>1831.37</v>
      </c>
      <c r="R365" s="3" t="s">
        <v>84</v>
      </c>
      <c r="S365" s="7" t="n">
        <v>0.25</v>
      </c>
      <c r="T365" s="3" t="s">
        <v>51</v>
      </c>
      <c r="U365" s="7" t="n">
        <f aca="false">IF(T365="Valid",S365,0)</f>
        <v>0.25</v>
      </c>
      <c r="V365" s="6" t="n">
        <v>6867.64</v>
      </c>
      <c r="W365" s="6" t="n">
        <v>5205.36</v>
      </c>
      <c r="X365" s="6" t="n">
        <v>1662.28</v>
      </c>
      <c r="Y365" s="6" t="n">
        <f aca="false">P365*Q365*(1-U365)</f>
        <v>6867.6375</v>
      </c>
      <c r="Z365" s="6" t="n">
        <f aca="false">Y365-W365</f>
        <v>1662.2775</v>
      </c>
      <c r="AA365" s="8" t="n">
        <f aca="false">IF(Y365=0,0,Z365/Y365)</f>
        <v>0.242045026401</v>
      </c>
      <c r="AB365" s="3" t="str">
        <f aca="false">IF(ABS(V365-Y365)&gt;1,"Mismatch","OK")</f>
        <v>OK</v>
      </c>
      <c r="AC365" s="3" t="str">
        <f aca="false">IF(ABS(X365-Z365)&gt;1,"Mismatch","OK")</f>
        <v>OK</v>
      </c>
      <c r="AD365" s="5" t="n">
        <f aca="false">IF(OR(B365="",C365=""),"",C365-B365)</f>
        <v>5</v>
      </c>
      <c r="AE365" s="3" t="str">
        <f aca="false">IF(AD365="","Unknown",IF(AD365&lt;0,"Invalid - Ship Before Order","OK"))</f>
        <v>OK</v>
      </c>
      <c r="AF365" s="5" t="n">
        <f aca="false">IF(B365="","",MONTH(B365))</f>
        <v>7</v>
      </c>
      <c r="AG365" s="5" t="n">
        <f aca="false">IF(B365="","",YEAR(B365))</f>
        <v>2025</v>
      </c>
      <c r="AH365" s="3" t="s">
        <v>52</v>
      </c>
      <c r="AI365" s="3" t="s">
        <v>53</v>
      </c>
      <c r="AJ365" s="3" t="str">
        <f aca="false">IF(AND(AI365="Completed",AH365="Failed"),"Inconsistent - Completed Order with Failed Payment","OK")</f>
        <v>OK</v>
      </c>
      <c r="AK365" s="3" t="s">
        <v>54</v>
      </c>
      <c r="AL365" s="3" t="str">
        <f aca="false">IF(OR(T365="Negative - Invalid",T365="Above Allowed Range - Invalid",AE365="Invalid - Ship Before Order",AK365&lt;&gt;"Unique",AB365="Mismatch",AC365="Mismatch",AJ365&lt;&gt;"OK"),"Invalid",IF(OR(H365="Yes",O365="Yes",T365="Missing"),"Warning","Clean"))</f>
        <v>Clean</v>
      </c>
    </row>
    <row r="366" customFormat="false" ht="15" hidden="false" customHeight="true" outlineLevel="0" collapsed="false">
      <c r="A366" s="3" t="s">
        <v>1237</v>
      </c>
      <c r="B366" s="4" t="n">
        <v>45737</v>
      </c>
      <c r="C366" s="4" t="n">
        <v>45740</v>
      </c>
      <c r="D366" s="3" t="s">
        <v>1238</v>
      </c>
      <c r="E366" s="3" t="s">
        <v>155</v>
      </c>
      <c r="F366" s="3" t="s">
        <v>58</v>
      </c>
      <c r="G366" s="3" t="s">
        <v>78</v>
      </c>
      <c r="H366" s="3" t="s">
        <v>43</v>
      </c>
      <c r="I366" s="3" t="s">
        <v>110</v>
      </c>
      <c r="J366" s="3" t="s">
        <v>111</v>
      </c>
      <c r="K366" s="3" t="s">
        <v>62</v>
      </c>
      <c r="L366" s="3" t="s">
        <v>91</v>
      </c>
      <c r="M366" s="3" t="s">
        <v>1239</v>
      </c>
      <c r="N366" s="3" t="s">
        <v>49</v>
      </c>
      <c r="O366" s="3" t="s">
        <v>43</v>
      </c>
      <c r="P366" s="5" t="n">
        <v>5</v>
      </c>
      <c r="Q366" s="6" t="n">
        <v>1239.15</v>
      </c>
      <c r="R366" s="3" t="s">
        <v>66</v>
      </c>
      <c r="S366" s="7" t="n">
        <v>0</v>
      </c>
      <c r="T366" s="3" t="s">
        <v>51</v>
      </c>
      <c r="U366" s="7" t="n">
        <f aca="false">IF(T366="Valid",S366,0)</f>
        <v>0</v>
      </c>
      <c r="V366" s="6" t="n">
        <v>6195.75</v>
      </c>
      <c r="W366" s="6" t="n">
        <v>3967.02</v>
      </c>
      <c r="X366" s="6" t="n">
        <v>2228.73</v>
      </c>
      <c r="Y366" s="6" t="n">
        <f aca="false">P366*Q366*(1-U366)</f>
        <v>6195.75</v>
      </c>
      <c r="Z366" s="6" t="n">
        <f aca="false">Y366-W366</f>
        <v>2228.73</v>
      </c>
      <c r="AA366" s="8" t="n">
        <f aca="false">IF(Y366=0,0,Z366/Y366)</f>
        <v>0.359719162329016</v>
      </c>
      <c r="AB366" s="3" t="str">
        <f aca="false">IF(ABS(V366-Y366)&gt;1,"Mismatch","OK")</f>
        <v>OK</v>
      </c>
      <c r="AC366" s="3" t="str">
        <f aca="false">IF(ABS(X366-Z366)&gt;1,"Mismatch","OK")</f>
        <v>OK</v>
      </c>
      <c r="AD366" s="5" t="n">
        <f aca="false">IF(OR(B366="",C366=""),"",C366-B366)</f>
        <v>3</v>
      </c>
      <c r="AE366" s="3" t="str">
        <f aca="false">IF(AD366="","Unknown",IF(AD366&lt;0,"Invalid - Ship Before Order","OK"))</f>
        <v>OK</v>
      </c>
      <c r="AF366" s="5" t="n">
        <f aca="false">IF(B366="","",MONTH(B366))</f>
        <v>3</v>
      </c>
      <c r="AG366" s="5" t="n">
        <f aca="false">IF(B366="","",YEAR(B366))</f>
        <v>2025</v>
      </c>
      <c r="AH366" s="3" t="s">
        <v>52</v>
      </c>
      <c r="AI366" s="3" t="s">
        <v>53</v>
      </c>
      <c r="AJ366" s="3" t="str">
        <f aca="false">IF(AND(AI366="Completed",AH366="Failed"),"Inconsistent - Completed Order with Failed Payment","OK")</f>
        <v>OK</v>
      </c>
      <c r="AK366" s="3" t="s">
        <v>54</v>
      </c>
      <c r="AL366" s="3" t="str">
        <f aca="false">IF(OR(T366="Negative - Invalid",T366="Above Allowed Range - Invalid",AE366="Invalid - Ship Before Order",AK366&lt;&gt;"Unique",AB366="Mismatch",AC366="Mismatch",AJ366&lt;&gt;"OK"),"Invalid",IF(OR(H366="Yes",O366="Yes",T366="Missing"),"Warning","Clean"))</f>
        <v>Clean</v>
      </c>
    </row>
    <row r="367" customFormat="false" ht="15" hidden="false" customHeight="true" outlineLevel="0" collapsed="false">
      <c r="A367" s="3" t="s">
        <v>1240</v>
      </c>
      <c r="B367" s="4" t="n">
        <v>45458</v>
      </c>
      <c r="C367" s="4" t="n">
        <v>45464</v>
      </c>
      <c r="D367" s="3" t="s">
        <v>1241</v>
      </c>
      <c r="E367" s="3" t="s">
        <v>115</v>
      </c>
      <c r="F367" s="3" t="s">
        <v>116</v>
      </c>
      <c r="G367" s="3" t="s">
        <v>88</v>
      </c>
      <c r="H367" s="3" t="s">
        <v>43</v>
      </c>
      <c r="I367" s="3" t="s">
        <v>221</v>
      </c>
      <c r="J367" s="3" t="s">
        <v>222</v>
      </c>
      <c r="K367" s="3" t="s">
        <v>99</v>
      </c>
      <c r="L367" s="3" t="s">
        <v>100</v>
      </c>
      <c r="M367" s="3" t="s">
        <v>1242</v>
      </c>
      <c r="N367" s="3" t="s">
        <v>72</v>
      </c>
      <c r="O367" s="3" t="s">
        <v>43</v>
      </c>
      <c r="P367" s="5" t="n">
        <v>8</v>
      </c>
      <c r="Q367" s="6" t="n">
        <v>1706.4</v>
      </c>
      <c r="R367" s="3"/>
      <c r="S367" s="7"/>
      <c r="T367" s="3" t="s">
        <v>230</v>
      </c>
      <c r="U367" s="7" t="n">
        <f aca="false">IF(T367="Valid",S367,0)</f>
        <v>0</v>
      </c>
      <c r="V367" s="6" t="n">
        <v>12968.64</v>
      </c>
      <c r="W367" s="6" t="n">
        <v>10119.61</v>
      </c>
      <c r="X367" s="6" t="n">
        <v>2849.03</v>
      </c>
      <c r="Y367" s="6" t="n">
        <f aca="false">P367*Q367*(1-U367)</f>
        <v>13651.2</v>
      </c>
      <c r="Z367" s="6" t="n">
        <f aca="false">Y367-W367</f>
        <v>3531.59</v>
      </c>
      <c r="AA367" s="8" t="n">
        <f aca="false">IF(Y367=0,0,Z367/Y367)</f>
        <v>0.258701799109236</v>
      </c>
      <c r="AB367" s="3" t="str">
        <f aca="false">IF(ABS(V367-Y367)&gt;1,"Mismatch","OK")</f>
        <v>Mismatch</v>
      </c>
      <c r="AC367" s="3" t="str">
        <f aca="false">IF(ABS(X367-Z367)&gt;1,"Mismatch","OK")</f>
        <v>Mismatch</v>
      </c>
      <c r="AD367" s="5" t="n">
        <f aca="false">IF(OR(B367="",C367=""),"",C367-B367)</f>
        <v>6</v>
      </c>
      <c r="AE367" s="3" t="str">
        <f aca="false">IF(AD367="","Unknown",IF(AD367&lt;0,"Invalid - Ship Before Order","OK"))</f>
        <v>OK</v>
      </c>
      <c r="AF367" s="5" t="n">
        <f aca="false">IF(B367="","",MONTH(B367))</f>
        <v>6</v>
      </c>
      <c r="AG367" s="5" t="n">
        <f aca="false">IF(B367="","",YEAR(B367))</f>
        <v>2024</v>
      </c>
      <c r="AH367" s="3" t="s">
        <v>52</v>
      </c>
      <c r="AI367" s="3" t="s">
        <v>53</v>
      </c>
      <c r="AJ367" s="3" t="str">
        <f aca="false">IF(AND(AI367="Completed",AH367="Failed"),"Inconsistent - Completed Order with Failed Payment","OK")</f>
        <v>OK</v>
      </c>
      <c r="AK367" s="3" t="s">
        <v>54</v>
      </c>
      <c r="AL367" s="3" t="str">
        <f aca="false">IF(OR(T367="Negative - Invalid",T367="Above Allowed Range - Invalid",AE367="Invalid - Ship Before Order",AK367&lt;&gt;"Unique",AB367="Mismatch",AC367="Mismatch",AJ367&lt;&gt;"OK"),"Invalid",IF(OR(H367="Yes",O367="Yes",T367="Missing"),"Warning","Clean"))</f>
        <v>Invalid</v>
      </c>
    </row>
    <row r="368" customFormat="false" ht="15" hidden="false" customHeight="true" outlineLevel="0" collapsed="false">
      <c r="A368" s="3" t="s">
        <v>1243</v>
      </c>
      <c r="B368" s="4" t="n">
        <v>45673</v>
      </c>
      <c r="C368" s="4" t="n">
        <v>45679</v>
      </c>
      <c r="D368" s="3" t="s">
        <v>1244</v>
      </c>
      <c r="E368" s="3" t="s">
        <v>159</v>
      </c>
      <c r="F368" s="3" t="s">
        <v>116</v>
      </c>
      <c r="G368" s="3" t="s">
        <v>42</v>
      </c>
      <c r="H368" s="3" t="s">
        <v>43</v>
      </c>
      <c r="I368" s="3" t="s">
        <v>44</v>
      </c>
      <c r="J368" s="3" t="s">
        <v>45</v>
      </c>
      <c r="K368" s="3" t="s">
        <v>62</v>
      </c>
      <c r="L368" s="3" t="s">
        <v>63</v>
      </c>
      <c r="M368" s="3" t="s">
        <v>1245</v>
      </c>
      <c r="N368" s="3" t="s">
        <v>65</v>
      </c>
      <c r="O368" s="3" t="s">
        <v>43</v>
      </c>
      <c r="P368" s="5" t="n">
        <v>2</v>
      </c>
      <c r="Q368" s="6" t="n">
        <v>4418.28</v>
      </c>
      <c r="R368" s="3" t="s">
        <v>66</v>
      </c>
      <c r="S368" s="7" t="n">
        <v>0</v>
      </c>
      <c r="T368" s="3" t="s">
        <v>51</v>
      </c>
      <c r="U368" s="7" t="n">
        <f aca="false">IF(T368="Valid",S368,0)</f>
        <v>0</v>
      </c>
      <c r="V368" s="6" t="n">
        <v>8836.56</v>
      </c>
      <c r="W368" s="6" t="n">
        <v>5867.75</v>
      </c>
      <c r="X368" s="6" t="n">
        <v>2968.81</v>
      </c>
      <c r="Y368" s="6" t="n">
        <f aca="false">P368*Q368*(1-U368)</f>
        <v>8836.56</v>
      </c>
      <c r="Z368" s="6" t="n">
        <f aca="false">Y368-W368</f>
        <v>2968.81</v>
      </c>
      <c r="AA368" s="8" t="n">
        <f aca="false">IF(Y368=0,0,Z368/Y368)</f>
        <v>0.33596897435201</v>
      </c>
      <c r="AB368" s="3" t="str">
        <f aca="false">IF(ABS(V368-Y368)&gt;1,"Mismatch","OK")</f>
        <v>OK</v>
      </c>
      <c r="AC368" s="3" t="str">
        <f aca="false">IF(ABS(X368-Z368)&gt;1,"Mismatch","OK")</f>
        <v>OK</v>
      </c>
      <c r="AD368" s="5" t="n">
        <f aca="false">IF(OR(B368="",C368=""),"",C368-B368)</f>
        <v>6</v>
      </c>
      <c r="AE368" s="3" t="str">
        <f aca="false">IF(AD368="","Unknown",IF(AD368&lt;0,"Invalid - Ship Before Order","OK"))</f>
        <v>OK</v>
      </c>
      <c r="AF368" s="5" t="n">
        <f aca="false">IF(B368="","",MONTH(B368))</f>
        <v>1</v>
      </c>
      <c r="AG368" s="5" t="n">
        <f aca="false">IF(B368="","",YEAR(B368))</f>
        <v>2025</v>
      </c>
      <c r="AH368" s="3" t="s">
        <v>52</v>
      </c>
      <c r="AI368" s="3" t="s">
        <v>53</v>
      </c>
      <c r="AJ368" s="3" t="str">
        <f aca="false">IF(AND(AI368="Completed",AH368="Failed"),"Inconsistent - Completed Order with Failed Payment","OK")</f>
        <v>OK</v>
      </c>
      <c r="AK368" s="3" t="s">
        <v>54</v>
      </c>
      <c r="AL368" s="3" t="str">
        <f aca="false">IF(OR(T368="Negative - Invalid",T368="Above Allowed Range - Invalid",AE368="Invalid - Ship Before Order",AK368&lt;&gt;"Unique",AB368="Mismatch",AC368="Mismatch",AJ368&lt;&gt;"OK"),"Invalid",IF(OR(H368="Yes",O368="Yes",T368="Missing"),"Warning","Clean"))</f>
        <v>Clean</v>
      </c>
    </row>
    <row r="369" customFormat="false" ht="15" hidden="false" customHeight="true" outlineLevel="0" collapsed="false">
      <c r="A369" s="3" t="s">
        <v>1246</v>
      </c>
      <c r="B369" s="4" t="n">
        <v>45366</v>
      </c>
      <c r="C369" s="4" t="n">
        <v>45367</v>
      </c>
      <c r="D369" s="3" t="s">
        <v>1247</v>
      </c>
      <c r="E369" s="3" t="s">
        <v>168</v>
      </c>
      <c r="F369" s="3" t="s">
        <v>41</v>
      </c>
      <c r="G369" s="3" t="s">
        <v>42</v>
      </c>
      <c r="H369" s="3" t="s">
        <v>43</v>
      </c>
      <c r="I369" s="3" t="s">
        <v>384</v>
      </c>
      <c r="J369" s="3" t="s">
        <v>385</v>
      </c>
      <c r="K369" s="3" t="s">
        <v>46</v>
      </c>
      <c r="L369" s="3" t="s">
        <v>70</v>
      </c>
      <c r="M369" s="3" t="s">
        <v>1248</v>
      </c>
      <c r="N369" s="3" t="s">
        <v>83</v>
      </c>
      <c r="O369" s="3" t="s">
        <v>43</v>
      </c>
      <c r="P369" s="5" t="n">
        <v>6</v>
      </c>
      <c r="Q369" s="6" t="n">
        <v>3815.09</v>
      </c>
      <c r="R369" s="3" t="s">
        <v>107</v>
      </c>
      <c r="S369" s="7" t="n">
        <v>0.15</v>
      </c>
      <c r="T369" s="3" t="s">
        <v>51</v>
      </c>
      <c r="U369" s="7" t="n">
        <f aca="false">IF(T369="Valid",S369,0)</f>
        <v>0.15</v>
      </c>
      <c r="V369" s="6" t="n">
        <v>19456.96</v>
      </c>
      <c r="W369" s="6" t="n">
        <v>14520.06</v>
      </c>
      <c r="X369" s="6" t="n">
        <v>4936.9</v>
      </c>
      <c r="Y369" s="6" t="n">
        <f aca="false">P369*Q369*(1-U369)</f>
        <v>19456.959</v>
      </c>
      <c r="Z369" s="6" t="n">
        <f aca="false">Y369-W369</f>
        <v>4936.899</v>
      </c>
      <c r="AA369" s="8" t="n">
        <f aca="false">IF(Y369=0,0,Z369/Y369)</f>
        <v>0.25373435797444</v>
      </c>
      <c r="AB369" s="3" t="str">
        <f aca="false">IF(ABS(V369-Y369)&gt;1,"Mismatch","OK")</f>
        <v>OK</v>
      </c>
      <c r="AC369" s="3" t="str">
        <f aca="false">IF(ABS(X369-Z369)&gt;1,"Mismatch","OK")</f>
        <v>OK</v>
      </c>
      <c r="AD369" s="5" t="n">
        <f aca="false">IF(OR(B369="",C369=""),"",C369-B369)</f>
        <v>1</v>
      </c>
      <c r="AE369" s="3" t="str">
        <f aca="false">IF(AD369="","Unknown",IF(AD369&lt;0,"Invalid - Ship Before Order","OK"))</f>
        <v>OK</v>
      </c>
      <c r="AF369" s="5" t="n">
        <f aca="false">IF(B369="","",MONTH(B369))</f>
        <v>3</v>
      </c>
      <c r="AG369" s="5" t="n">
        <f aca="false">IF(B369="","",YEAR(B369))</f>
        <v>2024</v>
      </c>
      <c r="AH369" s="3" t="s">
        <v>185</v>
      </c>
      <c r="AI369" s="3" t="s">
        <v>93</v>
      </c>
      <c r="AJ369" s="3" t="str">
        <f aca="false">IF(AND(AI369="Completed",AH369="Failed"),"Inconsistent - Completed Order with Failed Payment","OK")</f>
        <v>OK</v>
      </c>
      <c r="AK369" s="3" t="s">
        <v>54</v>
      </c>
      <c r="AL369" s="3" t="str">
        <f aca="false">IF(OR(T369="Negative - Invalid",T369="Above Allowed Range - Invalid",AE369="Invalid - Ship Before Order",AK369&lt;&gt;"Unique",AB369="Mismatch",AC369="Mismatch",AJ369&lt;&gt;"OK"),"Invalid",IF(OR(H369="Yes",O369="Yes",T369="Missing"),"Warning","Clean"))</f>
        <v>Clean</v>
      </c>
    </row>
    <row r="370" customFormat="false" ht="15" hidden="false" customHeight="true" outlineLevel="0" collapsed="false">
      <c r="A370" s="3" t="s">
        <v>1249</v>
      </c>
      <c r="B370" s="4" t="n">
        <v>45844</v>
      </c>
      <c r="C370" s="4" t="n">
        <v>45844</v>
      </c>
      <c r="D370" s="3" t="s">
        <v>1250</v>
      </c>
      <c r="E370" s="3" t="s">
        <v>155</v>
      </c>
      <c r="F370" s="3" t="s">
        <v>121</v>
      </c>
      <c r="G370" s="3" t="s">
        <v>42</v>
      </c>
      <c r="H370" s="3" t="s">
        <v>43</v>
      </c>
      <c r="I370" s="3" t="s">
        <v>44</v>
      </c>
      <c r="J370" s="3" t="s">
        <v>45</v>
      </c>
      <c r="K370" s="3" t="s">
        <v>99</v>
      </c>
      <c r="L370" s="3" t="s">
        <v>100</v>
      </c>
      <c r="M370" s="3" t="s">
        <v>1251</v>
      </c>
      <c r="N370" s="3" t="s">
        <v>65</v>
      </c>
      <c r="O370" s="3" t="s">
        <v>43</v>
      </c>
      <c r="P370" s="5" t="n">
        <v>9</v>
      </c>
      <c r="Q370" s="6" t="n">
        <v>243.19</v>
      </c>
      <c r="R370" s="3" t="s">
        <v>128</v>
      </c>
      <c r="S370" s="7" t="n">
        <v>0.05</v>
      </c>
      <c r="T370" s="3" t="s">
        <v>51</v>
      </c>
      <c r="U370" s="7" t="n">
        <f aca="false">IF(T370="Valid",S370,0)</f>
        <v>0.05</v>
      </c>
      <c r="V370" s="6" t="n">
        <v>2079.27</v>
      </c>
      <c r="W370" s="6" t="n">
        <v>1512.17</v>
      </c>
      <c r="X370" s="6" t="n">
        <v>567.1</v>
      </c>
      <c r="Y370" s="6" t="n">
        <f aca="false">P370*Q370*(1-U370)</f>
        <v>2079.2745</v>
      </c>
      <c r="Z370" s="6" t="n">
        <f aca="false">Y370-W370</f>
        <v>567.1045</v>
      </c>
      <c r="AA370" s="8" t="n">
        <f aca="false">IF(Y370=0,0,Z370/Y370)</f>
        <v>0.272741525950518</v>
      </c>
      <c r="AB370" s="3" t="str">
        <f aca="false">IF(ABS(V370-Y370)&gt;1,"Mismatch","OK")</f>
        <v>OK</v>
      </c>
      <c r="AC370" s="3" t="str">
        <f aca="false">IF(ABS(X370-Z370)&gt;1,"Mismatch","OK")</f>
        <v>OK</v>
      </c>
      <c r="AD370" s="5" t="n">
        <f aca="false">IF(OR(B370="",C370=""),"",C370-B370)</f>
        <v>0</v>
      </c>
      <c r="AE370" s="3" t="str">
        <f aca="false">IF(AD370="","Unknown",IF(AD370&lt;0,"Invalid - Ship Before Order","OK"))</f>
        <v>OK</v>
      </c>
      <c r="AF370" s="5" t="n">
        <f aca="false">IF(B370="","",MONTH(B370))</f>
        <v>7</v>
      </c>
      <c r="AG370" s="5" t="n">
        <f aca="false">IF(B370="","",YEAR(B370))</f>
        <v>2025</v>
      </c>
      <c r="AH370" s="3" t="s">
        <v>129</v>
      </c>
      <c r="AI370" s="3" t="s">
        <v>130</v>
      </c>
      <c r="AJ370" s="3" t="str">
        <f aca="false">IF(AND(AI370="Completed",AH370="Failed"),"Inconsistent - Completed Order with Failed Payment","OK")</f>
        <v>OK</v>
      </c>
      <c r="AK370" s="3" t="s">
        <v>54</v>
      </c>
      <c r="AL370" s="3" t="str">
        <f aca="false">IF(OR(T370="Negative - Invalid",T370="Above Allowed Range - Invalid",AE370="Invalid - Ship Before Order",AK370&lt;&gt;"Unique",AB370="Mismatch",AC370="Mismatch",AJ370&lt;&gt;"OK"),"Invalid",IF(OR(H370="Yes",O370="Yes",T370="Missing"),"Warning","Clean"))</f>
        <v>Clean</v>
      </c>
    </row>
    <row r="371" customFormat="false" ht="15" hidden="false" customHeight="true" outlineLevel="0" collapsed="false">
      <c r="A371" s="3" t="s">
        <v>1252</v>
      </c>
      <c r="B371" s="4" t="n">
        <v>45680</v>
      </c>
      <c r="C371" s="4" t="n">
        <v>45687</v>
      </c>
      <c r="D371" s="3" t="s">
        <v>1253</v>
      </c>
      <c r="E371" s="3" t="s">
        <v>141</v>
      </c>
      <c r="F371" s="3" t="s">
        <v>41</v>
      </c>
      <c r="G371" s="3" t="s">
        <v>42</v>
      </c>
      <c r="H371" s="3" t="s">
        <v>43</v>
      </c>
      <c r="I371" s="3" t="s">
        <v>384</v>
      </c>
      <c r="J371" s="3" t="s">
        <v>385</v>
      </c>
      <c r="K371" s="3" t="s">
        <v>46</v>
      </c>
      <c r="L371" s="3" t="s">
        <v>117</v>
      </c>
      <c r="M371" s="3" t="s">
        <v>1254</v>
      </c>
      <c r="N371" s="3" t="s">
        <v>83</v>
      </c>
      <c r="O371" s="3" t="s">
        <v>43</v>
      </c>
      <c r="P371" s="5" t="n">
        <v>9</v>
      </c>
      <c r="Q371" s="6" t="n">
        <v>1169.37</v>
      </c>
      <c r="R371" s="3" t="s">
        <v>107</v>
      </c>
      <c r="S371" s="7" t="n">
        <v>0.15</v>
      </c>
      <c r="T371" s="3" t="s">
        <v>51</v>
      </c>
      <c r="U371" s="7" t="n">
        <f aca="false">IF(T371="Valid",S371,0)</f>
        <v>0.15</v>
      </c>
      <c r="V371" s="6" t="n">
        <v>8945.68</v>
      </c>
      <c r="W371" s="6" t="n">
        <v>6740.35</v>
      </c>
      <c r="X371" s="6" t="n">
        <v>2205.33</v>
      </c>
      <c r="Y371" s="6" t="n">
        <f aca="false">P371*Q371*(1-U371)</f>
        <v>8945.6805</v>
      </c>
      <c r="Z371" s="6" t="n">
        <f aca="false">Y371-W371</f>
        <v>2205.3305</v>
      </c>
      <c r="AA371" s="8" t="n">
        <f aca="false">IF(Y371=0,0,Z371/Y371)</f>
        <v>0.246524621575742</v>
      </c>
      <c r="AB371" s="3" t="str">
        <f aca="false">IF(ABS(V371-Y371)&gt;1,"Mismatch","OK")</f>
        <v>OK</v>
      </c>
      <c r="AC371" s="3" t="str">
        <f aca="false">IF(ABS(X371-Z371)&gt;1,"Mismatch","OK")</f>
        <v>OK</v>
      </c>
      <c r="AD371" s="5" t="n">
        <f aca="false">IF(OR(B371="",C371=""),"",C371-B371)</f>
        <v>7</v>
      </c>
      <c r="AE371" s="3" t="str">
        <f aca="false">IF(AD371="","Unknown",IF(AD371&lt;0,"Invalid - Ship Before Order","OK"))</f>
        <v>OK</v>
      </c>
      <c r="AF371" s="5" t="n">
        <f aca="false">IF(B371="","",MONTH(B371))</f>
        <v>1</v>
      </c>
      <c r="AG371" s="5" t="n">
        <f aca="false">IF(B371="","",YEAR(B371))</f>
        <v>2025</v>
      </c>
      <c r="AH371" s="3" t="s">
        <v>52</v>
      </c>
      <c r="AI371" s="3" t="s">
        <v>53</v>
      </c>
      <c r="AJ371" s="3" t="str">
        <f aca="false">IF(AND(AI371="Completed",AH371="Failed"),"Inconsistent - Completed Order with Failed Payment","OK")</f>
        <v>OK</v>
      </c>
      <c r="AK371" s="3" t="s">
        <v>54</v>
      </c>
      <c r="AL371" s="3" t="str">
        <f aca="false">IF(OR(T371="Negative - Invalid",T371="Above Allowed Range - Invalid",AE371="Invalid - Ship Before Order",AK371&lt;&gt;"Unique",AB371="Mismatch",AC371="Mismatch",AJ371&lt;&gt;"OK"),"Invalid",IF(OR(H371="Yes",O371="Yes",T371="Missing"),"Warning","Clean"))</f>
        <v>Clean</v>
      </c>
    </row>
    <row r="372" customFormat="false" ht="15" hidden="false" customHeight="true" outlineLevel="0" collapsed="false">
      <c r="A372" s="3" t="s">
        <v>1255</v>
      </c>
      <c r="B372" s="4" t="n">
        <v>45519</v>
      </c>
      <c r="C372" s="4" t="n">
        <v>45525</v>
      </c>
      <c r="D372" s="3" t="s">
        <v>1256</v>
      </c>
      <c r="E372" s="3" t="s">
        <v>87</v>
      </c>
      <c r="F372" s="3" t="s">
        <v>58</v>
      </c>
      <c r="G372" s="3" t="s">
        <v>88</v>
      </c>
      <c r="H372" s="3" t="s">
        <v>43</v>
      </c>
      <c r="I372" s="3" t="s">
        <v>44</v>
      </c>
      <c r="J372" s="3" t="s">
        <v>136</v>
      </c>
      <c r="K372" s="3" t="s">
        <v>99</v>
      </c>
      <c r="L372" s="3" t="s">
        <v>105</v>
      </c>
      <c r="M372" s="3" t="s">
        <v>1257</v>
      </c>
      <c r="N372" s="3" t="s">
        <v>72</v>
      </c>
      <c r="O372" s="3" t="s">
        <v>43</v>
      </c>
      <c r="P372" s="5" t="n">
        <v>7</v>
      </c>
      <c r="Q372" s="6" t="n">
        <v>2333.81</v>
      </c>
      <c r="R372" s="3" t="s">
        <v>50</v>
      </c>
      <c r="S372" s="7" t="n">
        <v>0.2</v>
      </c>
      <c r="T372" s="3" t="s">
        <v>51</v>
      </c>
      <c r="U372" s="7" t="n">
        <f aca="false">IF(T372="Valid",S372,0)</f>
        <v>0.2</v>
      </c>
      <c r="V372" s="6" t="n">
        <v>13069.34</v>
      </c>
      <c r="W372" s="6" t="n">
        <v>8768.59</v>
      </c>
      <c r="X372" s="6" t="n">
        <v>4300.75</v>
      </c>
      <c r="Y372" s="6" t="n">
        <f aca="false">P372*Q372*(1-U372)</f>
        <v>13069.336</v>
      </c>
      <c r="Z372" s="6" t="n">
        <f aca="false">Y372-W372</f>
        <v>4300.746</v>
      </c>
      <c r="AA372" s="8" t="n">
        <f aca="false">IF(Y372=0,0,Z372/Y372)</f>
        <v>0.329071499883391</v>
      </c>
      <c r="AB372" s="3" t="str">
        <f aca="false">IF(ABS(V372-Y372)&gt;1,"Mismatch","OK")</f>
        <v>OK</v>
      </c>
      <c r="AC372" s="3" t="str">
        <f aca="false">IF(ABS(X372-Z372)&gt;1,"Mismatch","OK")</f>
        <v>OK</v>
      </c>
      <c r="AD372" s="5" t="n">
        <f aca="false">IF(OR(B372="",C372=""),"",C372-B372)</f>
        <v>6</v>
      </c>
      <c r="AE372" s="3" t="str">
        <f aca="false">IF(AD372="","Unknown",IF(AD372&lt;0,"Invalid - Ship Before Order","OK"))</f>
        <v>OK</v>
      </c>
      <c r="AF372" s="5" t="n">
        <f aca="false">IF(B372="","",MONTH(B372))</f>
        <v>8</v>
      </c>
      <c r="AG372" s="5" t="n">
        <f aca="false">IF(B372="","",YEAR(B372))</f>
        <v>2024</v>
      </c>
      <c r="AH372" s="3" t="s">
        <v>52</v>
      </c>
      <c r="AI372" s="3" t="s">
        <v>53</v>
      </c>
      <c r="AJ372" s="3" t="str">
        <f aca="false">IF(AND(AI372="Completed",AH372="Failed"),"Inconsistent - Completed Order with Failed Payment","OK")</f>
        <v>OK</v>
      </c>
      <c r="AK372" s="3" t="s">
        <v>54</v>
      </c>
      <c r="AL372" s="3" t="str">
        <f aca="false">IF(OR(T372="Negative - Invalid",T372="Above Allowed Range - Invalid",AE372="Invalid - Ship Before Order",AK372&lt;&gt;"Unique",AB372="Mismatch",AC372="Mismatch",AJ372&lt;&gt;"OK"),"Invalid",IF(OR(H372="Yes",O372="Yes",T372="Missing"),"Warning","Clean"))</f>
        <v>Clean</v>
      </c>
    </row>
    <row r="373" customFormat="false" ht="15" hidden="false" customHeight="true" outlineLevel="0" collapsed="false">
      <c r="A373" s="3" t="s">
        <v>1258</v>
      </c>
      <c r="B373" s="4" t="n">
        <v>45313</v>
      </c>
      <c r="C373" s="4" t="n">
        <v>45315</v>
      </c>
      <c r="D373" s="3" t="s">
        <v>1259</v>
      </c>
      <c r="E373" s="3" t="s">
        <v>192</v>
      </c>
      <c r="F373" s="3" t="s">
        <v>121</v>
      </c>
      <c r="G373" s="3" t="s">
        <v>88</v>
      </c>
      <c r="H373" s="3" t="s">
        <v>43</v>
      </c>
      <c r="I373" s="3" t="s">
        <v>89</v>
      </c>
      <c r="J373" s="3" t="s">
        <v>90</v>
      </c>
      <c r="K373" s="3" t="s">
        <v>46</v>
      </c>
      <c r="L373" s="3" t="s">
        <v>70</v>
      </c>
      <c r="M373" s="3" t="s">
        <v>1260</v>
      </c>
      <c r="N373" s="3" t="s">
        <v>83</v>
      </c>
      <c r="O373" s="3" t="s">
        <v>43</v>
      </c>
      <c r="P373" s="5" t="n">
        <v>6</v>
      </c>
      <c r="Q373" s="6" t="n">
        <v>1026.06</v>
      </c>
      <c r="R373" s="3"/>
      <c r="S373" s="7"/>
      <c r="T373" s="3" t="s">
        <v>230</v>
      </c>
      <c r="U373" s="7" t="n">
        <f aca="false">IF(T373="Valid",S373,0)</f>
        <v>0</v>
      </c>
      <c r="V373" s="6" t="n">
        <v>4617.27</v>
      </c>
      <c r="W373" s="6" t="n">
        <v>2981.94</v>
      </c>
      <c r="X373" s="6" t="n">
        <v>1635.33</v>
      </c>
      <c r="Y373" s="6" t="n">
        <f aca="false">P373*Q373*(1-U373)</f>
        <v>6156.36</v>
      </c>
      <c r="Z373" s="6" t="n">
        <f aca="false">Y373-W373</f>
        <v>3174.42</v>
      </c>
      <c r="AA373" s="8" t="n">
        <f aca="false">IF(Y373=0,0,Z373/Y373)</f>
        <v>0.515632614077149</v>
      </c>
      <c r="AB373" s="3" t="str">
        <f aca="false">IF(ABS(V373-Y373)&gt;1,"Mismatch","OK")</f>
        <v>Mismatch</v>
      </c>
      <c r="AC373" s="3" t="str">
        <f aca="false">IF(ABS(X373-Z373)&gt;1,"Mismatch","OK")</f>
        <v>Mismatch</v>
      </c>
      <c r="AD373" s="5" t="n">
        <f aca="false">IF(OR(B373="",C373=""),"",C373-B373)</f>
        <v>2</v>
      </c>
      <c r="AE373" s="3" t="str">
        <f aca="false">IF(AD373="","Unknown",IF(AD373&lt;0,"Invalid - Ship Before Order","OK"))</f>
        <v>OK</v>
      </c>
      <c r="AF373" s="5" t="n">
        <f aca="false">IF(B373="","",MONTH(B373))</f>
        <v>1</v>
      </c>
      <c r="AG373" s="5" t="n">
        <f aca="false">IF(B373="","",YEAR(B373))</f>
        <v>2024</v>
      </c>
      <c r="AH373" s="3" t="s">
        <v>129</v>
      </c>
      <c r="AI373" s="3" t="s">
        <v>93</v>
      </c>
      <c r="AJ373" s="3" t="str">
        <f aca="false">IF(AND(AI373="Completed",AH373="Failed"),"Inconsistent - Completed Order with Failed Payment","OK")</f>
        <v>OK</v>
      </c>
      <c r="AK373" s="3" t="s">
        <v>54</v>
      </c>
      <c r="AL373" s="3" t="str">
        <f aca="false">IF(OR(T373="Negative - Invalid",T373="Above Allowed Range - Invalid",AE373="Invalid - Ship Before Order",AK373&lt;&gt;"Unique",AB373="Mismatch",AC373="Mismatch",AJ373&lt;&gt;"OK"),"Invalid",IF(OR(H373="Yes",O373="Yes",T373="Missing"),"Warning","Clean"))</f>
        <v>Invalid</v>
      </c>
    </row>
    <row r="374" customFormat="false" ht="15" hidden="false" customHeight="true" outlineLevel="0" collapsed="false">
      <c r="A374" s="3" t="s">
        <v>1261</v>
      </c>
      <c r="B374" s="4" t="n">
        <v>45885</v>
      </c>
      <c r="C374" s="4" t="n">
        <v>45887</v>
      </c>
      <c r="D374" s="3" t="s">
        <v>678</v>
      </c>
      <c r="E374" s="3" t="s">
        <v>298</v>
      </c>
      <c r="F374" s="3" t="s">
        <v>41</v>
      </c>
      <c r="G374" s="3" t="s">
        <v>59</v>
      </c>
      <c r="H374" s="3" t="s">
        <v>43</v>
      </c>
      <c r="I374" s="3" t="s">
        <v>262</v>
      </c>
      <c r="J374" s="3" t="s">
        <v>263</v>
      </c>
      <c r="K374" s="3" t="s">
        <v>62</v>
      </c>
      <c r="L374" s="3" t="s">
        <v>91</v>
      </c>
      <c r="M374" s="3" t="s">
        <v>1262</v>
      </c>
      <c r="N374" s="3" t="s">
        <v>65</v>
      </c>
      <c r="O374" s="3" t="s">
        <v>43</v>
      </c>
      <c r="P374" s="5" t="n">
        <v>5</v>
      </c>
      <c r="Q374" s="6" t="n">
        <v>1530.36</v>
      </c>
      <c r="R374" s="3" t="s">
        <v>66</v>
      </c>
      <c r="S374" s="7" t="n">
        <v>0</v>
      </c>
      <c r="T374" s="3" t="s">
        <v>51</v>
      </c>
      <c r="U374" s="7" t="n">
        <f aca="false">IF(T374="Valid",S374,0)</f>
        <v>0</v>
      </c>
      <c r="V374" s="6" t="n">
        <v>7651.8</v>
      </c>
      <c r="W374" s="6" t="n">
        <v>5171.78</v>
      </c>
      <c r="X374" s="6" t="n">
        <v>2480.02</v>
      </c>
      <c r="Y374" s="6" t="n">
        <f aca="false">P374*Q374*(1-U374)</f>
        <v>7651.8</v>
      </c>
      <c r="Z374" s="6" t="n">
        <f aca="false">Y374-W374</f>
        <v>2480.02</v>
      </c>
      <c r="AA374" s="8" t="n">
        <f aca="false">IF(Y374=0,0,Z374/Y374)</f>
        <v>0.324109359889176</v>
      </c>
      <c r="AB374" s="3" t="str">
        <f aca="false">IF(ABS(V374-Y374)&gt;1,"Mismatch","OK")</f>
        <v>OK</v>
      </c>
      <c r="AC374" s="3" t="str">
        <f aca="false">IF(ABS(X374-Z374)&gt;1,"Mismatch","OK")</f>
        <v>OK</v>
      </c>
      <c r="AD374" s="5" t="n">
        <f aca="false">IF(OR(B374="",C374=""),"",C374-B374)</f>
        <v>2</v>
      </c>
      <c r="AE374" s="3" t="str">
        <f aca="false">IF(AD374="","Unknown",IF(AD374&lt;0,"Invalid - Ship Before Order","OK"))</f>
        <v>OK</v>
      </c>
      <c r="AF374" s="5" t="n">
        <f aca="false">IF(B374="","",MONTH(B374))</f>
        <v>8</v>
      </c>
      <c r="AG374" s="5" t="n">
        <f aca="false">IF(B374="","",YEAR(B374))</f>
        <v>2025</v>
      </c>
      <c r="AH374" s="3" t="s">
        <v>52</v>
      </c>
      <c r="AI374" s="3" t="s">
        <v>53</v>
      </c>
      <c r="AJ374" s="3" t="str">
        <f aca="false">IF(AND(AI374="Completed",AH374="Failed"),"Inconsistent - Completed Order with Failed Payment","OK")</f>
        <v>OK</v>
      </c>
      <c r="AK374" s="3" t="s">
        <v>54</v>
      </c>
      <c r="AL374" s="3" t="str">
        <f aca="false">IF(OR(T374="Negative - Invalid",T374="Above Allowed Range - Invalid",AE374="Invalid - Ship Before Order",AK374&lt;&gt;"Unique",AB374="Mismatch",AC374="Mismatch",AJ374&lt;&gt;"OK"),"Invalid",IF(OR(H374="Yes",O374="Yes",T374="Missing"),"Warning","Clean"))</f>
        <v>Clean</v>
      </c>
    </row>
    <row r="375" customFormat="false" ht="15" hidden="false" customHeight="true" outlineLevel="0" collapsed="false">
      <c r="A375" s="3" t="s">
        <v>1263</v>
      </c>
      <c r="B375" s="4" t="n">
        <v>45760</v>
      </c>
      <c r="C375" s="4" t="n">
        <v>45760</v>
      </c>
      <c r="D375" s="3" t="s">
        <v>1264</v>
      </c>
      <c r="E375" s="3" t="s">
        <v>159</v>
      </c>
      <c r="F375" s="3" t="s">
        <v>58</v>
      </c>
      <c r="G375" s="3" t="s">
        <v>42</v>
      </c>
      <c r="H375" s="3" t="s">
        <v>43</v>
      </c>
      <c r="I375" s="3" t="s">
        <v>163</v>
      </c>
      <c r="J375" s="3" t="s">
        <v>164</v>
      </c>
      <c r="K375" s="3" t="s">
        <v>46</v>
      </c>
      <c r="L375" s="3" t="s">
        <v>151</v>
      </c>
      <c r="M375" s="3" t="s">
        <v>1265</v>
      </c>
      <c r="N375" s="3" t="s">
        <v>49</v>
      </c>
      <c r="O375" s="3" t="s">
        <v>43</v>
      </c>
      <c r="P375" s="5" t="n">
        <v>9</v>
      </c>
      <c r="Q375" s="6" t="n">
        <v>1118.68</v>
      </c>
      <c r="R375" s="3" t="s">
        <v>66</v>
      </c>
      <c r="S375" s="7" t="n">
        <v>0</v>
      </c>
      <c r="T375" s="3" t="s">
        <v>51</v>
      </c>
      <c r="U375" s="7" t="n">
        <f aca="false">IF(T375="Valid",S375,0)</f>
        <v>0</v>
      </c>
      <c r="V375" s="6" t="n">
        <v>10068.12</v>
      </c>
      <c r="W375" s="6" t="n">
        <v>8595.37</v>
      </c>
      <c r="X375" s="6" t="n">
        <v>1472.75</v>
      </c>
      <c r="Y375" s="6" t="n">
        <f aca="false">P375*Q375*(1-U375)</f>
        <v>10068.12</v>
      </c>
      <c r="Z375" s="6" t="n">
        <f aca="false">Y375-W375</f>
        <v>1472.75</v>
      </c>
      <c r="AA375" s="8" t="n">
        <f aca="false">IF(Y375=0,0,Z375/Y375)</f>
        <v>0.146278550513899</v>
      </c>
      <c r="AB375" s="3" t="str">
        <f aca="false">IF(ABS(V375-Y375)&gt;1,"Mismatch","OK")</f>
        <v>OK</v>
      </c>
      <c r="AC375" s="3" t="str">
        <f aca="false">IF(ABS(X375-Z375)&gt;1,"Mismatch","OK")</f>
        <v>OK</v>
      </c>
      <c r="AD375" s="5" t="n">
        <f aca="false">IF(OR(B375="",C375=""),"",C375-B375)</f>
        <v>0</v>
      </c>
      <c r="AE375" s="3" t="str">
        <f aca="false">IF(AD375="","Unknown",IF(AD375&lt;0,"Invalid - Ship Before Order","OK"))</f>
        <v>OK</v>
      </c>
      <c r="AF375" s="5" t="n">
        <f aca="false">IF(B375="","",MONTH(B375))</f>
        <v>4</v>
      </c>
      <c r="AG375" s="5" t="n">
        <f aca="false">IF(B375="","",YEAR(B375))</f>
        <v>2025</v>
      </c>
      <c r="AH375" s="3" t="s">
        <v>52</v>
      </c>
      <c r="AI375" s="3" t="s">
        <v>53</v>
      </c>
      <c r="AJ375" s="3" t="str">
        <f aca="false">IF(AND(AI375="Completed",AH375="Failed"),"Inconsistent - Completed Order with Failed Payment","OK")</f>
        <v>OK</v>
      </c>
      <c r="AK375" s="3" t="s">
        <v>417</v>
      </c>
      <c r="AL375" s="3" t="str">
        <f aca="false">IF(OR(T375="Negative - Invalid",T375="Above Allowed Range - Invalid",AE375="Invalid - Ship Before Order",AK375&lt;&gt;"Unique",AB375="Mismatch",AC375="Mismatch",AJ375&lt;&gt;"OK"),"Invalid",IF(OR(H375="Yes",O375="Yes",T375="Missing"),"Warning","Clean"))</f>
        <v>Invalid</v>
      </c>
    </row>
    <row r="376" customFormat="false" ht="15" hidden="false" customHeight="true" outlineLevel="0" collapsed="false">
      <c r="A376" s="3" t="s">
        <v>1266</v>
      </c>
      <c r="B376" s="4" t="n">
        <v>45715</v>
      </c>
      <c r="C376" s="4" t="n">
        <v>45716</v>
      </c>
      <c r="D376" s="3" t="s">
        <v>1267</v>
      </c>
      <c r="E376" s="3" t="s">
        <v>115</v>
      </c>
      <c r="F376" s="3" t="s">
        <v>58</v>
      </c>
      <c r="G376" s="3" t="s">
        <v>42</v>
      </c>
      <c r="H376" s="3" t="s">
        <v>43</v>
      </c>
      <c r="I376" s="3" t="s">
        <v>163</v>
      </c>
      <c r="J376" s="3" t="s">
        <v>164</v>
      </c>
      <c r="K376" s="3" t="s">
        <v>46</v>
      </c>
      <c r="L376" s="3" t="s">
        <v>117</v>
      </c>
      <c r="M376" s="3" t="s">
        <v>1268</v>
      </c>
      <c r="N376" s="3" t="s">
        <v>83</v>
      </c>
      <c r="O376" s="3" t="s">
        <v>43</v>
      </c>
      <c r="P376" s="5" t="n">
        <v>6</v>
      </c>
      <c r="Q376" s="6" t="n">
        <v>2393.25</v>
      </c>
      <c r="R376" s="3" t="s">
        <v>66</v>
      </c>
      <c r="S376" s="7" t="n">
        <v>0</v>
      </c>
      <c r="T376" s="3" t="s">
        <v>51</v>
      </c>
      <c r="U376" s="7" t="n">
        <f aca="false">IF(T376="Valid",S376,0)</f>
        <v>0</v>
      </c>
      <c r="V376" s="6" t="n">
        <v>14359.5</v>
      </c>
      <c r="W376" s="6" t="n">
        <v>8117.71</v>
      </c>
      <c r="X376" s="6" t="n">
        <v>6241.79</v>
      </c>
      <c r="Y376" s="6" t="n">
        <f aca="false">P376*Q376*(1-U376)</f>
        <v>14359.5</v>
      </c>
      <c r="Z376" s="6" t="n">
        <f aca="false">Y376-W376</f>
        <v>6241.79</v>
      </c>
      <c r="AA376" s="8" t="n">
        <f aca="false">IF(Y376=0,0,Z376/Y376)</f>
        <v>0.434680176886382</v>
      </c>
      <c r="AB376" s="3" t="str">
        <f aca="false">IF(ABS(V376-Y376)&gt;1,"Mismatch","OK")</f>
        <v>OK</v>
      </c>
      <c r="AC376" s="3" t="str">
        <f aca="false">IF(ABS(X376-Z376)&gt;1,"Mismatch","OK")</f>
        <v>OK</v>
      </c>
      <c r="AD376" s="5" t="n">
        <f aca="false">IF(OR(B376="",C376=""),"",C376-B376)</f>
        <v>1</v>
      </c>
      <c r="AE376" s="3" t="str">
        <f aca="false">IF(AD376="","Unknown",IF(AD376&lt;0,"Invalid - Ship Before Order","OK"))</f>
        <v>OK</v>
      </c>
      <c r="AF376" s="5" t="n">
        <f aca="false">IF(B376="","",MONTH(B376))</f>
        <v>2</v>
      </c>
      <c r="AG376" s="5" t="n">
        <f aca="false">IF(B376="","",YEAR(B376))</f>
        <v>2025</v>
      </c>
      <c r="AH376" s="3" t="s">
        <v>52</v>
      </c>
      <c r="AI376" s="3" t="s">
        <v>53</v>
      </c>
      <c r="AJ376" s="3" t="str">
        <f aca="false">IF(AND(AI376="Completed",AH376="Failed"),"Inconsistent - Completed Order with Failed Payment","OK")</f>
        <v>OK</v>
      </c>
      <c r="AK376" s="3" t="s">
        <v>54</v>
      </c>
      <c r="AL376" s="3" t="str">
        <f aca="false">IF(OR(T376="Negative - Invalid",T376="Above Allowed Range - Invalid",AE376="Invalid - Ship Before Order",AK376&lt;&gt;"Unique",AB376="Mismatch",AC376="Mismatch",AJ376&lt;&gt;"OK"),"Invalid",IF(OR(H376="Yes",O376="Yes",T376="Missing"),"Warning","Clean"))</f>
        <v>Clean</v>
      </c>
    </row>
    <row r="377" customFormat="false" ht="15" hidden="false" customHeight="true" outlineLevel="0" collapsed="false">
      <c r="A377" s="3" t="s">
        <v>1269</v>
      </c>
      <c r="B377" s="4" t="n">
        <v>45657</v>
      </c>
      <c r="C377" s="4" t="n">
        <v>45661</v>
      </c>
      <c r="D377" s="3" t="s">
        <v>1270</v>
      </c>
      <c r="E377" s="3" t="s">
        <v>96</v>
      </c>
      <c r="F377" s="3" t="s">
        <v>41</v>
      </c>
      <c r="G377" s="3" t="s">
        <v>42</v>
      </c>
      <c r="H377" s="3" t="s">
        <v>43</v>
      </c>
      <c r="I377" s="3" t="s">
        <v>384</v>
      </c>
      <c r="J377" s="3" t="s">
        <v>385</v>
      </c>
      <c r="K377" s="3" t="s">
        <v>62</v>
      </c>
      <c r="L377" s="3" t="s">
        <v>91</v>
      </c>
      <c r="M377" s="3" t="s">
        <v>1271</v>
      </c>
      <c r="N377" s="3" t="s">
        <v>65</v>
      </c>
      <c r="O377" s="3" t="s">
        <v>43</v>
      </c>
      <c r="P377" s="5" t="n">
        <v>3</v>
      </c>
      <c r="Q377" s="6" t="n">
        <v>1166.61</v>
      </c>
      <c r="R377" s="3" t="s">
        <v>84</v>
      </c>
      <c r="S377" s="7" t="n">
        <v>0.25</v>
      </c>
      <c r="T377" s="3" t="s">
        <v>51</v>
      </c>
      <c r="U377" s="7" t="n">
        <f aca="false">IF(T377="Valid",S377,0)</f>
        <v>0.25</v>
      </c>
      <c r="V377" s="6" t="n">
        <v>2624.87</v>
      </c>
      <c r="W377" s="6" t="n">
        <v>2253.88</v>
      </c>
      <c r="X377" s="6" t="n">
        <v>370.99</v>
      </c>
      <c r="Y377" s="6" t="n">
        <f aca="false">P377*Q377*(1-U377)</f>
        <v>2624.8725</v>
      </c>
      <c r="Z377" s="6" t="n">
        <f aca="false">Y377-W377</f>
        <v>370.9925</v>
      </c>
      <c r="AA377" s="8" t="n">
        <f aca="false">IF(Y377=0,0,Z377/Y377)</f>
        <v>0.141337341147046</v>
      </c>
      <c r="AB377" s="3" t="str">
        <f aca="false">IF(ABS(V377-Y377)&gt;1,"Mismatch","OK")</f>
        <v>OK</v>
      </c>
      <c r="AC377" s="3" t="str">
        <f aca="false">IF(ABS(X377-Z377)&gt;1,"Mismatch","OK")</f>
        <v>OK</v>
      </c>
      <c r="AD377" s="5" t="n">
        <f aca="false">IF(OR(B377="",C377=""),"",C377-B377)</f>
        <v>4</v>
      </c>
      <c r="AE377" s="3" t="str">
        <f aca="false">IF(AD377="","Unknown",IF(AD377&lt;0,"Invalid - Ship Before Order","OK"))</f>
        <v>OK</v>
      </c>
      <c r="AF377" s="5" t="n">
        <f aca="false">IF(B377="","",MONTH(B377))</f>
        <v>12</v>
      </c>
      <c r="AG377" s="5" t="n">
        <f aca="false">IF(B377="","",YEAR(B377))</f>
        <v>2024</v>
      </c>
      <c r="AH377" s="3" t="s">
        <v>52</v>
      </c>
      <c r="AI377" s="3" t="s">
        <v>53</v>
      </c>
      <c r="AJ377" s="3" t="str">
        <f aca="false">IF(AND(AI377="Completed",AH377="Failed"),"Inconsistent - Completed Order with Failed Payment","OK")</f>
        <v>OK</v>
      </c>
      <c r="AK377" s="3" t="s">
        <v>54</v>
      </c>
      <c r="AL377" s="3" t="str">
        <f aca="false">IF(OR(T377="Negative - Invalid",T377="Above Allowed Range - Invalid",AE377="Invalid - Ship Before Order",AK377&lt;&gt;"Unique",AB377="Mismatch",AC377="Mismatch",AJ377&lt;&gt;"OK"),"Invalid",IF(OR(H377="Yes",O377="Yes",T377="Missing"),"Warning","Clean"))</f>
        <v>Clean</v>
      </c>
    </row>
    <row r="378" customFormat="false" ht="15" hidden="false" customHeight="true" outlineLevel="0" collapsed="false">
      <c r="A378" s="3" t="s">
        <v>1272</v>
      </c>
      <c r="B378" s="4" t="n">
        <v>45655</v>
      </c>
      <c r="C378" s="4" t="n">
        <v>45657</v>
      </c>
      <c r="D378" s="3" t="s">
        <v>1273</v>
      </c>
      <c r="E378" s="3" t="s">
        <v>69</v>
      </c>
      <c r="F378" s="3" t="s">
        <v>58</v>
      </c>
      <c r="G378" s="3" t="s">
        <v>59</v>
      </c>
      <c r="H378" s="3" t="s">
        <v>43</v>
      </c>
      <c r="I378" s="3" t="s">
        <v>174</v>
      </c>
      <c r="J378" s="3" t="s">
        <v>175</v>
      </c>
      <c r="K378" s="3" t="s">
        <v>62</v>
      </c>
      <c r="L378" s="3" t="s">
        <v>91</v>
      </c>
      <c r="M378" s="3" t="s">
        <v>1274</v>
      </c>
      <c r="N378" s="3" t="s">
        <v>72</v>
      </c>
      <c r="O378" s="3" t="s">
        <v>43</v>
      </c>
      <c r="P378" s="5" t="n">
        <v>6</v>
      </c>
      <c r="Q378" s="6" t="n">
        <v>1844.78</v>
      </c>
      <c r="R378" s="3" t="s">
        <v>50</v>
      </c>
      <c r="S378" s="7" t="n">
        <v>0.2</v>
      </c>
      <c r="T378" s="3" t="s">
        <v>51</v>
      </c>
      <c r="U378" s="7" t="n">
        <f aca="false">IF(T378="Valid",S378,0)</f>
        <v>0.2</v>
      </c>
      <c r="V378" s="6" t="n">
        <v>8854.94</v>
      </c>
      <c r="W378" s="6" t="n">
        <v>7433.95</v>
      </c>
      <c r="X378" s="6" t="n">
        <v>1420.99</v>
      </c>
      <c r="Y378" s="6" t="n">
        <f aca="false">P378*Q378*(1-U378)</f>
        <v>8854.944</v>
      </c>
      <c r="Z378" s="6" t="n">
        <f aca="false">Y378-W378</f>
        <v>1420.994</v>
      </c>
      <c r="AA378" s="8" t="n">
        <f aca="false">IF(Y378=0,0,Z378/Y378)</f>
        <v>0.160474645576528</v>
      </c>
      <c r="AB378" s="3" t="str">
        <f aca="false">IF(ABS(V378-Y378)&gt;1,"Mismatch","OK")</f>
        <v>OK</v>
      </c>
      <c r="AC378" s="3" t="str">
        <f aca="false">IF(ABS(X378-Z378)&gt;1,"Mismatch","OK")</f>
        <v>OK</v>
      </c>
      <c r="AD378" s="5" t="n">
        <f aca="false">IF(OR(B378="",C378=""),"",C378-B378)</f>
        <v>2</v>
      </c>
      <c r="AE378" s="3" t="str">
        <f aca="false">IF(AD378="","Unknown",IF(AD378&lt;0,"Invalid - Ship Before Order","OK"))</f>
        <v>OK</v>
      </c>
      <c r="AF378" s="5" t="n">
        <f aca="false">IF(B378="","",MONTH(B378))</f>
        <v>12</v>
      </c>
      <c r="AG378" s="5" t="n">
        <f aca="false">IF(B378="","",YEAR(B378))</f>
        <v>2024</v>
      </c>
      <c r="AH378" s="3" t="s">
        <v>52</v>
      </c>
      <c r="AI378" s="3" t="s">
        <v>53</v>
      </c>
      <c r="AJ378" s="3" t="str">
        <f aca="false">IF(AND(AI378="Completed",AH378="Failed"),"Inconsistent - Completed Order with Failed Payment","OK")</f>
        <v>OK</v>
      </c>
      <c r="AK378" s="3" t="s">
        <v>54</v>
      </c>
      <c r="AL378" s="3" t="str">
        <f aca="false">IF(OR(T378="Negative - Invalid",T378="Above Allowed Range - Invalid",AE378="Invalid - Ship Before Order",AK378&lt;&gt;"Unique",AB378="Mismatch",AC378="Mismatch",AJ378&lt;&gt;"OK"),"Invalid",IF(OR(H378="Yes",O378="Yes",T378="Missing"),"Warning","Clean"))</f>
        <v>Clean</v>
      </c>
    </row>
    <row r="379" customFormat="false" ht="15" hidden="false" customHeight="true" outlineLevel="0" collapsed="false">
      <c r="A379" s="3" t="s">
        <v>1275</v>
      </c>
      <c r="B379" s="4" t="n">
        <v>45801</v>
      </c>
      <c r="C379" s="4" t="n">
        <v>45807</v>
      </c>
      <c r="D379" s="3" t="s">
        <v>1276</v>
      </c>
      <c r="E379" s="3" t="s">
        <v>298</v>
      </c>
      <c r="F379" s="3" t="s">
        <v>58</v>
      </c>
      <c r="G379" s="3" t="s">
        <v>59</v>
      </c>
      <c r="H379" s="3" t="s">
        <v>43</v>
      </c>
      <c r="I379" s="3" t="s">
        <v>60</v>
      </c>
      <c r="J379" s="3" t="s">
        <v>61</v>
      </c>
      <c r="K379" s="3" t="s">
        <v>46</v>
      </c>
      <c r="L379" s="3" t="s">
        <v>151</v>
      </c>
      <c r="M379" s="3" t="s">
        <v>1277</v>
      </c>
      <c r="N379" s="3" t="s">
        <v>65</v>
      </c>
      <c r="O379" s="3" t="s">
        <v>43</v>
      </c>
      <c r="P379" s="5" t="n">
        <v>1</v>
      </c>
      <c r="Q379" s="6" t="n">
        <v>2564.74</v>
      </c>
      <c r="R379" s="3" t="s">
        <v>66</v>
      </c>
      <c r="S379" s="7" t="n">
        <v>0</v>
      </c>
      <c r="T379" s="3" t="s">
        <v>51</v>
      </c>
      <c r="U379" s="7" t="n">
        <f aca="false">IF(T379="Valid",S379,0)</f>
        <v>0</v>
      </c>
      <c r="V379" s="6" t="n">
        <v>2564.74</v>
      </c>
      <c r="W379" s="6" t="n">
        <v>1754.58</v>
      </c>
      <c r="X379" s="6" t="n">
        <v>810.16</v>
      </c>
      <c r="Y379" s="6" t="n">
        <f aca="false">P379*Q379*(1-U379)</f>
        <v>2564.74</v>
      </c>
      <c r="Z379" s="6" t="n">
        <f aca="false">Y379-W379</f>
        <v>810.16</v>
      </c>
      <c r="AA379" s="8" t="n">
        <f aca="false">IF(Y379=0,0,Z379/Y379)</f>
        <v>0.315883871269602</v>
      </c>
      <c r="AB379" s="3" t="str">
        <f aca="false">IF(ABS(V379-Y379)&gt;1,"Mismatch","OK")</f>
        <v>OK</v>
      </c>
      <c r="AC379" s="3" t="str">
        <f aca="false">IF(ABS(X379-Z379)&gt;1,"Mismatch","OK")</f>
        <v>OK</v>
      </c>
      <c r="AD379" s="5" t="n">
        <f aca="false">IF(OR(B379="",C379=""),"",C379-B379)</f>
        <v>6</v>
      </c>
      <c r="AE379" s="3" t="str">
        <f aca="false">IF(AD379="","Unknown",IF(AD379&lt;0,"Invalid - Ship Before Order","OK"))</f>
        <v>OK</v>
      </c>
      <c r="AF379" s="5" t="n">
        <f aca="false">IF(B379="","",MONTH(B379))</f>
        <v>5</v>
      </c>
      <c r="AG379" s="5" t="n">
        <f aca="false">IF(B379="","",YEAR(B379))</f>
        <v>2025</v>
      </c>
      <c r="AH379" s="3" t="s">
        <v>52</v>
      </c>
      <c r="AI379" s="3" t="s">
        <v>53</v>
      </c>
      <c r="AJ379" s="3" t="str">
        <f aca="false">IF(AND(AI379="Completed",AH379="Failed"),"Inconsistent - Completed Order with Failed Payment","OK")</f>
        <v>OK</v>
      </c>
      <c r="AK379" s="3" t="s">
        <v>54</v>
      </c>
      <c r="AL379" s="3" t="str">
        <f aca="false">IF(OR(T379="Negative - Invalid",T379="Above Allowed Range - Invalid",AE379="Invalid - Ship Before Order",AK379&lt;&gt;"Unique",AB379="Mismatch",AC379="Mismatch",AJ379&lt;&gt;"OK"),"Invalid",IF(OR(H379="Yes",O379="Yes",T379="Missing"),"Warning","Clean"))</f>
        <v>Clean</v>
      </c>
    </row>
    <row r="380" customFormat="false" ht="15" hidden="false" customHeight="true" outlineLevel="0" collapsed="false">
      <c r="A380" s="3" t="s">
        <v>1278</v>
      </c>
      <c r="B380" s="4" t="n">
        <v>45799</v>
      </c>
      <c r="C380" s="4" t="n">
        <v>45799</v>
      </c>
      <c r="D380" s="3" t="s">
        <v>1279</v>
      </c>
      <c r="E380" s="3" t="s">
        <v>57</v>
      </c>
      <c r="F380" s="3" t="s">
        <v>41</v>
      </c>
      <c r="G380" s="3" t="s">
        <v>88</v>
      </c>
      <c r="H380" s="3" t="s">
        <v>43</v>
      </c>
      <c r="I380" s="3" t="s">
        <v>221</v>
      </c>
      <c r="J380" s="3" t="s">
        <v>222</v>
      </c>
      <c r="K380" s="3" t="s">
        <v>99</v>
      </c>
      <c r="L380" s="3" t="s">
        <v>100</v>
      </c>
      <c r="M380" s="3" t="s">
        <v>1280</v>
      </c>
      <c r="N380" s="3" t="s">
        <v>83</v>
      </c>
      <c r="O380" s="3" t="s">
        <v>43</v>
      </c>
      <c r="P380" s="5" t="n">
        <v>2</v>
      </c>
      <c r="Q380" s="6" t="n">
        <v>3910.61</v>
      </c>
      <c r="R380" s="3" t="s">
        <v>66</v>
      </c>
      <c r="S380" s="7" t="n">
        <v>0</v>
      </c>
      <c r="T380" s="3" t="s">
        <v>51</v>
      </c>
      <c r="U380" s="7" t="n">
        <f aca="false">IF(T380="Valid",S380,0)</f>
        <v>0</v>
      </c>
      <c r="V380" s="6" t="n">
        <v>7821.22</v>
      </c>
      <c r="W380" s="6" t="n">
        <v>4994.46</v>
      </c>
      <c r="X380" s="6" t="n">
        <v>2826.76</v>
      </c>
      <c r="Y380" s="6" t="n">
        <f aca="false">P380*Q380*(1-U380)</f>
        <v>7821.22</v>
      </c>
      <c r="Z380" s="6" t="n">
        <f aca="false">Y380-W380</f>
        <v>2826.76</v>
      </c>
      <c r="AA380" s="8" t="n">
        <f aca="false">IF(Y380=0,0,Z380/Y380)</f>
        <v>0.361421875359599</v>
      </c>
      <c r="AB380" s="3" t="str">
        <f aca="false">IF(ABS(V380-Y380)&gt;1,"Mismatch","OK")</f>
        <v>OK</v>
      </c>
      <c r="AC380" s="3" t="str">
        <f aca="false">IF(ABS(X380-Z380)&gt;1,"Mismatch","OK")</f>
        <v>OK</v>
      </c>
      <c r="AD380" s="5" t="n">
        <f aca="false">IF(OR(B380="",C380=""),"",C380-B380)</f>
        <v>0</v>
      </c>
      <c r="AE380" s="3" t="str">
        <f aca="false">IF(AD380="","Unknown",IF(AD380&lt;0,"Invalid - Ship Before Order","OK"))</f>
        <v>OK</v>
      </c>
      <c r="AF380" s="5" t="n">
        <f aca="false">IF(B380="","",MONTH(B380))</f>
        <v>5</v>
      </c>
      <c r="AG380" s="5" t="n">
        <f aca="false">IF(B380="","",YEAR(B380))</f>
        <v>2025</v>
      </c>
      <c r="AH380" s="3" t="s">
        <v>52</v>
      </c>
      <c r="AI380" s="3" t="s">
        <v>53</v>
      </c>
      <c r="AJ380" s="3" t="str">
        <f aca="false">IF(AND(AI380="Completed",AH380="Failed"),"Inconsistent - Completed Order with Failed Payment","OK")</f>
        <v>OK</v>
      </c>
      <c r="AK380" s="3" t="s">
        <v>54</v>
      </c>
      <c r="AL380" s="3" t="str">
        <f aca="false">IF(OR(T380="Negative - Invalid",T380="Above Allowed Range - Invalid",AE380="Invalid - Ship Before Order",AK380&lt;&gt;"Unique",AB380="Mismatch",AC380="Mismatch",AJ380&lt;&gt;"OK"),"Invalid",IF(OR(H380="Yes",O380="Yes",T380="Missing"),"Warning","Clean"))</f>
        <v>Clean</v>
      </c>
    </row>
    <row r="381" customFormat="false" ht="15" hidden="false" customHeight="true" outlineLevel="0" collapsed="false">
      <c r="A381" s="3" t="s">
        <v>1281</v>
      </c>
      <c r="B381" s="4" t="n">
        <v>45554</v>
      </c>
      <c r="C381" s="4" t="n">
        <v>45558</v>
      </c>
      <c r="D381" s="3" t="s">
        <v>1282</v>
      </c>
      <c r="E381" s="3" t="s">
        <v>57</v>
      </c>
      <c r="F381" s="3" t="s">
        <v>58</v>
      </c>
      <c r="G381" s="3" t="s">
        <v>78</v>
      </c>
      <c r="H381" s="3" t="s">
        <v>43</v>
      </c>
      <c r="I381" s="3" t="s">
        <v>216</v>
      </c>
      <c r="J381" s="3" t="s">
        <v>217</v>
      </c>
      <c r="K381" s="3" t="s">
        <v>46</v>
      </c>
      <c r="L381" s="3" t="s">
        <v>47</v>
      </c>
      <c r="M381" s="3" t="s">
        <v>1283</v>
      </c>
      <c r="N381" s="3" t="s">
        <v>83</v>
      </c>
      <c r="O381" s="3" t="s">
        <v>43</v>
      </c>
      <c r="P381" s="5" t="n">
        <v>7</v>
      </c>
      <c r="Q381" s="6" t="n">
        <v>1136.68</v>
      </c>
      <c r="R381" s="3"/>
      <c r="S381" s="7"/>
      <c r="T381" s="3" t="s">
        <v>230</v>
      </c>
      <c r="U381" s="7" t="n">
        <f aca="false">IF(T381="Valid",S381,0)</f>
        <v>0</v>
      </c>
      <c r="V381" s="6" t="n">
        <v>7956.76</v>
      </c>
      <c r="W381" s="6" t="n">
        <v>4799.54</v>
      </c>
      <c r="X381" s="6" t="n">
        <v>3157.22</v>
      </c>
      <c r="Y381" s="6" t="n">
        <f aca="false">P381*Q381*(1-U381)</f>
        <v>7956.76</v>
      </c>
      <c r="Z381" s="6" t="n">
        <f aca="false">Y381-W381</f>
        <v>3157.22</v>
      </c>
      <c r="AA381" s="8" t="n">
        <f aca="false">IF(Y381=0,0,Z381/Y381)</f>
        <v>0.396797188805494</v>
      </c>
      <c r="AB381" s="3" t="str">
        <f aca="false">IF(ABS(V381-Y381)&gt;1,"Mismatch","OK")</f>
        <v>OK</v>
      </c>
      <c r="AC381" s="3" t="str">
        <f aca="false">IF(ABS(X381-Z381)&gt;1,"Mismatch","OK")</f>
        <v>OK</v>
      </c>
      <c r="AD381" s="5" t="n">
        <f aca="false">IF(OR(B381="",C381=""),"",C381-B381)</f>
        <v>4</v>
      </c>
      <c r="AE381" s="3" t="str">
        <f aca="false">IF(AD381="","Unknown",IF(AD381&lt;0,"Invalid - Ship Before Order","OK"))</f>
        <v>OK</v>
      </c>
      <c r="AF381" s="5" t="n">
        <f aca="false">IF(B381="","",MONTH(B381))</f>
        <v>9</v>
      </c>
      <c r="AG381" s="5" t="n">
        <f aca="false">IF(B381="","",YEAR(B381))</f>
        <v>2024</v>
      </c>
      <c r="AH381" s="3" t="s">
        <v>52</v>
      </c>
      <c r="AI381" s="3" t="s">
        <v>53</v>
      </c>
      <c r="AJ381" s="3" t="str">
        <f aca="false">IF(AND(AI381="Completed",AH381="Failed"),"Inconsistent - Completed Order with Failed Payment","OK")</f>
        <v>OK</v>
      </c>
      <c r="AK381" s="3" t="s">
        <v>54</v>
      </c>
      <c r="AL381" s="3" t="str">
        <f aca="false">IF(OR(T381="Negative - Invalid",T381="Above Allowed Range - Invalid",AE381="Invalid - Ship Before Order",AK381&lt;&gt;"Unique",AB381="Mismatch",AC381="Mismatch",AJ381&lt;&gt;"OK"),"Invalid",IF(OR(H381="Yes",O381="Yes",T381="Missing"),"Warning","Clean"))</f>
        <v>Warning</v>
      </c>
    </row>
    <row r="382" customFormat="false" ht="15" hidden="false" customHeight="true" outlineLevel="0" collapsed="false">
      <c r="A382" s="3" t="s">
        <v>1284</v>
      </c>
      <c r="B382" s="4" t="n">
        <v>45389</v>
      </c>
      <c r="C382" s="4" t="n">
        <v>45396</v>
      </c>
      <c r="D382" s="3" t="s">
        <v>1285</v>
      </c>
      <c r="E382" s="3" t="s">
        <v>96</v>
      </c>
      <c r="F382" s="3" t="s">
        <v>41</v>
      </c>
      <c r="G382" s="3" t="s">
        <v>88</v>
      </c>
      <c r="H382" s="3" t="s">
        <v>43</v>
      </c>
      <c r="I382" s="3" t="s">
        <v>89</v>
      </c>
      <c r="J382" s="3" t="s">
        <v>90</v>
      </c>
      <c r="K382" s="3" t="s">
        <v>62</v>
      </c>
      <c r="L382" s="3" t="s">
        <v>188</v>
      </c>
      <c r="M382" s="3" t="s">
        <v>1286</v>
      </c>
      <c r="N382" s="3" t="s">
        <v>65</v>
      </c>
      <c r="O382" s="3" t="s">
        <v>43</v>
      </c>
      <c r="P382" s="5" t="n">
        <v>5</v>
      </c>
      <c r="Q382" s="6" t="n">
        <v>2235.85</v>
      </c>
      <c r="R382" s="3" t="s">
        <v>84</v>
      </c>
      <c r="S382" s="7" t="n">
        <v>0.25</v>
      </c>
      <c r="T382" s="3" t="s">
        <v>51</v>
      </c>
      <c r="U382" s="7" t="n">
        <f aca="false">IF(T382="Valid",S382,0)</f>
        <v>0.25</v>
      </c>
      <c r="V382" s="6" t="n">
        <v>8384.44</v>
      </c>
      <c r="W382" s="6" t="n">
        <v>4765.96</v>
      </c>
      <c r="X382" s="6" t="n">
        <v>3618.48</v>
      </c>
      <c r="Y382" s="6" t="n">
        <f aca="false">P382*Q382*(1-U382)</f>
        <v>8384.4375</v>
      </c>
      <c r="Z382" s="6" t="n">
        <f aca="false">Y382-W382</f>
        <v>3618.4775</v>
      </c>
      <c r="AA382" s="8" t="n">
        <f aca="false">IF(Y382=0,0,Z382/Y382)</f>
        <v>0.431570692726853</v>
      </c>
      <c r="AB382" s="3" t="str">
        <f aca="false">IF(ABS(V382-Y382)&gt;1,"Mismatch","OK")</f>
        <v>OK</v>
      </c>
      <c r="AC382" s="3" t="str">
        <f aca="false">IF(ABS(X382-Z382)&gt;1,"Mismatch","OK")</f>
        <v>OK</v>
      </c>
      <c r="AD382" s="5" t="n">
        <f aca="false">IF(OR(B382="",C382=""),"",C382-B382)</f>
        <v>7</v>
      </c>
      <c r="AE382" s="3" t="str">
        <f aca="false">IF(AD382="","Unknown",IF(AD382&lt;0,"Invalid - Ship Before Order","OK"))</f>
        <v>OK</v>
      </c>
      <c r="AF382" s="5" t="n">
        <f aca="false">IF(B382="","",MONTH(B382))</f>
        <v>4</v>
      </c>
      <c r="AG382" s="5" t="n">
        <f aca="false">IF(B382="","",YEAR(B382))</f>
        <v>2024</v>
      </c>
      <c r="AH382" s="3" t="s">
        <v>52</v>
      </c>
      <c r="AI382" s="3" t="s">
        <v>130</v>
      </c>
      <c r="AJ382" s="3" t="str">
        <f aca="false">IF(AND(AI382="Completed",AH382="Failed"),"Inconsistent - Completed Order with Failed Payment","OK")</f>
        <v>OK</v>
      </c>
      <c r="AK382" s="3" t="s">
        <v>54</v>
      </c>
      <c r="AL382" s="3" t="str">
        <f aca="false">IF(OR(T382="Negative - Invalid",T382="Above Allowed Range - Invalid",AE382="Invalid - Ship Before Order",AK382&lt;&gt;"Unique",AB382="Mismatch",AC382="Mismatch",AJ382&lt;&gt;"OK"),"Invalid",IF(OR(H382="Yes",O382="Yes",T382="Missing"),"Warning","Clean"))</f>
        <v>Clean</v>
      </c>
    </row>
    <row r="383" customFormat="false" ht="15" hidden="false" customHeight="true" outlineLevel="0" collapsed="false">
      <c r="A383" s="3" t="s">
        <v>1287</v>
      </c>
      <c r="B383" s="4" t="n">
        <v>45919</v>
      </c>
      <c r="C383" s="4" t="n">
        <v>45923</v>
      </c>
      <c r="D383" s="3" t="s">
        <v>1288</v>
      </c>
      <c r="E383" s="3" t="s">
        <v>77</v>
      </c>
      <c r="F383" s="3" t="s">
        <v>121</v>
      </c>
      <c r="G383" s="3" t="s">
        <v>42</v>
      </c>
      <c r="H383" s="3" t="s">
        <v>43</v>
      </c>
      <c r="I383" s="3" t="s">
        <v>384</v>
      </c>
      <c r="J383" s="3" t="s">
        <v>385</v>
      </c>
      <c r="K383" s="3" t="s">
        <v>46</v>
      </c>
      <c r="L383" s="3" t="s">
        <v>183</v>
      </c>
      <c r="M383" s="3" t="s">
        <v>1289</v>
      </c>
      <c r="N383" s="3" t="s">
        <v>83</v>
      </c>
      <c r="O383" s="3" t="s">
        <v>43</v>
      </c>
      <c r="P383" s="5" t="n">
        <v>4</v>
      </c>
      <c r="Q383" s="6" t="n">
        <v>4387.15</v>
      </c>
      <c r="R383" s="3" t="s">
        <v>128</v>
      </c>
      <c r="S383" s="7" t="n">
        <v>0.05</v>
      </c>
      <c r="T383" s="3" t="s">
        <v>51</v>
      </c>
      <c r="U383" s="7" t="n">
        <f aca="false">IF(T383="Valid",S383,0)</f>
        <v>0.05</v>
      </c>
      <c r="V383" s="6" t="n">
        <v>16671.17</v>
      </c>
      <c r="W383" s="6" t="n">
        <v>10833.19</v>
      </c>
      <c r="X383" s="6" t="n">
        <v>5837.98</v>
      </c>
      <c r="Y383" s="6" t="n">
        <f aca="false">P383*Q383*(1-U383)</f>
        <v>16671.17</v>
      </c>
      <c r="Z383" s="6" t="n">
        <f aca="false">Y383-W383</f>
        <v>5837.98</v>
      </c>
      <c r="AA383" s="8" t="n">
        <f aca="false">IF(Y383=0,0,Z383/Y383)</f>
        <v>0.350184180234501</v>
      </c>
      <c r="AB383" s="3" t="str">
        <f aca="false">IF(ABS(V383-Y383)&gt;1,"Mismatch","OK")</f>
        <v>OK</v>
      </c>
      <c r="AC383" s="3" t="str">
        <f aca="false">IF(ABS(X383-Z383)&gt;1,"Mismatch","OK")</f>
        <v>OK</v>
      </c>
      <c r="AD383" s="5" t="n">
        <f aca="false">IF(OR(B383="",C383=""),"",C383-B383)</f>
        <v>4</v>
      </c>
      <c r="AE383" s="3" t="str">
        <f aca="false">IF(AD383="","Unknown",IF(AD383&lt;0,"Invalid - Ship Before Order","OK"))</f>
        <v>OK</v>
      </c>
      <c r="AF383" s="5" t="n">
        <f aca="false">IF(B383="","",MONTH(B383))</f>
        <v>9</v>
      </c>
      <c r="AG383" s="5" t="n">
        <f aca="false">IF(B383="","",YEAR(B383))</f>
        <v>2025</v>
      </c>
      <c r="AH383" s="3" t="s">
        <v>185</v>
      </c>
      <c r="AI383" s="3" t="s">
        <v>93</v>
      </c>
      <c r="AJ383" s="3" t="str">
        <f aca="false">IF(AND(AI383="Completed",AH383="Failed"),"Inconsistent - Completed Order with Failed Payment","OK")</f>
        <v>OK</v>
      </c>
      <c r="AK383" s="3" t="s">
        <v>54</v>
      </c>
      <c r="AL383" s="3" t="str">
        <f aca="false">IF(OR(T383="Negative - Invalid",T383="Above Allowed Range - Invalid",AE383="Invalid - Ship Before Order",AK383&lt;&gt;"Unique",AB383="Mismatch",AC383="Mismatch",AJ383&lt;&gt;"OK"),"Invalid",IF(OR(H383="Yes",O383="Yes",T383="Missing"),"Warning","Clean"))</f>
        <v>Clean</v>
      </c>
    </row>
    <row r="384" customFormat="false" ht="15" hidden="false" customHeight="true" outlineLevel="0" collapsed="false">
      <c r="A384" s="3" t="s">
        <v>1290</v>
      </c>
      <c r="B384" s="4" t="n">
        <v>45720</v>
      </c>
      <c r="C384" s="4" t="n">
        <v>45724</v>
      </c>
      <c r="D384" s="3" t="s">
        <v>187</v>
      </c>
      <c r="E384" s="3" t="s">
        <v>77</v>
      </c>
      <c r="F384" s="3" t="s">
        <v>58</v>
      </c>
      <c r="G384" s="3" t="s">
        <v>59</v>
      </c>
      <c r="H384" s="3" t="s">
        <v>43</v>
      </c>
      <c r="I384" s="3" t="s">
        <v>174</v>
      </c>
      <c r="J384" s="3" t="s">
        <v>175</v>
      </c>
      <c r="K384" s="3" t="s">
        <v>99</v>
      </c>
      <c r="L384" s="3" t="s">
        <v>201</v>
      </c>
      <c r="M384" s="3" t="s">
        <v>1291</v>
      </c>
      <c r="N384" s="3" t="s">
        <v>72</v>
      </c>
      <c r="O384" s="3" t="s">
        <v>43</v>
      </c>
      <c r="P384" s="5" t="n">
        <v>3</v>
      </c>
      <c r="Q384" s="6" t="n">
        <v>4361.85</v>
      </c>
      <c r="R384" s="3" t="s">
        <v>50</v>
      </c>
      <c r="S384" s="7" t="n">
        <v>0.2</v>
      </c>
      <c r="T384" s="3" t="s">
        <v>51</v>
      </c>
      <c r="U384" s="7" t="n">
        <f aca="false">IF(T384="Valid",S384,0)</f>
        <v>0.2</v>
      </c>
      <c r="V384" s="6" t="n">
        <v>10468.44</v>
      </c>
      <c r="W384" s="6" t="n">
        <v>8399.87</v>
      </c>
      <c r="X384" s="6" t="n">
        <v>2068.57</v>
      </c>
      <c r="Y384" s="6" t="n">
        <f aca="false">P384*Q384*(1-U384)</f>
        <v>10468.44</v>
      </c>
      <c r="Z384" s="6" t="n">
        <f aca="false">Y384-W384</f>
        <v>2068.57</v>
      </c>
      <c r="AA384" s="8" t="n">
        <f aca="false">IF(Y384=0,0,Z384/Y384)</f>
        <v>0.197600597605756</v>
      </c>
      <c r="AB384" s="3" t="str">
        <f aca="false">IF(ABS(V384-Y384)&gt;1,"Mismatch","OK")</f>
        <v>OK</v>
      </c>
      <c r="AC384" s="3" t="str">
        <f aca="false">IF(ABS(X384-Z384)&gt;1,"Mismatch","OK")</f>
        <v>OK</v>
      </c>
      <c r="AD384" s="5" t="n">
        <f aca="false">IF(OR(B384="",C384=""),"",C384-B384)</f>
        <v>4</v>
      </c>
      <c r="AE384" s="3" t="str">
        <f aca="false">IF(AD384="","Unknown",IF(AD384&lt;0,"Invalid - Ship Before Order","OK"))</f>
        <v>OK</v>
      </c>
      <c r="AF384" s="5" t="n">
        <f aca="false">IF(B384="","",MONTH(B384))</f>
        <v>3</v>
      </c>
      <c r="AG384" s="5" t="n">
        <f aca="false">IF(B384="","",YEAR(B384))</f>
        <v>2025</v>
      </c>
      <c r="AH384" s="3" t="s">
        <v>52</v>
      </c>
      <c r="AI384" s="3" t="s">
        <v>53</v>
      </c>
      <c r="AJ384" s="3" t="str">
        <f aca="false">IF(AND(AI384="Completed",AH384="Failed"),"Inconsistent - Completed Order with Failed Payment","OK")</f>
        <v>OK</v>
      </c>
      <c r="AK384" s="3" t="s">
        <v>54</v>
      </c>
      <c r="AL384" s="3" t="str">
        <f aca="false">IF(OR(T384="Negative - Invalid",T384="Above Allowed Range - Invalid",AE384="Invalid - Ship Before Order",AK384&lt;&gt;"Unique",AB384="Mismatch",AC384="Mismatch",AJ384&lt;&gt;"OK"),"Invalid",IF(OR(H384="Yes",O384="Yes",T384="Missing"),"Warning","Clean"))</f>
        <v>Clean</v>
      </c>
    </row>
    <row r="385" customFormat="false" ht="15" hidden="false" customHeight="true" outlineLevel="0" collapsed="false">
      <c r="A385" s="3" t="s">
        <v>1292</v>
      </c>
      <c r="B385" s="4" t="n">
        <v>45836</v>
      </c>
      <c r="C385" s="4" t="n">
        <v>45843</v>
      </c>
      <c r="D385" s="3" t="s">
        <v>1293</v>
      </c>
      <c r="E385" s="3" t="s">
        <v>96</v>
      </c>
      <c r="F385" s="3" t="s">
        <v>116</v>
      </c>
      <c r="G385" s="3" t="s">
        <v>59</v>
      </c>
      <c r="H385" s="3" t="s">
        <v>43</v>
      </c>
      <c r="I385" s="3" t="s">
        <v>125</v>
      </c>
      <c r="J385" s="3" t="s">
        <v>126</v>
      </c>
      <c r="K385" s="3" t="s">
        <v>46</v>
      </c>
      <c r="L385" s="3" t="s">
        <v>70</v>
      </c>
      <c r="M385" s="3" t="s">
        <v>1294</v>
      </c>
      <c r="N385" s="3" t="s">
        <v>72</v>
      </c>
      <c r="O385" s="3" t="s">
        <v>43</v>
      </c>
      <c r="P385" s="5" t="n">
        <v>2</v>
      </c>
      <c r="Q385" s="6" t="n">
        <v>2242.75</v>
      </c>
      <c r="R385" s="3" t="s">
        <v>66</v>
      </c>
      <c r="S385" s="7" t="n">
        <v>0</v>
      </c>
      <c r="T385" s="3" t="s">
        <v>51</v>
      </c>
      <c r="U385" s="7" t="n">
        <f aca="false">IF(T385="Valid",S385,0)</f>
        <v>0</v>
      </c>
      <c r="V385" s="6" t="n">
        <v>4485.5</v>
      </c>
      <c r="W385" s="6" t="n">
        <v>3131.86</v>
      </c>
      <c r="X385" s="6" t="n">
        <v>1353.64</v>
      </c>
      <c r="Y385" s="6" t="n">
        <f aca="false">P385*Q385*(1-U385)</f>
        <v>4485.5</v>
      </c>
      <c r="Z385" s="6" t="n">
        <f aca="false">Y385-W385</f>
        <v>1353.64</v>
      </c>
      <c r="AA385" s="8" t="n">
        <f aca="false">IF(Y385=0,0,Z385/Y385)</f>
        <v>0.301781295284807</v>
      </c>
      <c r="AB385" s="3" t="str">
        <f aca="false">IF(ABS(V385-Y385)&gt;1,"Mismatch","OK")</f>
        <v>OK</v>
      </c>
      <c r="AC385" s="3" t="str">
        <f aca="false">IF(ABS(X385-Z385)&gt;1,"Mismatch","OK")</f>
        <v>OK</v>
      </c>
      <c r="AD385" s="5" t="n">
        <f aca="false">IF(OR(B385="",C385=""),"",C385-B385)</f>
        <v>7</v>
      </c>
      <c r="AE385" s="3" t="str">
        <f aca="false">IF(AD385="","Unknown",IF(AD385&lt;0,"Invalid - Ship Before Order","OK"))</f>
        <v>OK</v>
      </c>
      <c r="AF385" s="5" t="n">
        <f aca="false">IF(B385="","",MONTH(B385))</f>
        <v>6</v>
      </c>
      <c r="AG385" s="5" t="n">
        <f aca="false">IF(B385="","",YEAR(B385))</f>
        <v>2025</v>
      </c>
      <c r="AH385" s="3" t="s">
        <v>52</v>
      </c>
      <c r="AI385" s="3" t="s">
        <v>93</v>
      </c>
      <c r="AJ385" s="3" t="str">
        <f aca="false">IF(AND(AI385="Completed",AH385="Failed"),"Inconsistent - Completed Order with Failed Payment","OK")</f>
        <v>OK</v>
      </c>
      <c r="AK385" s="3" t="s">
        <v>54</v>
      </c>
      <c r="AL385" s="3" t="str">
        <f aca="false">IF(OR(T385="Negative - Invalid",T385="Above Allowed Range - Invalid",AE385="Invalid - Ship Before Order",AK385&lt;&gt;"Unique",AB385="Mismatch",AC385="Mismatch",AJ385&lt;&gt;"OK"),"Invalid",IF(OR(H385="Yes",O385="Yes",T385="Missing"),"Warning","Clean"))</f>
        <v>Clean</v>
      </c>
    </row>
    <row r="386" customFormat="false" ht="15" hidden="false" customHeight="true" outlineLevel="0" collapsed="false">
      <c r="A386" s="3" t="s">
        <v>1295</v>
      </c>
      <c r="B386" s="4" t="n">
        <v>45366</v>
      </c>
      <c r="C386" s="4" t="n">
        <v>45371</v>
      </c>
      <c r="D386" s="3" t="s">
        <v>1296</v>
      </c>
      <c r="E386" s="3" t="s">
        <v>168</v>
      </c>
      <c r="F386" s="3" t="s">
        <v>41</v>
      </c>
      <c r="G386" s="3" t="s">
        <v>59</v>
      </c>
      <c r="H386" s="3" t="s">
        <v>43</v>
      </c>
      <c r="I386" s="3" t="s">
        <v>262</v>
      </c>
      <c r="J386" s="3" t="s">
        <v>263</v>
      </c>
      <c r="K386" s="3" t="s">
        <v>99</v>
      </c>
      <c r="L386" s="3" t="s">
        <v>105</v>
      </c>
      <c r="M386" s="3" t="s">
        <v>1297</v>
      </c>
      <c r="N386" s="3" t="s">
        <v>83</v>
      </c>
      <c r="O386" s="3" t="s">
        <v>43</v>
      </c>
      <c r="P386" s="5" t="n">
        <v>2</v>
      </c>
      <c r="Q386" s="6" t="n">
        <v>1881.4</v>
      </c>
      <c r="R386" s="3" t="s">
        <v>84</v>
      </c>
      <c r="S386" s="7" t="n">
        <v>0.25</v>
      </c>
      <c r="T386" s="3" t="s">
        <v>51</v>
      </c>
      <c r="U386" s="7" t="n">
        <f aca="false">IF(T386="Valid",S386,0)</f>
        <v>0.25</v>
      </c>
      <c r="V386" s="6" t="n">
        <v>2822.1</v>
      </c>
      <c r="W386" s="6" t="n">
        <v>1624.57</v>
      </c>
      <c r="X386" s="6" t="n">
        <v>1197.53</v>
      </c>
      <c r="Y386" s="6" t="n">
        <f aca="false">P386*Q386*(1-U386)</f>
        <v>2822.1</v>
      </c>
      <c r="Z386" s="6" t="n">
        <f aca="false">Y386-W386</f>
        <v>1197.53</v>
      </c>
      <c r="AA386" s="8" t="n">
        <f aca="false">IF(Y386=0,0,Z386/Y386)</f>
        <v>0.424340030473761</v>
      </c>
      <c r="AB386" s="3" t="str">
        <f aca="false">IF(ABS(V386-Y386)&gt;1,"Mismatch","OK")</f>
        <v>OK</v>
      </c>
      <c r="AC386" s="3" t="str">
        <f aca="false">IF(ABS(X386-Z386)&gt;1,"Mismatch","OK")</f>
        <v>OK</v>
      </c>
      <c r="AD386" s="5" t="n">
        <f aca="false">IF(OR(B386="",C386=""),"",C386-B386)</f>
        <v>5</v>
      </c>
      <c r="AE386" s="3" t="str">
        <f aca="false">IF(AD386="","Unknown",IF(AD386&lt;0,"Invalid - Ship Before Order","OK"))</f>
        <v>OK</v>
      </c>
      <c r="AF386" s="5" t="n">
        <f aca="false">IF(B386="","",MONTH(B386))</f>
        <v>3</v>
      </c>
      <c r="AG386" s="5" t="n">
        <f aca="false">IF(B386="","",YEAR(B386))</f>
        <v>2024</v>
      </c>
      <c r="AH386" s="3" t="s">
        <v>52</v>
      </c>
      <c r="AI386" s="3" t="s">
        <v>130</v>
      </c>
      <c r="AJ386" s="3" t="str">
        <f aca="false">IF(AND(AI386="Completed",AH386="Failed"),"Inconsistent - Completed Order with Failed Payment","OK")</f>
        <v>OK</v>
      </c>
      <c r="AK386" s="3" t="s">
        <v>54</v>
      </c>
      <c r="AL386" s="3" t="str">
        <f aca="false">IF(OR(T386="Negative - Invalid",T386="Above Allowed Range - Invalid",AE386="Invalid - Ship Before Order",AK386&lt;&gt;"Unique",AB386="Mismatch",AC386="Mismatch",AJ386&lt;&gt;"OK"),"Invalid",IF(OR(H386="Yes",O386="Yes",T386="Missing"),"Warning","Clean"))</f>
        <v>Clean</v>
      </c>
    </row>
    <row r="387" customFormat="false" ht="15" hidden="false" customHeight="true" outlineLevel="0" collapsed="false">
      <c r="A387" s="3" t="s">
        <v>1298</v>
      </c>
      <c r="B387" s="4" t="n">
        <v>45832</v>
      </c>
      <c r="C387" s="4" t="n">
        <v>45838</v>
      </c>
      <c r="D387" s="3" t="s">
        <v>1299</v>
      </c>
      <c r="E387" s="3" t="s">
        <v>77</v>
      </c>
      <c r="F387" s="3" t="s">
        <v>41</v>
      </c>
      <c r="G387" s="3" t="s">
        <v>42</v>
      </c>
      <c r="H387" s="3" t="s">
        <v>43</v>
      </c>
      <c r="I387" s="3" t="s">
        <v>270</v>
      </c>
      <c r="J387" s="3" t="s">
        <v>271</v>
      </c>
      <c r="K387" s="3" t="s">
        <v>46</v>
      </c>
      <c r="L387" s="3" t="s">
        <v>117</v>
      </c>
      <c r="M387" s="3" t="s">
        <v>1300</v>
      </c>
      <c r="N387" s="3" t="s">
        <v>83</v>
      </c>
      <c r="O387" s="3" t="s">
        <v>43</v>
      </c>
      <c r="P387" s="5" t="n">
        <v>6</v>
      </c>
      <c r="Q387" s="6" t="n">
        <v>365.76</v>
      </c>
      <c r="R387" s="3" t="s">
        <v>203</v>
      </c>
      <c r="S387" s="7" t="n">
        <v>0.1</v>
      </c>
      <c r="T387" s="3" t="s">
        <v>51</v>
      </c>
      <c r="U387" s="7" t="n">
        <f aca="false">IF(T387="Valid",S387,0)</f>
        <v>0.1</v>
      </c>
      <c r="V387" s="6" t="n">
        <v>1975.1</v>
      </c>
      <c r="W387" s="6" t="n">
        <v>1115.35</v>
      </c>
      <c r="X387" s="6" t="n">
        <v>859.75</v>
      </c>
      <c r="Y387" s="6" t="n">
        <f aca="false">P387*Q387*(1-U387)</f>
        <v>1975.104</v>
      </c>
      <c r="Z387" s="6" t="n">
        <f aca="false">Y387-W387</f>
        <v>859.754</v>
      </c>
      <c r="AA387" s="8" t="n">
        <f aca="false">IF(Y387=0,0,Z387/Y387)</f>
        <v>0.435295559119925</v>
      </c>
      <c r="AB387" s="3" t="str">
        <f aca="false">IF(ABS(V387-Y387)&gt;1,"Mismatch","OK")</f>
        <v>OK</v>
      </c>
      <c r="AC387" s="3" t="str">
        <f aca="false">IF(ABS(X387-Z387)&gt;1,"Mismatch","OK")</f>
        <v>OK</v>
      </c>
      <c r="AD387" s="5" t="n">
        <f aca="false">IF(OR(B387="",C387=""),"",C387-B387)</f>
        <v>6</v>
      </c>
      <c r="AE387" s="3" t="str">
        <f aca="false">IF(AD387="","Unknown",IF(AD387&lt;0,"Invalid - Ship Before Order","OK"))</f>
        <v>OK</v>
      </c>
      <c r="AF387" s="5" t="n">
        <f aca="false">IF(B387="","",MONTH(B387))</f>
        <v>6</v>
      </c>
      <c r="AG387" s="5" t="n">
        <f aca="false">IF(B387="","",YEAR(B387))</f>
        <v>2025</v>
      </c>
      <c r="AH387" s="3" t="s">
        <v>52</v>
      </c>
      <c r="AI387" s="3" t="s">
        <v>53</v>
      </c>
      <c r="AJ387" s="3" t="str">
        <f aca="false">IF(AND(AI387="Completed",AH387="Failed"),"Inconsistent - Completed Order with Failed Payment","OK")</f>
        <v>OK</v>
      </c>
      <c r="AK387" s="3" t="s">
        <v>54</v>
      </c>
      <c r="AL387" s="3" t="str">
        <f aca="false">IF(OR(T387="Negative - Invalid",T387="Above Allowed Range - Invalid",AE387="Invalid - Ship Before Order",AK387&lt;&gt;"Unique",AB387="Mismatch",AC387="Mismatch",AJ387&lt;&gt;"OK"),"Invalid",IF(OR(H387="Yes",O387="Yes",T387="Missing"),"Warning","Clean"))</f>
        <v>Clean</v>
      </c>
    </row>
    <row r="388" customFormat="false" ht="15" hidden="false" customHeight="true" outlineLevel="0" collapsed="false">
      <c r="A388" s="3" t="s">
        <v>1301</v>
      </c>
      <c r="B388" s="4" t="n">
        <v>45700</v>
      </c>
      <c r="C388" s="4" t="n">
        <v>45702</v>
      </c>
      <c r="D388" s="3" t="s">
        <v>1302</v>
      </c>
      <c r="E388" s="3" t="s">
        <v>159</v>
      </c>
      <c r="F388" s="3" t="s">
        <v>41</v>
      </c>
      <c r="G388" s="3" t="s">
        <v>88</v>
      </c>
      <c r="H388" s="3" t="s">
        <v>43</v>
      </c>
      <c r="I388" s="3" t="s">
        <v>89</v>
      </c>
      <c r="J388" s="3" t="s">
        <v>90</v>
      </c>
      <c r="K388" s="3" t="s">
        <v>62</v>
      </c>
      <c r="L388" s="3" t="s">
        <v>81</v>
      </c>
      <c r="M388" s="3" t="s">
        <v>1303</v>
      </c>
      <c r="N388" s="3" t="s">
        <v>49</v>
      </c>
      <c r="O388" s="3" t="s">
        <v>43</v>
      </c>
      <c r="P388" s="5" t="n">
        <v>8</v>
      </c>
      <c r="Q388" s="6" t="n">
        <v>2786.66</v>
      </c>
      <c r="R388" s="3" t="s">
        <v>203</v>
      </c>
      <c r="S388" s="7" t="n">
        <v>0.1</v>
      </c>
      <c r="T388" s="3" t="s">
        <v>51</v>
      </c>
      <c r="U388" s="7" t="n">
        <f aca="false">IF(T388="Valid",S388,0)</f>
        <v>0.1</v>
      </c>
      <c r="V388" s="6" t="n">
        <v>20063.95</v>
      </c>
      <c r="W388" s="6" t="n">
        <v>14363.38</v>
      </c>
      <c r="X388" s="6" t="n">
        <v>5700.57</v>
      </c>
      <c r="Y388" s="6" t="n">
        <f aca="false">P388*Q388*(1-U388)</f>
        <v>20063.952</v>
      </c>
      <c r="Z388" s="6" t="n">
        <f aca="false">Y388-W388</f>
        <v>5700.572</v>
      </c>
      <c r="AA388" s="8" t="n">
        <f aca="false">IF(Y388=0,0,Z388/Y388)</f>
        <v>0.284120097575991</v>
      </c>
      <c r="AB388" s="3" t="str">
        <f aca="false">IF(ABS(V388-Y388)&gt;1,"Mismatch","OK")</f>
        <v>OK</v>
      </c>
      <c r="AC388" s="3" t="str">
        <f aca="false">IF(ABS(X388-Z388)&gt;1,"Mismatch","OK")</f>
        <v>OK</v>
      </c>
      <c r="AD388" s="5" t="n">
        <f aca="false">IF(OR(B388="",C388=""),"",C388-B388)</f>
        <v>2</v>
      </c>
      <c r="AE388" s="3" t="str">
        <f aca="false">IF(AD388="","Unknown",IF(AD388&lt;0,"Invalid - Ship Before Order","OK"))</f>
        <v>OK</v>
      </c>
      <c r="AF388" s="5" t="n">
        <f aca="false">IF(B388="","",MONTH(B388))</f>
        <v>2</v>
      </c>
      <c r="AG388" s="5" t="n">
        <f aca="false">IF(B388="","",YEAR(B388))</f>
        <v>2025</v>
      </c>
      <c r="AH388" s="3" t="s">
        <v>52</v>
      </c>
      <c r="AI388" s="3" t="s">
        <v>53</v>
      </c>
      <c r="AJ388" s="3" t="str">
        <f aca="false">IF(AND(AI388="Completed",AH388="Failed"),"Inconsistent - Completed Order with Failed Payment","OK")</f>
        <v>OK</v>
      </c>
      <c r="AK388" s="3" t="s">
        <v>54</v>
      </c>
      <c r="AL388" s="3" t="str">
        <f aca="false">IF(OR(T388="Negative - Invalid",T388="Above Allowed Range - Invalid",AE388="Invalid - Ship Before Order",AK388&lt;&gt;"Unique",AB388="Mismatch",AC388="Mismatch",AJ388&lt;&gt;"OK"),"Invalid",IF(OR(H388="Yes",O388="Yes",T388="Missing"),"Warning","Clean"))</f>
        <v>Clean</v>
      </c>
    </row>
    <row r="389" customFormat="false" ht="15" hidden="false" customHeight="true" outlineLevel="0" collapsed="false">
      <c r="A389" s="3" t="s">
        <v>1304</v>
      </c>
      <c r="B389" s="4" t="n">
        <v>45879</v>
      </c>
      <c r="C389" s="4" t="n">
        <v>45882</v>
      </c>
      <c r="D389" s="3" t="s">
        <v>1305</v>
      </c>
      <c r="E389" s="3" t="s">
        <v>141</v>
      </c>
      <c r="F389" s="3" t="s">
        <v>58</v>
      </c>
      <c r="G389" s="3" t="s">
        <v>88</v>
      </c>
      <c r="H389" s="3" t="s">
        <v>43</v>
      </c>
      <c r="I389" s="3" t="s">
        <v>97</v>
      </c>
      <c r="J389" s="3" t="s">
        <v>98</v>
      </c>
      <c r="K389" s="3" t="s">
        <v>62</v>
      </c>
      <c r="L389" s="3" t="s">
        <v>91</v>
      </c>
      <c r="M389" s="3" t="s">
        <v>1306</v>
      </c>
      <c r="N389" s="3" t="s">
        <v>83</v>
      </c>
      <c r="O389" s="3" t="s">
        <v>43</v>
      </c>
      <c r="P389" s="5" t="n">
        <v>5</v>
      </c>
      <c r="Q389" s="6" t="n">
        <v>352.86</v>
      </c>
      <c r="R389" s="3" t="s">
        <v>66</v>
      </c>
      <c r="S389" s="7" t="n">
        <v>0</v>
      </c>
      <c r="T389" s="3" t="s">
        <v>51</v>
      </c>
      <c r="U389" s="7" t="n">
        <f aca="false">IF(T389="Valid",S389,0)</f>
        <v>0</v>
      </c>
      <c r="V389" s="6" t="n">
        <v>1764.3</v>
      </c>
      <c r="W389" s="6" t="n">
        <v>1332.49</v>
      </c>
      <c r="X389" s="6" t="n">
        <v>431.81</v>
      </c>
      <c r="Y389" s="6" t="n">
        <f aca="false">P389*Q389*(1-U389)</f>
        <v>1764.3</v>
      </c>
      <c r="Z389" s="6" t="n">
        <f aca="false">Y389-W389</f>
        <v>431.81</v>
      </c>
      <c r="AA389" s="8" t="n">
        <f aca="false">IF(Y389=0,0,Z389/Y389)</f>
        <v>0.244748625517202</v>
      </c>
      <c r="AB389" s="3" t="str">
        <f aca="false">IF(ABS(V389-Y389)&gt;1,"Mismatch","OK")</f>
        <v>OK</v>
      </c>
      <c r="AC389" s="3" t="str">
        <f aca="false">IF(ABS(X389-Z389)&gt;1,"Mismatch","OK")</f>
        <v>OK</v>
      </c>
      <c r="AD389" s="5" t="n">
        <f aca="false">IF(OR(B389="",C389=""),"",C389-B389)</f>
        <v>3</v>
      </c>
      <c r="AE389" s="3" t="str">
        <f aca="false">IF(AD389="","Unknown",IF(AD389&lt;0,"Invalid - Ship Before Order","OK"))</f>
        <v>OK</v>
      </c>
      <c r="AF389" s="5" t="n">
        <f aca="false">IF(B389="","",MONTH(B389))</f>
        <v>8</v>
      </c>
      <c r="AG389" s="5" t="n">
        <f aca="false">IF(B389="","",YEAR(B389))</f>
        <v>2025</v>
      </c>
      <c r="AH389" s="3" t="s">
        <v>138</v>
      </c>
      <c r="AI389" s="3" t="s">
        <v>93</v>
      </c>
      <c r="AJ389" s="3" t="str">
        <f aca="false">IF(AND(AI389="Completed",AH389="Failed"),"Inconsistent - Completed Order with Failed Payment","OK")</f>
        <v>OK</v>
      </c>
      <c r="AK389" s="3" t="s">
        <v>54</v>
      </c>
      <c r="AL389" s="3" t="str">
        <f aca="false">IF(OR(T389="Negative - Invalid",T389="Above Allowed Range - Invalid",AE389="Invalid - Ship Before Order",AK389&lt;&gt;"Unique",AB389="Mismatch",AC389="Mismatch",AJ389&lt;&gt;"OK"),"Invalid",IF(OR(H389="Yes",O389="Yes",T389="Missing"),"Warning","Clean"))</f>
        <v>Clean</v>
      </c>
    </row>
    <row r="390" customFormat="false" ht="15" hidden="false" customHeight="true" outlineLevel="0" collapsed="false">
      <c r="A390" s="3" t="s">
        <v>1307</v>
      </c>
      <c r="B390" s="4" t="n">
        <v>45425</v>
      </c>
      <c r="C390" s="4" t="n">
        <v>45430</v>
      </c>
      <c r="D390" s="3" t="s">
        <v>1308</v>
      </c>
      <c r="E390" s="3" t="s">
        <v>69</v>
      </c>
      <c r="F390" s="3" t="s">
        <v>58</v>
      </c>
      <c r="G390" s="3" t="s">
        <v>88</v>
      </c>
      <c r="H390" s="3" t="s">
        <v>43</v>
      </c>
      <c r="I390" s="3" t="s">
        <v>211</v>
      </c>
      <c r="J390" s="3" t="s">
        <v>212</v>
      </c>
      <c r="K390" s="3" t="s">
        <v>62</v>
      </c>
      <c r="L390" s="3" t="s">
        <v>91</v>
      </c>
      <c r="M390" s="3" t="s">
        <v>1309</v>
      </c>
      <c r="N390" s="3" t="s">
        <v>83</v>
      </c>
      <c r="O390" s="3" t="s">
        <v>43</v>
      </c>
      <c r="P390" s="5" t="n">
        <v>3</v>
      </c>
      <c r="Q390" s="6" t="n">
        <v>3128.59</v>
      </c>
      <c r="R390" s="3" t="s">
        <v>66</v>
      </c>
      <c r="S390" s="7" t="n">
        <v>0</v>
      </c>
      <c r="T390" s="3" t="s">
        <v>51</v>
      </c>
      <c r="U390" s="7" t="n">
        <f aca="false">IF(T390="Valid",S390,0)</f>
        <v>0</v>
      </c>
      <c r="V390" s="6" t="n">
        <v>9385.77</v>
      </c>
      <c r="W390" s="6" t="n">
        <v>6872.44</v>
      </c>
      <c r="X390" s="6" t="n">
        <v>2783.66</v>
      </c>
      <c r="Y390" s="6" t="n">
        <f aca="false">P390*Q390*(1-U390)</f>
        <v>9385.77</v>
      </c>
      <c r="Z390" s="6" t="n">
        <f aca="false">Y390-W390</f>
        <v>2513.33</v>
      </c>
      <c r="AA390" s="8" t="n">
        <f aca="false">IF(Y390=0,0,Z390/Y390)</f>
        <v>0.267780906627799</v>
      </c>
      <c r="AB390" s="3" t="str">
        <f aca="false">IF(ABS(V390-Y390)&gt;1,"Mismatch","OK")</f>
        <v>OK</v>
      </c>
      <c r="AC390" s="3" t="str">
        <f aca="false">IF(ABS(X390-Z390)&gt;1,"Mismatch","OK")</f>
        <v>Mismatch</v>
      </c>
      <c r="AD390" s="5" t="n">
        <f aca="false">IF(OR(B390="",C390=""),"",C390-B390)</f>
        <v>5</v>
      </c>
      <c r="AE390" s="3" t="str">
        <f aca="false">IF(AD390="","Unknown",IF(AD390&lt;0,"Invalid - Ship Before Order","OK"))</f>
        <v>OK</v>
      </c>
      <c r="AF390" s="5" t="n">
        <f aca="false">IF(B390="","",MONTH(B390))</f>
        <v>5</v>
      </c>
      <c r="AG390" s="5" t="n">
        <f aca="false">IF(B390="","",YEAR(B390))</f>
        <v>2024</v>
      </c>
      <c r="AH390" s="3" t="s">
        <v>52</v>
      </c>
      <c r="AI390" s="3" t="s">
        <v>53</v>
      </c>
      <c r="AJ390" s="3" t="str">
        <f aca="false">IF(AND(AI390="Completed",AH390="Failed"),"Inconsistent - Completed Order with Failed Payment","OK")</f>
        <v>OK</v>
      </c>
      <c r="AK390" s="3" t="s">
        <v>54</v>
      </c>
      <c r="AL390" s="3" t="str">
        <f aca="false">IF(OR(T390="Negative - Invalid",T390="Above Allowed Range - Invalid",AE390="Invalid - Ship Before Order",AK390&lt;&gt;"Unique",AB390="Mismatch",AC390="Mismatch",AJ390&lt;&gt;"OK"),"Invalid",IF(OR(H390="Yes",O390="Yes",T390="Missing"),"Warning","Clean"))</f>
        <v>Invalid</v>
      </c>
    </row>
    <row r="391" customFormat="false" ht="15" hidden="false" customHeight="true" outlineLevel="0" collapsed="false">
      <c r="A391" s="3" t="s">
        <v>1310</v>
      </c>
      <c r="B391" s="4" t="n">
        <v>45387</v>
      </c>
      <c r="C391" s="4" t="n">
        <v>45395</v>
      </c>
      <c r="D391" s="3" t="s">
        <v>1311</v>
      </c>
      <c r="E391" s="3" t="s">
        <v>192</v>
      </c>
      <c r="F391" s="3" t="s">
        <v>116</v>
      </c>
      <c r="G391" s="3" t="s">
        <v>88</v>
      </c>
      <c r="H391" s="3" t="s">
        <v>43</v>
      </c>
      <c r="I391" s="3" t="s">
        <v>211</v>
      </c>
      <c r="J391" s="3" t="s">
        <v>212</v>
      </c>
      <c r="K391" s="3" t="s">
        <v>99</v>
      </c>
      <c r="L391" s="3" t="s">
        <v>308</v>
      </c>
      <c r="M391" s="3" t="s">
        <v>1312</v>
      </c>
      <c r="N391" s="3" t="s">
        <v>49</v>
      </c>
      <c r="O391" s="3" t="s">
        <v>43</v>
      </c>
      <c r="P391" s="5" t="n">
        <v>5</v>
      </c>
      <c r="Q391" s="6" t="n">
        <v>1937.54</v>
      </c>
      <c r="R391" s="3" t="s">
        <v>50</v>
      </c>
      <c r="S391" s="7" t="n">
        <v>0.2</v>
      </c>
      <c r="T391" s="3" t="s">
        <v>51</v>
      </c>
      <c r="U391" s="7" t="n">
        <f aca="false">IF(T391="Valid",S391,0)</f>
        <v>0.2</v>
      </c>
      <c r="V391" s="6" t="n">
        <v>7750.16</v>
      </c>
      <c r="W391" s="6" t="n">
        <v>5434.3</v>
      </c>
      <c r="X391" s="6" t="n">
        <v>2315.86</v>
      </c>
      <c r="Y391" s="6" t="n">
        <f aca="false">P391*Q391*(1-U391)</f>
        <v>7750.16</v>
      </c>
      <c r="Z391" s="6" t="n">
        <f aca="false">Y391-W391</f>
        <v>2315.86</v>
      </c>
      <c r="AA391" s="8" t="n">
        <f aca="false">IF(Y391=0,0,Z391/Y391)</f>
        <v>0.298814476088236</v>
      </c>
      <c r="AB391" s="3" t="str">
        <f aca="false">IF(ABS(V391-Y391)&gt;1,"Mismatch","OK")</f>
        <v>OK</v>
      </c>
      <c r="AC391" s="3" t="str">
        <f aca="false">IF(ABS(X391-Z391)&gt;1,"Mismatch","OK")</f>
        <v>OK</v>
      </c>
      <c r="AD391" s="5" t="n">
        <f aca="false">IF(OR(B391="",C391=""),"",C391-B391)</f>
        <v>8</v>
      </c>
      <c r="AE391" s="3" t="str">
        <f aca="false">IF(AD391="","Unknown",IF(AD391&lt;0,"Invalid - Ship Before Order","OK"))</f>
        <v>OK</v>
      </c>
      <c r="AF391" s="5" t="n">
        <f aca="false">IF(B391="","",MONTH(B391))</f>
        <v>4</v>
      </c>
      <c r="AG391" s="5" t="n">
        <f aca="false">IF(B391="","",YEAR(B391))</f>
        <v>2024</v>
      </c>
      <c r="AH391" s="3" t="s">
        <v>138</v>
      </c>
      <c r="AI391" s="3" t="s">
        <v>93</v>
      </c>
      <c r="AJ391" s="3" t="str">
        <f aca="false">IF(AND(AI391="Completed",AH391="Failed"),"Inconsistent - Completed Order with Failed Payment","OK")</f>
        <v>OK</v>
      </c>
      <c r="AK391" s="3" t="s">
        <v>54</v>
      </c>
      <c r="AL391" s="3" t="str">
        <f aca="false">IF(OR(T391="Negative - Invalid",T391="Above Allowed Range - Invalid",AE391="Invalid - Ship Before Order",AK391&lt;&gt;"Unique",AB391="Mismatch",AC391="Mismatch",AJ391&lt;&gt;"OK"),"Invalid",IF(OR(H391="Yes",O391="Yes",T391="Missing"),"Warning","Clean"))</f>
        <v>Clean</v>
      </c>
    </row>
    <row r="392" customFormat="false" ht="15" hidden="false" customHeight="true" outlineLevel="0" collapsed="false">
      <c r="A392" s="3" t="s">
        <v>1313</v>
      </c>
      <c r="B392" s="4" t="n">
        <v>45602</v>
      </c>
      <c r="C392" s="4" t="n">
        <v>45607</v>
      </c>
      <c r="D392" s="3" t="s">
        <v>1314</v>
      </c>
      <c r="E392" s="3" t="s">
        <v>69</v>
      </c>
      <c r="F392" s="3" t="s">
        <v>41</v>
      </c>
      <c r="G392" s="3" t="s">
        <v>88</v>
      </c>
      <c r="H392" s="3" t="s">
        <v>43</v>
      </c>
      <c r="I392" s="3" t="s">
        <v>211</v>
      </c>
      <c r="J392" s="3" t="s">
        <v>212</v>
      </c>
      <c r="K392" s="3" t="s">
        <v>62</v>
      </c>
      <c r="L392" s="3" t="s">
        <v>81</v>
      </c>
      <c r="M392" s="3" t="s">
        <v>1315</v>
      </c>
      <c r="N392" s="3" t="s">
        <v>83</v>
      </c>
      <c r="O392" s="3" t="s">
        <v>43</v>
      </c>
      <c r="P392" s="5" t="n">
        <v>4</v>
      </c>
      <c r="Q392" s="6" t="n">
        <v>1917.26</v>
      </c>
      <c r="R392" s="3" t="s">
        <v>50</v>
      </c>
      <c r="S392" s="7" t="n">
        <v>0.2</v>
      </c>
      <c r="T392" s="3" t="s">
        <v>51</v>
      </c>
      <c r="U392" s="7" t="n">
        <f aca="false">IF(T392="Valid",S392,0)</f>
        <v>0.2</v>
      </c>
      <c r="V392" s="6" t="n">
        <v>6135.23</v>
      </c>
      <c r="W392" s="6" t="n">
        <v>3439.79</v>
      </c>
      <c r="X392" s="6" t="n">
        <v>2695.44</v>
      </c>
      <c r="Y392" s="6" t="n">
        <f aca="false">P392*Q392*(1-U392)</f>
        <v>6135.232</v>
      </c>
      <c r="Z392" s="6" t="n">
        <f aca="false">Y392-W392</f>
        <v>2695.442</v>
      </c>
      <c r="AA392" s="8" t="n">
        <f aca="false">IF(Y392=0,0,Z392/Y392)</f>
        <v>0.439338235294118</v>
      </c>
      <c r="AB392" s="3" t="str">
        <f aca="false">IF(ABS(V392-Y392)&gt;1,"Mismatch","OK")</f>
        <v>OK</v>
      </c>
      <c r="AC392" s="3" t="str">
        <f aca="false">IF(ABS(X392-Z392)&gt;1,"Mismatch","OK")</f>
        <v>OK</v>
      </c>
      <c r="AD392" s="5" t="n">
        <f aca="false">IF(OR(B392="",C392=""),"",C392-B392)</f>
        <v>5</v>
      </c>
      <c r="AE392" s="3" t="str">
        <f aca="false">IF(AD392="","Unknown",IF(AD392&lt;0,"Invalid - Ship Before Order","OK"))</f>
        <v>OK</v>
      </c>
      <c r="AF392" s="5" t="n">
        <f aca="false">IF(B392="","",MONTH(B392))</f>
        <v>11</v>
      </c>
      <c r="AG392" s="5" t="n">
        <f aca="false">IF(B392="","",YEAR(B392))</f>
        <v>2024</v>
      </c>
      <c r="AH392" s="3" t="s">
        <v>52</v>
      </c>
      <c r="AI392" s="3" t="s">
        <v>53</v>
      </c>
      <c r="AJ392" s="3" t="str">
        <f aca="false">IF(AND(AI392="Completed",AH392="Failed"),"Inconsistent - Completed Order with Failed Payment","OK")</f>
        <v>OK</v>
      </c>
      <c r="AK392" s="3" t="s">
        <v>54</v>
      </c>
      <c r="AL392" s="3" t="str">
        <f aca="false">IF(OR(T392="Negative - Invalid",T392="Above Allowed Range - Invalid",AE392="Invalid - Ship Before Order",AK392&lt;&gt;"Unique",AB392="Mismatch",AC392="Mismatch",AJ392&lt;&gt;"OK"),"Invalid",IF(OR(H392="Yes",O392="Yes",T392="Missing"),"Warning","Clean"))</f>
        <v>Clean</v>
      </c>
    </row>
    <row r="393" customFormat="false" ht="15" hidden="false" customHeight="true" outlineLevel="0" collapsed="false">
      <c r="A393" s="3" t="s">
        <v>1316</v>
      </c>
      <c r="B393" s="4" t="n">
        <v>45702</v>
      </c>
      <c r="C393" s="4" t="n">
        <v>45702</v>
      </c>
      <c r="D393" s="3" t="s">
        <v>1317</v>
      </c>
      <c r="E393" s="3" t="s">
        <v>192</v>
      </c>
      <c r="F393" s="3" t="s">
        <v>41</v>
      </c>
      <c r="G393" s="3" t="s">
        <v>78</v>
      </c>
      <c r="H393" s="3" t="s">
        <v>43</v>
      </c>
      <c r="I393" s="3" t="s">
        <v>206</v>
      </c>
      <c r="J393" s="3" t="s">
        <v>207</v>
      </c>
      <c r="K393" s="3" t="s">
        <v>46</v>
      </c>
      <c r="L393" s="3" t="s">
        <v>151</v>
      </c>
      <c r="M393" s="3" t="s">
        <v>1318</v>
      </c>
      <c r="N393" s="3" t="s">
        <v>72</v>
      </c>
      <c r="O393" s="3" t="s">
        <v>43</v>
      </c>
      <c r="P393" s="5" t="n">
        <v>1</v>
      </c>
      <c r="Q393" s="6" t="n">
        <v>714.43</v>
      </c>
      <c r="R393" s="3" t="s">
        <v>66</v>
      </c>
      <c r="S393" s="7" t="n">
        <v>0</v>
      </c>
      <c r="T393" s="3" t="s">
        <v>51</v>
      </c>
      <c r="U393" s="7" t="n">
        <f aca="false">IF(T393="Valid",S393,0)</f>
        <v>0</v>
      </c>
      <c r="V393" s="6" t="n">
        <v>714.43</v>
      </c>
      <c r="W393" s="6" t="n">
        <v>565.44</v>
      </c>
      <c r="X393" s="6" t="n">
        <v>148.99</v>
      </c>
      <c r="Y393" s="6" t="n">
        <f aca="false">P393*Q393*(1-U393)</f>
        <v>714.43</v>
      </c>
      <c r="Z393" s="6" t="n">
        <f aca="false">Y393-W393</f>
        <v>148.99</v>
      </c>
      <c r="AA393" s="8" t="n">
        <f aca="false">IF(Y393=0,0,Z393/Y393)</f>
        <v>0.208543874137424</v>
      </c>
      <c r="AB393" s="3" t="str">
        <f aca="false">IF(ABS(V393-Y393)&gt;1,"Mismatch","OK")</f>
        <v>OK</v>
      </c>
      <c r="AC393" s="3" t="str">
        <f aca="false">IF(ABS(X393-Z393)&gt;1,"Mismatch","OK")</f>
        <v>OK</v>
      </c>
      <c r="AD393" s="5" t="n">
        <f aca="false">IF(OR(B393="",C393=""),"",C393-B393)</f>
        <v>0</v>
      </c>
      <c r="AE393" s="3" t="str">
        <f aca="false">IF(AD393="","Unknown",IF(AD393&lt;0,"Invalid - Ship Before Order","OK"))</f>
        <v>OK</v>
      </c>
      <c r="AF393" s="5" t="n">
        <f aca="false">IF(B393="","",MONTH(B393))</f>
        <v>2</v>
      </c>
      <c r="AG393" s="5" t="n">
        <f aca="false">IF(B393="","",YEAR(B393))</f>
        <v>2025</v>
      </c>
      <c r="AH393" s="3" t="s">
        <v>52</v>
      </c>
      <c r="AI393" s="3" t="s">
        <v>53</v>
      </c>
      <c r="AJ393" s="3" t="str">
        <f aca="false">IF(AND(AI393="Completed",AH393="Failed"),"Inconsistent - Completed Order with Failed Payment","OK")</f>
        <v>OK</v>
      </c>
      <c r="AK393" s="3" t="s">
        <v>54</v>
      </c>
      <c r="AL393" s="3" t="str">
        <f aca="false">IF(OR(T393="Negative - Invalid",T393="Above Allowed Range - Invalid",AE393="Invalid - Ship Before Order",AK393&lt;&gt;"Unique",AB393="Mismatch",AC393="Mismatch",AJ393&lt;&gt;"OK"),"Invalid",IF(OR(H393="Yes",O393="Yes",T393="Missing"),"Warning","Clean"))</f>
        <v>Clean</v>
      </c>
    </row>
    <row r="394" customFormat="false" ht="15" hidden="false" customHeight="true" outlineLevel="0" collapsed="false">
      <c r="A394" s="3" t="s">
        <v>1319</v>
      </c>
      <c r="B394" s="4" t="n">
        <v>45341</v>
      </c>
      <c r="C394" s="4" t="n">
        <v>45344</v>
      </c>
      <c r="D394" s="3" t="s">
        <v>1320</v>
      </c>
      <c r="E394" s="3" t="s">
        <v>115</v>
      </c>
      <c r="F394" s="3" t="s">
        <v>58</v>
      </c>
      <c r="G394" s="3" t="s">
        <v>78</v>
      </c>
      <c r="H394" s="3" t="s">
        <v>43</v>
      </c>
      <c r="I394" s="3" t="s">
        <v>216</v>
      </c>
      <c r="J394" s="3" t="s">
        <v>217</v>
      </c>
      <c r="K394" s="3" t="s">
        <v>62</v>
      </c>
      <c r="L394" s="3" t="s">
        <v>81</v>
      </c>
      <c r="M394" s="3" t="s">
        <v>1321</v>
      </c>
      <c r="N394" s="3" t="s">
        <v>65</v>
      </c>
      <c r="O394" s="3" t="s">
        <v>43</v>
      </c>
      <c r="P394" s="5" t="n">
        <v>9</v>
      </c>
      <c r="Q394" s="6" t="n">
        <v>4053.01</v>
      </c>
      <c r="R394" s="3" t="s">
        <v>66</v>
      </c>
      <c r="S394" s="7" t="n">
        <v>0</v>
      </c>
      <c r="T394" s="3" t="s">
        <v>51</v>
      </c>
      <c r="U394" s="7" t="n">
        <f aca="false">IF(T394="Valid",S394,0)</f>
        <v>0</v>
      </c>
      <c r="V394" s="6" t="n">
        <v>36477.09</v>
      </c>
      <c r="W394" s="6" t="n">
        <v>24525.48</v>
      </c>
      <c r="X394" s="6" t="n">
        <v>11951.61</v>
      </c>
      <c r="Y394" s="6" t="n">
        <f aca="false">P394*Q394*(1-U394)</f>
        <v>36477.09</v>
      </c>
      <c r="Z394" s="6" t="n">
        <f aca="false">Y394-W394</f>
        <v>11951.61</v>
      </c>
      <c r="AA394" s="8" t="n">
        <f aca="false">IF(Y394=0,0,Z394/Y394)</f>
        <v>0.327647024474814</v>
      </c>
      <c r="AB394" s="3" t="str">
        <f aca="false">IF(ABS(V394-Y394)&gt;1,"Mismatch","OK")</f>
        <v>OK</v>
      </c>
      <c r="AC394" s="3" t="str">
        <f aca="false">IF(ABS(X394-Z394)&gt;1,"Mismatch","OK")</f>
        <v>OK</v>
      </c>
      <c r="AD394" s="5" t="n">
        <f aca="false">IF(OR(B394="",C394=""),"",C394-B394)</f>
        <v>3</v>
      </c>
      <c r="AE394" s="3" t="str">
        <f aca="false">IF(AD394="","Unknown",IF(AD394&lt;0,"Invalid - Ship Before Order","OK"))</f>
        <v>OK</v>
      </c>
      <c r="AF394" s="5" t="n">
        <f aca="false">IF(B394="","",MONTH(B394))</f>
        <v>2</v>
      </c>
      <c r="AG394" s="5" t="n">
        <f aca="false">IF(B394="","",YEAR(B394))</f>
        <v>2024</v>
      </c>
      <c r="AH394" s="3" t="s">
        <v>52</v>
      </c>
      <c r="AI394" s="3" t="s">
        <v>53</v>
      </c>
      <c r="AJ394" s="3" t="str">
        <f aca="false">IF(AND(AI394="Completed",AH394="Failed"),"Inconsistent - Completed Order with Failed Payment","OK")</f>
        <v>OK</v>
      </c>
      <c r="AK394" s="3" t="s">
        <v>54</v>
      </c>
      <c r="AL394" s="3" t="str">
        <f aca="false">IF(OR(T394="Negative - Invalid",T394="Above Allowed Range - Invalid",AE394="Invalid - Ship Before Order",AK394&lt;&gt;"Unique",AB394="Mismatch",AC394="Mismatch",AJ394&lt;&gt;"OK"),"Invalid",IF(OR(H394="Yes",O394="Yes",T394="Missing"),"Warning","Clean"))</f>
        <v>Clean</v>
      </c>
    </row>
    <row r="395" customFormat="false" ht="15" hidden="false" customHeight="true" outlineLevel="0" collapsed="false">
      <c r="A395" s="3" t="s">
        <v>1322</v>
      </c>
      <c r="B395" s="4" t="n">
        <v>45527</v>
      </c>
      <c r="C395" s="4" t="n">
        <v>45533</v>
      </c>
      <c r="D395" s="3" t="s">
        <v>1323</v>
      </c>
      <c r="E395" s="3" t="s">
        <v>57</v>
      </c>
      <c r="F395" s="3" t="s">
        <v>116</v>
      </c>
      <c r="G395" s="3" t="s">
        <v>42</v>
      </c>
      <c r="H395" s="3" t="s">
        <v>43</v>
      </c>
      <c r="I395" s="3" t="s">
        <v>163</v>
      </c>
      <c r="J395" s="3" t="s">
        <v>164</v>
      </c>
      <c r="K395" s="3" t="s">
        <v>46</v>
      </c>
      <c r="L395" s="3" t="s">
        <v>117</v>
      </c>
      <c r="M395" s="3" t="s">
        <v>1324</v>
      </c>
      <c r="N395" s="3" t="s">
        <v>65</v>
      </c>
      <c r="O395" s="3" t="s">
        <v>43</v>
      </c>
      <c r="P395" s="5" t="n">
        <v>2</v>
      </c>
      <c r="Q395" s="6" t="n">
        <v>1936.91</v>
      </c>
      <c r="R395" s="3" t="s">
        <v>128</v>
      </c>
      <c r="S395" s="7" t="n">
        <v>0.05</v>
      </c>
      <c r="T395" s="3" t="s">
        <v>51</v>
      </c>
      <c r="U395" s="7" t="n">
        <f aca="false">IF(T395="Valid",S395,0)</f>
        <v>0.05</v>
      </c>
      <c r="V395" s="6" t="n">
        <v>3680.13</v>
      </c>
      <c r="W395" s="6" t="n">
        <v>2967.46</v>
      </c>
      <c r="X395" s="6" t="n">
        <v>712.67</v>
      </c>
      <c r="Y395" s="6" t="n">
        <f aca="false">P395*Q395*(1-U395)</f>
        <v>3680.129</v>
      </c>
      <c r="Z395" s="6" t="n">
        <f aca="false">Y395-W395</f>
        <v>712.669</v>
      </c>
      <c r="AA395" s="8" t="n">
        <f aca="false">IF(Y395=0,0,Z395/Y395)</f>
        <v>0.193653265958883</v>
      </c>
      <c r="AB395" s="3" t="str">
        <f aca="false">IF(ABS(V395-Y395)&gt;1,"Mismatch","OK")</f>
        <v>OK</v>
      </c>
      <c r="AC395" s="3" t="str">
        <f aca="false">IF(ABS(X395-Z395)&gt;1,"Mismatch","OK")</f>
        <v>OK</v>
      </c>
      <c r="AD395" s="5" t="n">
        <f aca="false">IF(OR(B395="",C395=""),"",C395-B395)</f>
        <v>6</v>
      </c>
      <c r="AE395" s="3" t="str">
        <f aca="false">IF(AD395="","Unknown",IF(AD395&lt;0,"Invalid - Ship Before Order","OK"))</f>
        <v>OK</v>
      </c>
      <c r="AF395" s="5" t="n">
        <f aca="false">IF(B395="","",MONTH(B395))</f>
        <v>8</v>
      </c>
      <c r="AG395" s="5" t="n">
        <f aca="false">IF(B395="","",YEAR(B395))</f>
        <v>2024</v>
      </c>
      <c r="AH395" s="3" t="s">
        <v>52</v>
      </c>
      <c r="AI395" s="3" t="s">
        <v>53</v>
      </c>
      <c r="AJ395" s="3" t="str">
        <f aca="false">IF(AND(AI395="Completed",AH395="Failed"),"Inconsistent - Completed Order with Failed Payment","OK")</f>
        <v>OK</v>
      </c>
      <c r="AK395" s="3" t="s">
        <v>54</v>
      </c>
      <c r="AL395" s="3" t="str">
        <f aca="false">IF(OR(T395="Negative - Invalid",T395="Above Allowed Range - Invalid",AE395="Invalid - Ship Before Order",AK395&lt;&gt;"Unique",AB395="Mismatch",AC395="Mismatch",AJ395&lt;&gt;"OK"),"Invalid",IF(OR(H395="Yes",O395="Yes",T395="Missing"),"Warning","Clean"))</f>
        <v>Clean</v>
      </c>
    </row>
    <row r="396" customFormat="false" ht="15" hidden="false" customHeight="true" outlineLevel="0" collapsed="false">
      <c r="A396" s="3" t="s">
        <v>1325</v>
      </c>
      <c r="B396" s="4" t="n">
        <v>45385</v>
      </c>
      <c r="C396" s="4" t="n">
        <v>45386</v>
      </c>
      <c r="D396" s="3" t="s">
        <v>1326</v>
      </c>
      <c r="E396" s="3" t="s">
        <v>298</v>
      </c>
      <c r="F396" s="3" t="s">
        <v>41</v>
      </c>
      <c r="G396" s="3" t="s">
        <v>88</v>
      </c>
      <c r="H396" s="3" t="s">
        <v>43</v>
      </c>
      <c r="I396" s="3" t="s">
        <v>89</v>
      </c>
      <c r="J396" s="3" t="s">
        <v>90</v>
      </c>
      <c r="K396" s="3" t="s">
        <v>62</v>
      </c>
      <c r="L396" s="3" t="s">
        <v>81</v>
      </c>
      <c r="M396" s="3" t="s">
        <v>1327</v>
      </c>
      <c r="N396" s="3" t="s">
        <v>72</v>
      </c>
      <c r="O396" s="3" t="s">
        <v>43</v>
      </c>
      <c r="P396" s="5" t="n">
        <v>7</v>
      </c>
      <c r="Q396" s="6" t="n">
        <v>3945.21</v>
      </c>
      <c r="R396" s="3" t="s">
        <v>66</v>
      </c>
      <c r="S396" s="7" t="n">
        <v>0</v>
      </c>
      <c r="T396" s="3" t="s">
        <v>51</v>
      </c>
      <c r="U396" s="7" t="n">
        <f aca="false">IF(T396="Valid",S396,0)</f>
        <v>0</v>
      </c>
      <c r="V396" s="6" t="n">
        <v>27616.47</v>
      </c>
      <c r="W396" s="6" t="n">
        <v>21225.26</v>
      </c>
      <c r="X396" s="6" t="n">
        <v>6391.21</v>
      </c>
      <c r="Y396" s="6" t="n">
        <f aca="false">P396*Q396*(1-U396)</f>
        <v>27616.47</v>
      </c>
      <c r="Z396" s="6" t="n">
        <f aca="false">Y396-W396</f>
        <v>6391.21</v>
      </c>
      <c r="AA396" s="8" t="n">
        <f aca="false">IF(Y396=0,0,Z396/Y396)</f>
        <v>0.231427477878237</v>
      </c>
      <c r="AB396" s="3" t="str">
        <f aca="false">IF(ABS(V396-Y396)&gt;1,"Mismatch","OK")</f>
        <v>OK</v>
      </c>
      <c r="AC396" s="3" t="str">
        <f aca="false">IF(ABS(X396-Z396)&gt;1,"Mismatch","OK")</f>
        <v>OK</v>
      </c>
      <c r="AD396" s="5" t="n">
        <f aca="false">IF(OR(B396="",C396=""),"",C396-B396)</f>
        <v>1</v>
      </c>
      <c r="AE396" s="3" t="str">
        <f aca="false">IF(AD396="","Unknown",IF(AD396&lt;0,"Invalid - Ship Before Order","OK"))</f>
        <v>OK</v>
      </c>
      <c r="AF396" s="5" t="n">
        <f aca="false">IF(B396="","",MONTH(B396))</f>
        <v>4</v>
      </c>
      <c r="AG396" s="5" t="n">
        <f aca="false">IF(B396="","",YEAR(B396))</f>
        <v>2024</v>
      </c>
      <c r="AH396" s="3" t="s">
        <v>52</v>
      </c>
      <c r="AI396" s="3" t="s">
        <v>53</v>
      </c>
      <c r="AJ396" s="3" t="str">
        <f aca="false">IF(AND(AI396="Completed",AH396="Failed"),"Inconsistent - Completed Order with Failed Payment","OK")</f>
        <v>OK</v>
      </c>
      <c r="AK396" s="3" t="s">
        <v>54</v>
      </c>
      <c r="AL396" s="3" t="str">
        <f aca="false">IF(OR(T396="Negative - Invalid",T396="Above Allowed Range - Invalid",AE396="Invalid - Ship Before Order",AK396&lt;&gt;"Unique",AB396="Mismatch",AC396="Mismatch",AJ396&lt;&gt;"OK"),"Invalid",IF(OR(H396="Yes",O396="Yes",T396="Missing"),"Warning","Clean"))</f>
        <v>Clean</v>
      </c>
    </row>
    <row r="397" customFormat="false" ht="15" hidden="false" customHeight="true" outlineLevel="0" collapsed="false">
      <c r="A397" s="3" t="s">
        <v>1328</v>
      </c>
      <c r="B397" s="4" t="n">
        <v>45449</v>
      </c>
      <c r="C397" s="4" t="n">
        <v>45450</v>
      </c>
      <c r="D397" s="3" t="s">
        <v>1329</v>
      </c>
      <c r="E397" s="3" t="s">
        <v>145</v>
      </c>
      <c r="F397" s="3" t="s">
        <v>121</v>
      </c>
      <c r="G397" s="3" t="s">
        <v>78</v>
      </c>
      <c r="H397" s="3" t="s">
        <v>43</v>
      </c>
      <c r="I397" s="3" t="s">
        <v>281</v>
      </c>
      <c r="J397" s="3" t="s">
        <v>282</v>
      </c>
      <c r="K397" s="3" t="s">
        <v>62</v>
      </c>
      <c r="L397" s="3" t="s">
        <v>63</v>
      </c>
      <c r="M397" s="3" t="s">
        <v>1330</v>
      </c>
      <c r="N397" s="3" t="s">
        <v>65</v>
      </c>
      <c r="O397" s="3" t="s">
        <v>43</v>
      </c>
      <c r="P397" s="5" t="n">
        <v>7</v>
      </c>
      <c r="Q397" s="6" t="n">
        <v>861.91</v>
      </c>
      <c r="R397" s="3" t="s">
        <v>128</v>
      </c>
      <c r="S397" s="7" t="n">
        <v>0.05</v>
      </c>
      <c r="T397" s="3" t="s">
        <v>51</v>
      </c>
      <c r="U397" s="7" t="n">
        <f aca="false">IF(T397="Valid",S397,0)</f>
        <v>0.05</v>
      </c>
      <c r="V397" s="6" t="n">
        <v>5731.7</v>
      </c>
      <c r="W397" s="6" t="n">
        <v>4115.56</v>
      </c>
      <c r="X397" s="6" t="n">
        <v>1616.14</v>
      </c>
      <c r="Y397" s="6" t="n">
        <f aca="false">P397*Q397*(1-U397)</f>
        <v>5731.7015</v>
      </c>
      <c r="Z397" s="6" t="n">
        <f aca="false">Y397-W397</f>
        <v>1616.1415</v>
      </c>
      <c r="AA397" s="8" t="n">
        <f aca="false">IF(Y397=0,0,Z397/Y397)</f>
        <v>0.281965398930841</v>
      </c>
      <c r="AB397" s="3" t="str">
        <f aca="false">IF(ABS(V397-Y397)&gt;1,"Mismatch","OK")</f>
        <v>OK</v>
      </c>
      <c r="AC397" s="3" t="str">
        <f aca="false">IF(ABS(X397-Z397)&gt;1,"Mismatch","OK")</f>
        <v>OK</v>
      </c>
      <c r="AD397" s="5" t="n">
        <f aca="false">IF(OR(B397="",C397=""),"",C397-B397)</f>
        <v>1</v>
      </c>
      <c r="AE397" s="3" t="str">
        <f aca="false">IF(AD397="","Unknown",IF(AD397&lt;0,"Invalid - Ship Before Order","OK"))</f>
        <v>OK</v>
      </c>
      <c r="AF397" s="5" t="n">
        <f aca="false">IF(B397="","",MONTH(B397))</f>
        <v>6</v>
      </c>
      <c r="AG397" s="5" t="n">
        <f aca="false">IF(B397="","",YEAR(B397))</f>
        <v>2024</v>
      </c>
      <c r="AH397" s="3" t="s">
        <v>52</v>
      </c>
      <c r="AI397" s="3" t="s">
        <v>53</v>
      </c>
      <c r="AJ397" s="3" t="str">
        <f aca="false">IF(AND(AI397="Completed",AH397="Failed"),"Inconsistent - Completed Order with Failed Payment","OK")</f>
        <v>OK</v>
      </c>
      <c r="AK397" s="3" t="s">
        <v>54</v>
      </c>
      <c r="AL397" s="3" t="str">
        <f aca="false">IF(OR(T397="Negative - Invalid",T397="Above Allowed Range - Invalid",AE397="Invalid - Ship Before Order",AK397&lt;&gt;"Unique",AB397="Mismatch",AC397="Mismatch",AJ397&lt;&gt;"OK"),"Invalid",IF(OR(H397="Yes",O397="Yes",T397="Missing"),"Warning","Clean"))</f>
        <v>Clean</v>
      </c>
    </row>
    <row r="398" customFormat="false" ht="15" hidden="false" customHeight="true" outlineLevel="0" collapsed="false">
      <c r="A398" s="3" t="s">
        <v>1331</v>
      </c>
      <c r="B398" s="4" t="n">
        <v>45761</v>
      </c>
      <c r="C398" s="4" t="n">
        <v>45769</v>
      </c>
      <c r="D398" s="3" t="s">
        <v>1332</v>
      </c>
      <c r="E398" s="3" t="s">
        <v>115</v>
      </c>
      <c r="F398" s="3" t="s">
        <v>58</v>
      </c>
      <c r="G398" s="3" t="s">
        <v>78</v>
      </c>
      <c r="H398" s="3" t="s">
        <v>43</v>
      </c>
      <c r="I398" s="3" t="s">
        <v>206</v>
      </c>
      <c r="J398" s="3" t="s">
        <v>207</v>
      </c>
      <c r="K398" s="3" t="s">
        <v>99</v>
      </c>
      <c r="L398" s="3" t="s">
        <v>308</v>
      </c>
      <c r="M398" s="3" t="s">
        <v>1333</v>
      </c>
      <c r="N398" s="3" t="s">
        <v>83</v>
      </c>
      <c r="O398" s="3" t="s">
        <v>43</v>
      </c>
      <c r="P398" s="5" t="n">
        <v>2</v>
      </c>
      <c r="Q398" s="6" t="n">
        <v>638.73</v>
      </c>
      <c r="R398" s="3" t="s">
        <v>128</v>
      </c>
      <c r="S398" s="7" t="n">
        <v>0.05</v>
      </c>
      <c r="T398" s="3" t="s">
        <v>51</v>
      </c>
      <c r="U398" s="7" t="n">
        <f aca="false">IF(T398="Valid",S398,0)</f>
        <v>0.05</v>
      </c>
      <c r="V398" s="6" t="n">
        <v>1213.59</v>
      </c>
      <c r="W398" s="6" t="n">
        <v>956.22</v>
      </c>
      <c r="X398" s="6" t="n">
        <v>257.37</v>
      </c>
      <c r="Y398" s="6" t="n">
        <f aca="false">P398*Q398*(1-U398)</f>
        <v>1213.587</v>
      </c>
      <c r="Z398" s="6" t="n">
        <f aca="false">Y398-W398</f>
        <v>257.367</v>
      </c>
      <c r="AA398" s="8" t="n">
        <f aca="false">IF(Y398=0,0,Z398/Y398)</f>
        <v>0.212071322451542</v>
      </c>
      <c r="AB398" s="3" t="str">
        <f aca="false">IF(ABS(V398-Y398)&gt;1,"Mismatch","OK")</f>
        <v>OK</v>
      </c>
      <c r="AC398" s="3" t="str">
        <f aca="false">IF(ABS(X398-Z398)&gt;1,"Mismatch","OK")</f>
        <v>OK</v>
      </c>
      <c r="AD398" s="5" t="n">
        <f aca="false">IF(OR(B398="",C398=""),"",C398-B398)</f>
        <v>8</v>
      </c>
      <c r="AE398" s="3" t="str">
        <f aca="false">IF(AD398="","Unknown",IF(AD398&lt;0,"Invalid - Ship Before Order","OK"))</f>
        <v>OK</v>
      </c>
      <c r="AF398" s="5" t="n">
        <f aca="false">IF(B398="","",MONTH(B398))</f>
        <v>4</v>
      </c>
      <c r="AG398" s="5" t="n">
        <f aca="false">IF(B398="","",YEAR(B398))</f>
        <v>2025</v>
      </c>
      <c r="AH398" s="3" t="s">
        <v>52</v>
      </c>
      <c r="AI398" s="3" t="s">
        <v>53</v>
      </c>
      <c r="AJ398" s="3" t="str">
        <f aca="false">IF(AND(AI398="Completed",AH398="Failed"),"Inconsistent - Completed Order with Failed Payment","OK")</f>
        <v>OK</v>
      </c>
      <c r="AK398" s="3" t="s">
        <v>54</v>
      </c>
      <c r="AL398" s="3" t="str">
        <f aca="false">IF(OR(T398="Negative - Invalid",T398="Above Allowed Range - Invalid",AE398="Invalid - Ship Before Order",AK398&lt;&gt;"Unique",AB398="Mismatch",AC398="Mismatch",AJ398&lt;&gt;"OK"),"Invalid",IF(OR(H398="Yes",O398="Yes",T398="Missing"),"Warning","Clean"))</f>
        <v>Clean</v>
      </c>
    </row>
    <row r="399" customFormat="false" ht="15" hidden="false" customHeight="true" outlineLevel="0" collapsed="false">
      <c r="A399" s="3" t="s">
        <v>1334</v>
      </c>
      <c r="B399" s="4" t="n">
        <v>45817</v>
      </c>
      <c r="C399" s="4" t="n">
        <v>45818</v>
      </c>
      <c r="D399" s="3" t="s">
        <v>1335</v>
      </c>
      <c r="E399" s="3" t="s">
        <v>159</v>
      </c>
      <c r="F399" s="3" t="s">
        <v>58</v>
      </c>
      <c r="G399" s="3" t="s">
        <v>42</v>
      </c>
      <c r="H399" s="3" t="s">
        <v>43</v>
      </c>
      <c r="I399" s="3" t="s">
        <v>163</v>
      </c>
      <c r="J399" s="3" t="s">
        <v>164</v>
      </c>
      <c r="K399" s="3" t="s">
        <v>62</v>
      </c>
      <c r="L399" s="3" t="s">
        <v>63</v>
      </c>
      <c r="M399" s="3" t="s">
        <v>1336</v>
      </c>
      <c r="N399" s="3" t="s">
        <v>49</v>
      </c>
      <c r="O399" s="3" t="s">
        <v>43</v>
      </c>
      <c r="P399" s="5" t="n">
        <v>2</v>
      </c>
      <c r="Q399" s="6" t="n">
        <v>1731.88</v>
      </c>
      <c r="R399" s="3" t="s">
        <v>66</v>
      </c>
      <c r="S399" s="7" t="n">
        <v>0</v>
      </c>
      <c r="T399" s="3" t="s">
        <v>51</v>
      </c>
      <c r="U399" s="7" t="n">
        <f aca="false">IF(T399="Valid",S399,0)</f>
        <v>0</v>
      </c>
      <c r="V399" s="6" t="n">
        <v>3463.76</v>
      </c>
      <c r="W399" s="6" t="n">
        <v>2143.74</v>
      </c>
      <c r="X399" s="6" t="n">
        <v>1320.02</v>
      </c>
      <c r="Y399" s="6" t="n">
        <f aca="false">P399*Q399*(1-U399)</f>
        <v>3463.76</v>
      </c>
      <c r="Z399" s="6" t="n">
        <f aca="false">Y399-W399</f>
        <v>1320.02</v>
      </c>
      <c r="AA399" s="8" t="n">
        <f aca="false">IF(Y399=0,0,Z399/Y399)</f>
        <v>0.38109453310853</v>
      </c>
      <c r="AB399" s="3" t="str">
        <f aca="false">IF(ABS(V399-Y399)&gt;1,"Mismatch","OK")</f>
        <v>OK</v>
      </c>
      <c r="AC399" s="3" t="str">
        <f aca="false">IF(ABS(X399-Z399)&gt;1,"Mismatch","OK")</f>
        <v>OK</v>
      </c>
      <c r="AD399" s="5" t="n">
        <f aca="false">IF(OR(B399="",C399=""),"",C399-B399)</f>
        <v>1</v>
      </c>
      <c r="AE399" s="3" t="str">
        <f aca="false">IF(AD399="","Unknown",IF(AD399&lt;0,"Invalid - Ship Before Order","OK"))</f>
        <v>OK</v>
      </c>
      <c r="AF399" s="5" t="n">
        <f aca="false">IF(B399="","",MONTH(B399))</f>
        <v>6</v>
      </c>
      <c r="AG399" s="5" t="n">
        <f aca="false">IF(B399="","",YEAR(B399))</f>
        <v>2025</v>
      </c>
      <c r="AH399" s="3" t="s">
        <v>52</v>
      </c>
      <c r="AI399" s="3" t="s">
        <v>53</v>
      </c>
      <c r="AJ399" s="3" t="str">
        <f aca="false">IF(AND(AI399="Completed",AH399="Failed"),"Inconsistent - Completed Order with Failed Payment","OK")</f>
        <v>OK</v>
      </c>
      <c r="AK399" s="3" t="s">
        <v>54</v>
      </c>
      <c r="AL399" s="3" t="str">
        <f aca="false">IF(OR(T399="Negative - Invalid",T399="Above Allowed Range - Invalid",AE399="Invalid - Ship Before Order",AK399&lt;&gt;"Unique",AB399="Mismatch",AC399="Mismatch",AJ399&lt;&gt;"OK"),"Invalid",IF(OR(H399="Yes",O399="Yes",T399="Missing"),"Warning","Clean"))</f>
        <v>Clean</v>
      </c>
    </row>
    <row r="400" customFormat="false" ht="15" hidden="false" customHeight="true" outlineLevel="0" collapsed="false">
      <c r="A400" s="3" t="s">
        <v>1337</v>
      </c>
      <c r="B400" s="4" t="n">
        <v>45492</v>
      </c>
      <c r="C400" s="4" t="n">
        <v>45499</v>
      </c>
      <c r="D400" s="3" t="s">
        <v>1338</v>
      </c>
      <c r="E400" s="3" t="s">
        <v>96</v>
      </c>
      <c r="F400" s="3" t="s">
        <v>116</v>
      </c>
      <c r="G400" s="3" t="s">
        <v>42</v>
      </c>
      <c r="H400" s="3" t="s">
        <v>43</v>
      </c>
      <c r="I400" s="3" t="s">
        <v>149</v>
      </c>
      <c r="J400" s="3" t="s">
        <v>150</v>
      </c>
      <c r="K400" s="3" t="s">
        <v>99</v>
      </c>
      <c r="L400" s="3" t="s">
        <v>308</v>
      </c>
      <c r="M400" s="3" t="s">
        <v>1339</v>
      </c>
      <c r="N400" s="3" t="s">
        <v>65</v>
      </c>
      <c r="O400" s="3" t="s">
        <v>43</v>
      </c>
      <c r="P400" s="5" t="n">
        <v>2</v>
      </c>
      <c r="Q400" s="6" t="n">
        <v>1263.65</v>
      </c>
      <c r="R400" s="3" t="s">
        <v>50</v>
      </c>
      <c r="S400" s="7" t="n">
        <v>0.2</v>
      </c>
      <c r="T400" s="3" t="s">
        <v>51</v>
      </c>
      <c r="U400" s="7" t="n">
        <f aca="false">IF(T400="Valid",S400,0)</f>
        <v>0.2</v>
      </c>
      <c r="V400" s="6" t="n">
        <v>2021.84</v>
      </c>
      <c r="W400" s="6" t="n">
        <v>1355.22</v>
      </c>
      <c r="X400" s="6" t="n">
        <v>666.62</v>
      </c>
      <c r="Y400" s="6" t="n">
        <f aca="false">P400*Q400*(1-U400)</f>
        <v>2021.84</v>
      </c>
      <c r="Z400" s="6" t="n">
        <f aca="false">Y400-W400</f>
        <v>666.62</v>
      </c>
      <c r="AA400" s="8" t="n">
        <f aca="false">IF(Y400=0,0,Z400/Y400)</f>
        <v>0.329709571479445</v>
      </c>
      <c r="AB400" s="3" t="str">
        <f aca="false">IF(ABS(V400-Y400)&gt;1,"Mismatch","OK")</f>
        <v>OK</v>
      </c>
      <c r="AC400" s="3" t="str">
        <f aca="false">IF(ABS(X400-Z400)&gt;1,"Mismatch","OK")</f>
        <v>OK</v>
      </c>
      <c r="AD400" s="5" t="n">
        <f aca="false">IF(OR(B400="",C400=""),"",C400-B400)</f>
        <v>7</v>
      </c>
      <c r="AE400" s="3" t="str">
        <f aca="false">IF(AD400="","Unknown",IF(AD400&lt;0,"Invalid - Ship Before Order","OK"))</f>
        <v>OK</v>
      </c>
      <c r="AF400" s="5" t="n">
        <f aca="false">IF(B400="","",MONTH(B400))</f>
        <v>7</v>
      </c>
      <c r="AG400" s="5" t="n">
        <f aca="false">IF(B400="","",YEAR(B400))</f>
        <v>2024</v>
      </c>
      <c r="AH400" s="3" t="s">
        <v>52</v>
      </c>
      <c r="AI400" s="3" t="s">
        <v>53</v>
      </c>
      <c r="AJ400" s="3" t="str">
        <f aca="false">IF(AND(AI400="Completed",AH400="Failed"),"Inconsistent - Completed Order with Failed Payment","OK")</f>
        <v>OK</v>
      </c>
      <c r="AK400" s="3" t="s">
        <v>54</v>
      </c>
      <c r="AL400" s="3" t="str">
        <f aca="false">IF(OR(T400="Negative - Invalid",T400="Above Allowed Range - Invalid",AE400="Invalid - Ship Before Order",AK400&lt;&gt;"Unique",AB400="Mismatch",AC400="Mismatch",AJ400&lt;&gt;"OK"),"Invalid",IF(OR(H400="Yes",O400="Yes",T400="Missing"),"Warning","Clean"))</f>
        <v>Clean</v>
      </c>
    </row>
    <row r="401" customFormat="false" ht="15" hidden="false" customHeight="true" outlineLevel="0" collapsed="false">
      <c r="A401" s="3" t="s">
        <v>1340</v>
      </c>
      <c r="B401" s="4" t="n">
        <v>45771</v>
      </c>
      <c r="C401" s="4" t="n">
        <v>45776</v>
      </c>
      <c r="D401" s="3" t="s">
        <v>1341</v>
      </c>
      <c r="E401" s="3" t="s">
        <v>192</v>
      </c>
      <c r="F401" s="3" t="s">
        <v>58</v>
      </c>
      <c r="G401" s="3" t="s">
        <v>78</v>
      </c>
      <c r="H401" s="3" t="s">
        <v>43</v>
      </c>
      <c r="I401" s="3" t="s">
        <v>110</v>
      </c>
      <c r="J401" s="3" t="s">
        <v>111</v>
      </c>
      <c r="K401" s="3" t="s">
        <v>46</v>
      </c>
      <c r="L401" s="3" t="s">
        <v>47</v>
      </c>
      <c r="M401" s="3" t="s">
        <v>1342</v>
      </c>
      <c r="N401" s="3" t="s">
        <v>65</v>
      </c>
      <c r="O401" s="3" t="s">
        <v>43</v>
      </c>
      <c r="P401" s="5" t="n">
        <v>1</v>
      </c>
      <c r="Q401" s="6" t="n">
        <v>4358.5</v>
      </c>
      <c r="R401" s="3" t="s">
        <v>84</v>
      </c>
      <c r="S401" s="7" t="n">
        <v>0.25</v>
      </c>
      <c r="T401" s="3" t="s">
        <v>51</v>
      </c>
      <c r="U401" s="7" t="n">
        <f aca="false">IF(T401="Valid",S401,0)</f>
        <v>0.25</v>
      </c>
      <c r="V401" s="6" t="n">
        <v>3268.88</v>
      </c>
      <c r="W401" s="6" t="n">
        <v>1993.74</v>
      </c>
      <c r="X401" s="6" t="n">
        <v>1275.14</v>
      </c>
      <c r="Y401" s="6" t="n">
        <f aca="false">P401*Q401*(1-U401)</f>
        <v>3268.875</v>
      </c>
      <c r="Z401" s="6" t="n">
        <f aca="false">Y401-W401</f>
        <v>1275.135</v>
      </c>
      <c r="AA401" s="8" t="n">
        <f aca="false">IF(Y401=0,0,Z401/Y401)</f>
        <v>0.39008374440748</v>
      </c>
      <c r="AB401" s="3" t="str">
        <f aca="false">IF(ABS(V401-Y401)&gt;1,"Mismatch","OK")</f>
        <v>OK</v>
      </c>
      <c r="AC401" s="3" t="str">
        <f aca="false">IF(ABS(X401-Z401)&gt;1,"Mismatch","OK")</f>
        <v>OK</v>
      </c>
      <c r="AD401" s="5" t="n">
        <f aca="false">IF(OR(B401="",C401=""),"",C401-B401)</f>
        <v>5</v>
      </c>
      <c r="AE401" s="3" t="str">
        <f aca="false">IF(AD401="","Unknown",IF(AD401&lt;0,"Invalid - Ship Before Order","OK"))</f>
        <v>OK</v>
      </c>
      <c r="AF401" s="5" t="n">
        <f aca="false">IF(B401="","",MONTH(B401))</f>
        <v>4</v>
      </c>
      <c r="AG401" s="5" t="n">
        <f aca="false">IF(B401="","",YEAR(B401))</f>
        <v>2025</v>
      </c>
      <c r="AH401" s="3" t="s">
        <v>52</v>
      </c>
      <c r="AI401" s="3" t="s">
        <v>53</v>
      </c>
      <c r="AJ401" s="3" t="str">
        <f aca="false">IF(AND(AI401="Completed",AH401="Failed"),"Inconsistent - Completed Order with Failed Payment","OK")</f>
        <v>OK</v>
      </c>
      <c r="AK401" s="3" t="s">
        <v>54</v>
      </c>
      <c r="AL401" s="3" t="str">
        <f aca="false">IF(OR(T401="Negative - Invalid",T401="Above Allowed Range - Invalid",AE401="Invalid - Ship Before Order",AK401&lt;&gt;"Unique",AB401="Mismatch",AC401="Mismatch",AJ401&lt;&gt;"OK"),"Invalid",IF(OR(H401="Yes",O401="Yes",T401="Missing"),"Warning","Clean"))</f>
        <v>Clean</v>
      </c>
    </row>
    <row r="402" customFormat="false" ht="15" hidden="false" customHeight="true" outlineLevel="0" collapsed="false">
      <c r="A402" s="3" t="s">
        <v>1343</v>
      </c>
      <c r="B402" s="4" t="n">
        <v>45814</v>
      </c>
      <c r="C402" s="4" t="n">
        <v>45819</v>
      </c>
      <c r="D402" s="3" t="s">
        <v>1344</v>
      </c>
      <c r="E402" s="3" t="s">
        <v>159</v>
      </c>
      <c r="F402" s="3" t="s">
        <v>58</v>
      </c>
      <c r="G402" s="3" t="s">
        <v>42</v>
      </c>
      <c r="H402" s="3" t="s">
        <v>43</v>
      </c>
      <c r="I402" s="3" t="s">
        <v>163</v>
      </c>
      <c r="J402" s="3" t="s">
        <v>164</v>
      </c>
      <c r="K402" s="3" t="s">
        <v>46</v>
      </c>
      <c r="L402" s="3" t="s">
        <v>47</v>
      </c>
      <c r="M402" s="3" t="s">
        <v>1345</v>
      </c>
      <c r="N402" s="3" t="s">
        <v>65</v>
      </c>
      <c r="O402" s="3" t="s">
        <v>43</v>
      </c>
      <c r="P402" s="5" t="n">
        <v>7</v>
      </c>
      <c r="Q402" s="6" t="n">
        <v>878.09</v>
      </c>
      <c r="R402" s="3" t="s">
        <v>1346</v>
      </c>
      <c r="S402" s="7" t="n">
        <v>-0.1</v>
      </c>
      <c r="T402" s="3" t="s">
        <v>171</v>
      </c>
      <c r="U402" s="7" t="n">
        <f aca="false">IF(T402="Valid",S402,0)</f>
        <v>0</v>
      </c>
      <c r="V402" s="6" t="n">
        <v>5839.3</v>
      </c>
      <c r="W402" s="6" t="n">
        <v>4877.38</v>
      </c>
      <c r="X402" s="6" t="n">
        <v>961.92</v>
      </c>
      <c r="Y402" s="6" t="n">
        <f aca="false">P402*Q402*(1-U402)</f>
        <v>6146.63</v>
      </c>
      <c r="Z402" s="6" t="n">
        <f aca="false">Y402-W402</f>
        <v>1269.25</v>
      </c>
      <c r="AA402" s="8" t="n">
        <f aca="false">IF(Y402=0,0,Z402/Y402)</f>
        <v>0.206495266511894</v>
      </c>
      <c r="AB402" s="3" t="str">
        <f aca="false">IF(ABS(V402-Y402)&gt;1,"Mismatch","OK")</f>
        <v>Mismatch</v>
      </c>
      <c r="AC402" s="3" t="str">
        <f aca="false">IF(ABS(X402-Z402)&gt;1,"Mismatch","OK")</f>
        <v>Mismatch</v>
      </c>
      <c r="AD402" s="5" t="n">
        <f aca="false">IF(OR(B402="",C402=""),"",C402-B402)</f>
        <v>5</v>
      </c>
      <c r="AE402" s="3" t="str">
        <f aca="false">IF(AD402="","Unknown",IF(AD402&lt;0,"Invalid - Ship Before Order","OK"))</f>
        <v>OK</v>
      </c>
      <c r="AF402" s="5" t="n">
        <f aca="false">IF(B402="","",MONTH(B402))</f>
        <v>6</v>
      </c>
      <c r="AG402" s="5" t="n">
        <f aca="false">IF(B402="","",YEAR(B402))</f>
        <v>2025</v>
      </c>
      <c r="AH402" s="3" t="s">
        <v>52</v>
      </c>
      <c r="AI402" s="3" t="s">
        <v>53</v>
      </c>
      <c r="AJ402" s="3" t="str">
        <f aca="false">IF(AND(AI402="Completed",AH402="Failed"),"Inconsistent - Completed Order with Failed Payment","OK")</f>
        <v>OK</v>
      </c>
      <c r="AK402" s="3" t="s">
        <v>54</v>
      </c>
      <c r="AL402" s="3" t="str">
        <f aca="false">IF(OR(T402="Negative - Invalid",T402="Above Allowed Range - Invalid",AE402="Invalid - Ship Before Order",AK402&lt;&gt;"Unique",AB402="Mismatch",AC402="Mismatch",AJ402&lt;&gt;"OK"),"Invalid",IF(OR(H402="Yes",O402="Yes",T402="Missing"),"Warning","Clean"))</f>
        <v>Invalid</v>
      </c>
    </row>
    <row r="403" customFormat="false" ht="15" hidden="false" customHeight="true" outlineLevel="0" collapsed="false">
      <c r="A403" s="3" t="s">
        <v>1347</v>
      </c>
      <c r="B403" s="4" t="n">
        <v>45725</v>
      </c>
      <c r="C403" s="4" t="n">
        <v>45732</v>
      </c>
      <c r="D403" s="3" t="s">
        <v>1348</v>
      </c>
      <c r="E403" s="3" t="s">
        <v>77</v>
      </c>
      <c r="F403" s="3" t="s">
        <v>58</v>
      </c>
      <c r="G403" s="3" t="s">
        <v>59</v>
      </c>
      <c r="H403" s="3" t="s">
        <v>43</v>
      </c>
      <c r="I403" s="3" t="s">
        <v>262</v>
      </c>
      <c r="J403" s="3" t="s">
        <v>263</v>
      </c>
      <c r="K403" s="3" t="s">
        <v>62</v>
      </c>
      <c r="L403" s="3" t="s">
        <v>63</v>
      </c>
      <c r="M403" s="3" t="s">
        <v>1349</v>
      </c>
      <c r="N403" s="3" t="s">
        <v>65</v>
      </c>
      <c r="O403" s="3" t="s">
        <v>43</v>
      </c>
      <c r="P403" s="5" t="n">
        <v>3</v>
      </c>
      <c r="Q403" s="6" t="n">
        <v>2625.85</v>
      </c>
      <c r="R403" s="3" t="s">
        <v>66</v>
      </c>
      <c r="S403" s="7" t="n">
        <v>0</v>
      </c>
      <c r="T403" s="3" t="s">
        <v>51</v>
      </c>
      <c r="U403" s="7" t="n">
        <f aca="false">IF(T403="Valid",S403,0)</f>
        <v>0</v>
      </c>
      <c r="V403" s="6" t="n">
        <v>7877.55</v>
      </c>
      <c r="W403" s="6" t="n">
        <v>5562.77</v>
      </c>
      <c r="X403" s="6" t="n">
        <v>2314.78</v>
      </c>
      <c r="Y403" s="6" t="n">
        <f aca="false">P403*Q403*(1-U403)</f>
        <v>7877.55</v>
      </c>
      <c r="Z403" s="6" t="n">
        <f aca="false">Y403-W403</f>
        <v>2314.78</v>
      </c>
      <c r="AA403" s="8" t="n">
        <f aca="false">IF(Y403=0,0,Z403/Y403)</f>
        <v>0.293845167596524</v>
      </c>
      <c r="AB403" s="3" t="str">
        <f aca="false">IF(ABS(V403-Y403)&gt;1,"Mismatch","OK")</f>
        <v>OK</v>
      </c>
      <c r="AC403" s="3" t="str">
        <f aca="false">IF(ABS(X403-Z403)&gt;1,"Mismatch","OK")</f>
        <v>OK</v>
      </c>
      <c r="AD403" s="5" t="n">
        <f aca="false">IF(OR(B403="",C403=""),"",C403-B403)</f>
        <v>7</v>
      </c>
      <c r="AE403" s="3" t="str">
        <f aca="false">IF(AD403="","Unknown",IF(AD403&lt;0,"Invalid - Ship Before Order","OK"))</f>
        <v>OK</v>
      </c>
      <c r="AF403" s="5" t="n">
        <f aca="false">IF(B403="","",MONTH(B403))</f>
        <v>3</v>
      </c>
      <c r="AG403" s="5" t="n">
        <f aca="false">IF(B403="","",YEAR(B403))</f>
        <v>2025</v>
      </c>
      <c r="AH403" s="3" t="s">
        <v>52</v>
      </c>
      <c r="AI403" s="3" t="s">
        <v>53</v>
      </c>
      <c r="AJ403" s="3" t="str">
        <f aca="false">IF(AND(AI403="Completed",AH403="Failed"),"Inconsistent - Completed Order with Failed Payment","OK")</f>
        <v>OK</v>
      </c>
      <c r="AK403" s="3" t="s">
        <v>54</v>
      </c>
      <c r="AL403" s="3" t="str">
        <f aca="false">IF(OR(T403="Negative - Invalid",T403="Above Allowed Range - Invalid",AE403="Invalid - Ship Before Order",AK403&lt;&gt;"Unique",AB403="Mismatch",AC403="Mismatch",AJ403&lt;&gt;"OK"),"Invalid",IF(OR(H403="Yes",O403="Yes",T403="Missing"),"Warning","Clean"))</f>
        <v>Clean</v>
      </c>
    </row>
    <row r="404" customFormat="false" ht="15" hidden="false" customHeight="true" outlineLevel="0" collapsed="false">
      <c r="A404" s="3" t="s">
        <v>1350</v>
      </c>
      <c r="B404" s="4" t="n">
        <v>45373</v>
      </c>
      <c r="C404" s="4" t="n">
        <v>45373</v>
      </c>
      <c r="D404" s="3" t="s">
        <v>1351</v>
      </c>
      <c r="E404" s="3" t="s">
        <v>141</v>
      </c>
      <c r="F404" s="3" t="s">
        <v>58</v>
      </c>
      <c r="G404" s="3" t="s">
        <v>78</v>
      </c>
      <c r="H404" s="3" t="s">
        <v>43</v>
      </c>
      <c r="I404" s="3" t="s">
        <v>206</v>
      </c>
      <c r="J404" s="3" t="s">
        <v>207</v>
      </c>
      <c r="K404" s="3" t="s">
        <v>62</v>
      </c>
      <c r="L404" s="3" t="s">
        <v>63</v>
      </c>
      <c r="M404" s="3" t="s">
        <v>1352</v>
      </c>
      <c r="N404" s="3" t="s">
        <v>237</v>
      </c>
      <c r="O404" s="3" t="s">
        <v>238</v>
      </c>
      <c r="P404" s="5" t="n">
        <v>3</v>
      </c>
      <c r="Q404" s="6" t="n">
        <v>1365.26</v>
      </c>
      <c r="R404" s="3" t="s">
        <v>66</v>
      </c>
      <c r="S404" s="7" t="n">
        <v>0</v>
      </c>
      <c r="T404" s="3" t="s">
        <v>51</v>
      </c>
      <c r="U404" s="7" t="n">
        <f aca="false">IF(T404="Valid",S404,0)</f>
        <v>0</v>
      </c>
      <c r="V404" s="6" t="n">
        <v>4095.78</v>
      </c>
      <c r="W404" s="6" t="n">
        <v>2807.77</v>
      </c>
      <c r="X404" s="6" t="n">
        <v>1288.01</v>
      </c>
      <c r="Y404" s="6" t="n">
        <f aca="false">P404*Q404*(1-U404)</f>
        <v>4095.78</v>
      </c>
      <c r="Z404" s="6" t="n">
        <f aca="false">Y404-W404</f>
        <v>1288.01</v>
      </c>
      <c r="AA404" s="8" t="n">
        <f aca="false">IF(Y404=0,0,Z404/Y404)</f>
        <v>0.314472457016734</v>
      </c>
      <c r="AB404" s="3" t="str">
        <f aca="false">IF(ABS(V404-Y404)&gt;1,"Mismatch","OK")</f>
        <v>OK</v>
      </c>
      <c r="AC404" s="3" t="str">
        <f aca="false">IF(ABS(X404-Z404)&gt;1,"Mismatch","OK")</f>
        <v>OK</v>
      </c>
      <c r="AD404" s="5" t="n">
        <f aca="false">IF(OR(B404="",C404=""),"",C404-B404)</f>
        <v>0</v>
      </c>
      <c r="AE404" s="3" t="str">
        <f aca="false">IF(AD404="","Unknown",IF(AD404&lt;0,"Invalid - Ship Before Order","OK"))</f>
        <v>OK</v>
      </c>
      <c r="AF404" s="5" t="n">
        <f aca="false">IF(B404="","",MONTH(B404))</f>
        <v>3</v>
      </c>
      <c r="AG404" s="5" t="n">
        <f aca="false">IF(B404="","",YEAR(B404))</f>
        <v>2024</v>
      </c>
      <c r="AH404" s="3" t="s">
        <v>52</v>
      </c>
      <c r="AI404" s="3" t="s">
        <v>53</v>
      </c>
      <c r="AJ404" s="3" t="str">
        <f aca="false">IF(AND(AI404="Completed",AH404="Failed"),"Inconsistent - Completed Order with Failed Payment","OK")</f>
        <v>OK</v>
      </c>
      <c r="AK404" s="3" t="s">
        <v>54</v>
      </c>
      <c r="AL404" s="3" t="str">
        <f aca="false">IF(OR(T404="Negative - Invalid",T404="Above Allowed Range - Invalid",AE404="Invalid - Ship Before Order",AK404&lt;&gt;"Unique",AB404="Mismatch",AC404="Mismatch",AJ404&lt;&gt;"OK"),"Invalid",IF(OR(H404="Yes",O404="Yes",T404="Missing"),"Warning","Clean"))</f>
        <v>Warning</v>
      </c>
    </row>
    <row r="405" customFormat="false" ht="15" hidden="false" customHeight="true" outlineLevel="0" collapsed="false">
      <c r="A405" s="3" t="s">
        <v>1353</v>
      </c>
      <c r="B405" s="4" t="n">
        <v>45565</v>
      </c>
      <c r="C405" s="4" t="n">
        <v>45569</v>
      </c>
      <c r="D405" s="3" t="s">
        <v>1354</v>
      </c>
      <c r="E405" s="3" t="s">
        <v>77</v>
      </c>
      <c r="F405" s="3" t="s">
        <v>58</v>
      </c>
      <c r="G405" s="3" t="s">
        <v>78</v>
      </c>
      <c r="H405" s="3" t="s">
        <v>43</v>
      </c>
      <c r="I405" s="3" t="s">
        <v>216</v>
      </c>
      <c r="J405" s="3" t="s">
        <v>217</v>
      </c>
      <c r="K405" s="3" t="s">
        <v>46</v>
      </c>
      <c r="L405" s="3" t="s">
        <v>47</v>
      </c>
      <c r="M405" s="3" t="s">
        <v>1355</v>
      </c>
      <c r="N405" s="3" t="s">
        <v>65</v>
      </c>
      <c r="O405" s="3" t="s">
        <v>43</v>
      </c>
      <c r="P405" s="5" t="n">
        <v>5</v>
      </c>
      <c r="Q405" s="6" t="n">
        <v>3512.25</v>
      </c>
      <c r="R405" s="3" t="s">
        <v>128</v>
      </c>
      <c r="S405" s="7" t="n">
        <v>0.05</v>
      </c>
      <c r="T405" s="3" t="s">
        <v>51</v>
      </c>
      <c r="U405" s="7" t="n">
        <f aca="false">IF(T405="Valid",S405,0)</f>
        <v>0.05</v>
      </c>
      <c r="V405" s="6" t="n">
        <v>16683.19</v>
      </c>
      <c r="W405" s="6" t="n">
        <v>10301.16</v>
      </c>
      <c r="X405" s="6" t="n">
        <v>6382.03</v>
      </c>
      <c r="Y405" s="6" t="n">
        <f aca="false">P405*Q405*(1-U405)</f>
        <v>16683.1875</v>
      </c>
      <c r="Z405" s="6" t="n">
        <f aca="false">Y405-W405</f>
        <v>6382.0275</v>
      </c>
      <c r="AA405" s="8" t="n">
        <f aca="false">IF(Y405=0,0,Z405/Y405)</f>
        <v>0.382542454791688</v>
      </c>
      <c r="AB405" s="3" t="str">
        <f aca="false">IF(ABS(V405-Y405)&gt;1,"Mismatch","OK")</f>
        <v>OK</v>
      </c>
      <c r="AC405" s="3" t="str">
        <f aca="false">IF(ABS(X405-Z405)&gt;1,"Mismatch","OK")</f>
        <v>OK</v>
      </c>
      <c r="AD405" s="5" t="n">
        <f aca="false">IF(OR(B405="",C405=""),"",C405-B405)</f>
        <v>4</v>
      </c>
      <c r="AE405" s="3" t="str">
        <f aca="false">IF(AD405="","Unknown",IF(AD405&lt;0,"Invalid - Ship Before Order","OK"))</f>
        <v>OK</v>
      </c>
      <c r="AF405" s="5" t="n">
        <f aca="false">IF(B405="","",MONTH(B405))</f>
        <v>9</v>
      </c>
      <c r="AG405" s="5" t="n">
        <f aca="false">IF(B405="","",YEAR(B405))</f>
        <v>2024</v>
      </c>
      <c r="AH405" s="3" t="s">
        <v>52</v>
      </c>
      <c r="AI405" s="3" t="s">
        <v>130</v>
      </c>
      <c r="AJ405" s="3" t="str">
        <f aca="false">IF(AND(AI405="Completed",AH405="Failed"),"Inconsistent - Completed Order with Failed Payment","OK")</f>
        <v>OK</v>
      </c>
      <c r="AK405" s="3" t="s">
        <v>54</v>
      </c>
      <c r="AL405" s="3" t="str">
        <f aca="false">IF(OR(T405="Negative - Invalid",T405="Above Allowed Range - Invalid",AE405="Invalid - Ship Before Order",AK405&lt;&gt;"Unique",AB405="Mismatch",AC405="Mismatch",AJ405&lt;&gt;"OK"),"Invalid",IF(OR(H405="Yes",O405="Yes",T405="Missing"),"Warning","Clean"))</f>
        <v>Clean</v>
      </c>
    </row>
    <row r="406" customFormat="false" ht="15" hidden="false" customHeight="true" outlineLevel="0" collapsed="false">
      <c r="A406" s="3" t="s">
        <v>1356</v>
      </c>
      <c r="B406" s="4" t="n">
        <v>45318</v>
      </c>
      <c r="C406" s="4" t="n">
        <v>45325</v>
      </c>
      <c r="D406" s="3" t="s">
        <v>1357</v>
      </c>
      <c r="E406" s="3" t="s">
        <v>115</v>
      </c>
      <c r="F406" s="3" t="s">
        <v>116</v>
      </c>
      <c r="G406" s="3" t="s">
        <v>88</v>
      </c>
      <c r="H406" s="3" t="s">
        <v>43</v>
      </c>
      <c r="I406" s="3" t="s">
        <v>44</v>
      </c>
      <c r="J406" s="3" t="s">
        <v>136</v>
      </c>
      <c r="K406" s="3" t="s">
        <v>62</v>
      </c>
      <c r="L406" s="3" t="s">
        <v>91</v>
      </c>
      <c r="M406" s="3" t="s">
        <v>1358</v>
      </c>
      <c r="N406" s="3" t="s">
        <v>65</v>
      </c>
      <c r="O406" s="3" t="s">
        <v>43</v>
      </c>
      <c r="P406" s="5" t="n">
        <v>3</v>
      </c>
      <c r="Q406" s="6" t="n">
        <v>359.61</v>
      </c>
      <c r="R406" s="3" t="s">
        <v>66</v>
      </c>
      <c r="S406" s="7" t="n">
        <v>0</v>
      </c>
      <c r="T406" s="3" t="s">
        <v>51</v>
      </c>
      <c r="U406" s="7" t="n">
        <f aca="false">IF(T406="Valid",S406,0)</f>
        <v>0</v>
      </c>
      <c r="V406" s="6" t="n">
        <v>1078.83</v>
      </c>
      <c r="W406" s="6" t="n">
        <v>926.35</v>
      </c>
      <c r="X406" s="6" t="n">
        <v>152.48</v>
      </c>
      <c r="Y406" s="6" t="n">
        <f aca="false">P406*Q406*(1-U406)</f>
        <v>1078.83</v>
      </c>
      <c r="Z406" s="6" t="n">
        <f aca="false">Y406-W406</f>
        <v>152.48</v>
      </c>
      <c r="AA406" s="8" t="n">
        <f aca="false">IF(Y406=0,0,Z406/Y406)</f>
        <v>0.14133830167867</v>
      </c>
      <c r="AB406" s="3" t="str">
        <f aca="false">IF(ABS(V406-Y406)&gt;1,"Mismatch","OK")</f>
        <v>OK</v>
      </c>
      <c r="AC406" s="3" t="str">
        <f aca="false">IF(ABS(X406-Z406)&gt;1,"Mismatch","OK")</f>
        <v>OK</v>
      </c>
      <c r="AD406" s="5" t="n">
        <f aca="false">IF(OR(B406="",C406=""),"",C406-B406)</f>
        <v>7</v>
      </c>
      <c r="AE406" s="3" t="str">
        <f aca="false">IF(AD406="","Unknown",IF(AD406&lt;0,"Invalid - Ship Before Order","OK"))</f>
        <v>OK</v>
      </c>
      <c r="AF406" s="5" t="n">
        <f aca="false">IF(B406="","",MONTH(B406))</f>
        <v>1</v>
      </c>
      <c r="AG406" s="5" t="n">
        <f aca="false">IF(B406="","",YEAR(B406))</f>
        <v>2024</v>
      </c>
      <c r="AH406" s="3" t="s">
        <v>52</v>
      </c>
      <c r="AI406" s="3" t="s">
        <v>53</v>
      </c>
      <c r="AJ406" s="3" t="str">
        <f aca="false">IF(AND(AI406="Completed",AH406="Failed"),"Inconsistent - Completed Order with Failed Payment","OK")</f>
        <v>OK</v>
      </c>
      <c r="AK406" s="3" t="s">
        <v>54</v>
      </c>
      <c r="AL406" s="3" t="str">
        <f aca="false">IF(OR(T406="Negative - Invalid",T406="Above Allowed Range - Invalid",AE406="Invalid - Ship Before Order",AK406&lt;&gt;"Unique",AB406="Mismatch",AC406="Mismatch",AJ406&lt;&gt;"OK"),"Invalid",IF(OR(H406="Yes",O406="Yes",T406="Missing"),"Warning","Clean"))</f>
        <v>Clean</v>
      </c>
    </row>
    <row r="407" customFormat="false" ht="15" hidden="false" customHeight="true" outlineLevel="0" collapsed="false">
      <c r="A407" s="3" t="s">
        <v>1359</v>
      </c>
      <c r="B407" s="4" t="n">
        <v>45558</v>
      </c>
      <c r="C407" s="4" t="n">
        <v>45559</v>
      </c>
      <c r="D407" s="3" t="s">
        <v>1360</v>
      </c>
      <c r="E407" s="3" t="s">
        <v>115</v>
      </c>
      <c r="F407" s="3" t="s">
        <v>121</v>
      </c>
      <c r="G407" s="3" t="s">
        <v>88</v>
      </c>
      <c r="H407" s="3" t="s">
        <v>43</v>
      </c>
      <c r="I407" s="3" t="s">
        <v>211</v>
      </c>
      <c r="J407" s="3" t="s">
        <v>212</v>
      </c>
      <c r="K407" s="3" t="s">
        <v>62</v>
      </c>
      <c r="L407" s="3" t="s">
        <v>188</v>
      </c>
      <c r="M407" s="3" t="s">
        <v>1361</v>
      </c>
      <c r="N407" s="3" t="s">
        <v>237</v>
      </c>
      <c r="O407" s="3" t="s">
        <v>238</v>
      </c>
      <c r="P407" s="5" t="n">
        <v>7</v>
      </c>
      <c r="Q407" s="6" t="n">
        <v>3878.01</v>
      </c>
      <c r="R407" s="3" t="s">
        <v>203</v>
      </c>
      <c r="S407" s="7" t="n">
        <v>0.1</v>
      </c>
      <c r="T407" s="3" t="s">
        <v>51</v>
      </c>
      <c r="U407" s="7" t="n">
        <f aca="false">IF(T407="Valid",S407,0)</f>
        <v>0.1</v>
      </c>
      <c r="V407" s="6" t="n">
        <v>24431.46</v>
      </c>
      <c r="W407" s="6" t="n">
        <v>18202.36</v>
      </c>
      <c r="X407" s="6" t="n">
        <v>6229.1</v>
      </c>
      <c r="Y407" s="6" t="n">
        <f aca="false">P407*Q407*(1-U407)</f>
        <v>24431.463</v>
      </c>
      <c r="Z407" s="6" t="n">
        <f aca="false">Y407-W407</f>
        <v>6229.103</v>
      </c>
      <c r="AA407" s="8" t="n">
        <f aca="false">IF(Y407=0,0,Z407/Y407)</f>
        <v>0.254962340978107</v>
      </c>
      <c r="AB407" s="3" t="str">
        <f aca="false">IF(ABS(V407-Y407)&gt;1,"Mismatch","OK")</f>
        <v>OK</v>
      </c>
      <c r="AC407" s="3" t="str">
        <f aca="false">IF(ABS(X407-Z407)&gt;1,"Mismatch","OK")</f>
        <v>OK</v>
      </c>
      <c r="AD407" s="5" t="n">
        <f aca="false">IF(OR(B407="",C407=""),"",C407-B407)</f>
        <v>1</v>
      </c>
      <c r="AE407" s="3" t="str">
        <f aca="false">IF(AD407="","Unknown",IF(AD407&lt;0,"Invalid - Ship Before Order","OK"))</f>
        <v>OK</v>
      </c>
      <c r="AF407" s="5" t="n">
        <f aca="false">IF(B407="","",MONTH(B407))</f>
        <v>9</v>
      </c>
      <c r="AG407" s="5" t="n">
        <f aca="false">IF(B407="","",YEAR(B407))</f>
        <v>2024</v>
      </c>
      <c r="AH407" s="3" t="s">
        <v>52</v>
      </c>
      <c r="AI407" s="3" t="s">
        <v>53</v>
      </c>
      <c r="AJ407" s="3" t="str">
        <f aca="false">IF(AND(AI407="Completed",AH407="Failed"),"Inconsistent - Completed Order with Failed Payment","OK")</f>
        <v>OK</v>
      </c>
      <c r="AK407" s="3" t="s">
        <v>54</v>
      </c>
      <c r="AL407" s="3" t="str">
        <f aca="false">IF(OR(T407="Negative - Invalid",T407="Above Allowed Range - Invalid",AE407="Invalid - Ship Before Order",AK407&lt;&gt;"Unique",AB407="Mismatch",AC407="Mismatch",AJ407&lt;&gt;"OK"),"Invalid",IF(OR(H407="Yes",O407="Yes",T407="Missing"),"Warning","Clean"))</f>
        <v>Warning</v>
      </c>
    </row>
    <row r="408" customFormat="false" ht="15" hidden="false" customHeight="true" outlineLevel="0" collapsed="false">
      <c r="A408" s="3" t="s">
        <v>1362</v>
      </c>
      <c r="B408" s="4" t="n">
        <v>45713</v>
      </c>
      <c r="C408" s="4" t="n">
        <v>45713</v>
      </c>
      <c r="D408" s="3" t="s">
        <v>1363</v>
      </c>
      <c r="E408" s="3" t="s">
        <v>298</v>
      </c>
      <c r="F408" s="3" t="s">
        <v>58</v>
      </c>
      <c r="G408" s="3" t="s">
        <v>88</v>
      </c>
      <c r="H408" s="3" t="s">
        <v>43</v>
      </c>
      <c r="I408" s="3" t="s">
        <v>221</v>
      </c>
      <c r="J408" s="3" t="s">
        <v>222</v>
      </c>
      <c r="K408" s="3" t="s">
        <v>62</v>
      </c>
      <c r="L408" s="3" t="s">
        <v>81</v>
      </c>
      <c r="M408" s="3" t="s">
        <v>1364</v>
      </c>
      <c r="N408" s="3" t="s">
        <v>83</v>
      </c>
      <c r="O408" s="3" t="s">
        <v>43</v>
      </c>
      <c r="P408" s="5" t="n">
        <v>2</v>
      </c>
      <c r="Q408" s="6" t="n">
        <v>3924.2</v>
      </c>
      <c r="R408" s="3" t="s">
        <v>84</v>
      </c>
      <c r="S408" s="7" t="n">
        <v>0.25</v>
      </c>
      <c r="T408" s="3" t="s">
        <v>51</v>
      </c>
      <c r="U408" s="7" t="n">
        <f aca="false">IF(T408="Valid",S408,0)</f>
        <v>0.25</v>
      </c>
      <c r="V408" s="6" t="n">
        <v>5886.3</v>
      </c>
      <c r="W408" s="6" t="n">
        <v>3621.76</v>
      </c>
      <c r="X408" s="6" t="n">
        <v>2264.54</v>
      </c>
      <c r="Y408" s="6" t="n">
        <f aca="false">P408*Q408*(1-U408)</f>
        <v>5886.3</v>
      </c>
      <c r="Z408" s="6" t="n">
        <f aca="false">Y408-W408</f>
        <v>2264.54</v>
      </c>
      <c r="AA408" s="8" t="n">
        <f aca="false">IF(Y408=0,0,Z408/Y408)</f>
        <v>0.384713657136062</v>
      </c>
      <c r="AB408" s="3" t="str">
        <f aca="false">IF(ABS(V408-Y408)&gt;1,"Mismatch","OK")</f>
        <v>OK</v>
      </c>
      <c r="AC408" s="3" t="str">
        <f aca="false">IF(ABS(X408-Z408)&gt;1,"Mismatch","OK")</f>
        <v>OK</v>
      </c>
      <c r="AD408" s="5" t="n">
        <f aca="false">IF(OR(B408="",C408=""),"",C408-B408)</f>
        <v>0</v>
      </c>
      <c r="AE408" s="3" t="str">
        <f aca="false">IF(AD408="","Unknown",IF(AD408&lt;0,"Invalid - Ship Before Order","OK"))</f>
        <v>OK</v>
      </c>
      <c r="AF408" s="5" t="n">
        <f aca="false">IF(B408="","",MONTH(B408))</f>
        <v>2</v>
      </c>
      <c r="AG408" s="5" t="n">
        <f aca="false">IF(B408="","",YEAR(B408))</f>
        <v>2025</v>
      </c>
      <c r="AH408" s="3" t="s">
        <v>138</v>
      </c>
      <c r="AI408" s="3" t="s">
        <v>130</v>
      </c>
      <c r="AJ408" s="3" t="str">
        <f aca="false">IF(AND(AI408="Completed",AH408="Failed"),"Inconsistent - Completed Order with Failed Payment","OK")</f>
        <v>OK</v>
      </c>
      <c r="AK408" s="3" t="s">
        <v>54</v>
      </c>
      <c r="AL408" s="3" t="str">
        <f aca="false">IF(OR(T408="Negative - Invalid",T408="Above Allowed Range - Invalid",AE408="Invalid - Ship Before Order",AK408&lt;&gt;"Unique",AB408="Mismatch",AC408="Mismatch",AJ408&lt;&gt;"OK"),"Invalid",IF(OR(H408="Yes",O408="Yes",T408="Missing"),"Warning","Clean"))</f>
        <v>Clean</v>
      </c>
    </row>
    <row r="409" customFormat="false" ht="15" hidden="false" customHeight="true" outlineLevel="0" collapsed="false">
      <c r="A409" s="3" t="s">
        <v>1365</v>
      </c>
      <c r="B409" s="4" t="n">
        <v>45424</v>
      </c>
      <c r="C409" s="4" t="n">
        <v>45425</v>
      </c>
      <c r="D409" s="3" t="s">
        <v>1366</v>
      </c>
      <c r="E409" s="3" t="s">
        <v>145</v>
      </c>
      <c r="F409" s="3" t="s">
        <v>116</v>
      </c>
      <c r="G409" s="3" t="s">
        <v>88</v>
      </c>
      <c r="H409" s="3" t="s">
        <v>43</v>
      </c>
      <c r="I409" s="3" t="s">
        <v>221</v>
      </c>
      <c r="J409" s="3" t="s">
        <v>222</v>
      </c>
      <c r="K409" s="3" t="s">
        <v>46</v>
      </c>
      <c r="L409" s="3" t="s">
        <v>117</v>
      </c>
      <c r="M409" s="3" t="s">
        <v>1367</v>
      </c>
      <c r="N409" s="3" t="s">
        <v>49</v>
      </c>
      <c r="O409" s="3" t="s">
        <v>43</v>
      </c>
      <c r="P409" s="5" t="n">
        <v>3</v>
      </c>
      <c r="Q409" s="6" t="n">
        <v>2644.55</v>
      </c>
      <c r="R409" s="3" t="s">
        <v>66</v>
      </c>
      <c r="S409" s="7" t="n">
        <v>0</v>
      </c>
      <c r="T409" s="3" t="s">
        <v>51</v>
      </c>
      <c r="U409" s="7" t="n">
        <f aca="false">IF(T409="Valid",S409,0)</f>
        <v>0</v>
      </c>
      <c r="V409" s="6" t="n">
        <v>7933.65</v>
      </c>
      <c r="W409" s="6" t="n">
        <v>5698.42</v>
      </c>
      <c r="X409" s="6" t="n">
        <v>2235.23</v>
      </c>
      <c r="Y409" s="6" t="n">
        <f aca="false">P409*Q409*(1-U409)</f>
        <v>7933.65</v>
      </c>
      <c r="Z409" s="6" t="n">
        <f aca="false">Y409-W409</f>
        <v>2235.23</v>
      </c>
      <c r="AA409" s="8" t="n">
        <f aca="false">IF(Y409=0,0,Z409/Y409)</f>
        <v>0.281740434730547</v>
      </c>
      <c r="AB409" s="3" t="str">
        <f aca="false">IF(ABS(V409-Y409)&gt;1,"Mismatch","OK")</f>
        <v>OK</v>
      </c>
      <c r="AC409" s="3" t="str">
        <f aca="false">IF(ABS(X409-Z409)&gt;1,"Mismatch","OK")</f>
        <v>OK</v>
      </c>
      <c r="AD409" s="5" t="n">
        <f aca="false">IF(OR(B409="",C409=""),"",C409-B409)</f>
        <v>1</v>
      </c>
      <c r="AE409" s="3" t="str">
        <f aca="false">IF(AD409="","Unknown",IF(AD409&lt;0,"Invalid - Ship Before Order","OK"))</f>
        <v>OK</v>
      </c>
      <c r="AF409" s="5" t="n">
        <f aca="false">IF(B409="","",MONTH(B409))</f>
        <v>5</v>
      </c>
      <c r="AG409" s="5" t="n">
        <f aca="false">IF(B409="","",YEAR(B409))</f>
        <v>2024</v>
      </c>
      <c r="AH409" s="3" t="s">
        <v>52</v>
      </c>
      <c r="AI409" s="3" t="s">
        <v>53</v>
      </c>
      <c r="AJ409" s="3" t="str">
        <f aca="false">IF(AND(AI409="Completed",AH409="Failed"),"Inconsistent - Completed Order with Failed Payment","OK")</f>
        <v>OK</v>
      </c>
      <c r="AK409" s="3" t="s">
        <v>54</v>
      </c>
      <c r="AL409" s="3" t="str">
        <f aca="false">IF(OR(T409="Negative - Invalid",T409="Above Allowed Range - Invalid",AE409="Invalid - Ship Before Order",AK409&lt;&gt;"Unique",AB409="Mismatch",AC409="Mismatch",AJ409&lt;&gt;"OK"),"Invalid",IF(OR(H409="Yes",O409="Yes",T409="Missing"),"Warning","Clean"))</f>
        <v>Clean</v>
      </c>
    </row>
    <row r="410" customFormat="false" ht="15" hidden="false" customHeight="true" outlineLevel="0" collapsed="false">
      <c r="A410" s="3" t="s">
        <v>1368</v>
      </c>
      <c r="B410" s="4" t="n">
        <v>45870</v>
      </c>
      <c r="C410" s="4" t="n">
        <v>45872</v>
      </c>
      <c r="D410" s="3" t="s">
        <v>1369</v>
      </c>
      <c r="E410" s="3" t="s">
        <v>159</v>
      </c>
      <c r="F410" s="3" t="s">
        <v>41</v>
      </c>
      <c r="G410" s="3" t="s">
        <v>88</v>
      </c>
      <c r="H410" s="3" t="s">
        <v>43</v>
      </c>
      <c r="I410" s="3" t="s">
        <v>89</v>
      </c>
      <c r="J410" s="3" t="s">
        <v>90</v>
      </c>
      <c r="K410" s="3" t="s">
        <v>62</v>
      </c>
      <c r="L410" s="3" t="s">
        <v>91</v>
      </c>
      <c r="M410" s="3" t="s">
        <v>1370</v>
      </c>
      <c r="N410" s="3" t="s">
        <v>72</v>
      </c>
      <c r="O410" s="3" t="s">
        <v>43</v>
      </c>
      <c r="P410" s="5" t="n">
        <v>4</v>
      </c>
      <c r="Q410" s="6" t="n">
        <v>1773.46</v>
      </c>
      <c r="R410" s="3" t="s">
        <v>66</v>
      </c>
      <c r="S410" s="7" t="n">
        <v>0</v>
      </c>
      <c r="T410" s="3" t="s">
        <v>51</v>
      </c>
      <c r="U410" s="7" t="n">
        <f aca="false">IF(T410="Valid",S410,0)</f>
        <v>0</v>
      </c>
      <c r="V410" s="6" t="n">
        <v>7093.84</v>
      </c>
      <c r="W410" s="6" t="n">
        <v>4587.49</v>
      </c>
      <c r="X410" s="6" t="n">
        <v>2506.35</v>
      </c>
      <c r="Y410" s="6" t="n">
        <f aca="false">P410*Q410*(1-U410)</f>
        <v>7093.84</v>
      </c>
      <c r="Z410" s="6" t="n">
        <f aca="false">Y410-W410</f>
        <v>2506.35</v>
      </c>
      <c r="AA410" s="8" t="n">
        <f aca="false">IF(Y410=0,0,Z410/Y410)</f>
        <v>0.353313579105252</v>
      </c>
      <c r="AB410" s="3" t="str">
        <f aca="false">IF(ABS(V410-Y410)&gt;1,"Mismatch","OK")</f>
        <v>OK</v>
      </c>
      <c r="AC410" s="3" t="str">
        <f aca="false">IF(ABS(X410-Z410)&gt;1,"Mismatch","OK")</f>
        <v>OK</v>
      </c>
      <c r="AD410" s="5" t="n">
        <f aca="false">IF(OR(B410="",C410=""),"",C410-B410)</f>
        <v>2</v>
      </c>
      <c r="AE410" s="3" t="str">
        <f aca="false">IF(AD410="","Unknown",IF(AD410&lt;0,"Invalid - Ship Before Order","OK"))</f>
        <v>OK</v>
      </c>
      <c r="AF410" s="5" t="n">
        <f aca="false">IF(B410="","",MONTH(B410))</f>
        <v>8</v>
      </c>
      <c r="AG410" s="5" t="n">
        <f aca="false">IF(B410="","",YEAR(B410))</f>
        <v>2025</v>
      </c>
      <c r="AH410" s="3" t="s">
        <v>185</v>
      </c>
      <c r="AI410" s="3" t="s">
        <v>130</v>
      </c>
      <c r="AJ410" s="3" t="str">
        <f aca="false">IF(AND(AI410="Completed",AH410="Failed"),"Inconsistent - Completed Order with Failed Payment","OK")</f>
        <v>OK</v>
      </c>
      <c r="AK410" s="3" t="s">
        <v>54</v>
      </c>
      <c r="AL410" s="3" t="str">
        <f aca="false">IF(OR(T410="Negative - Invalid",T410="Above Allowed Range - Invalid",AE410="Invalid - Ship Before Order",AK410&lt;&gt;"Unique",AB410="Mismatch",AC410="Mismatch",AJ410&lt;&gt;"OK"),"Invalid",IF(OR(H410="Yes",O410="Yes",T410="Missing"),"Warning","Clean"))</f>
        <v>Clean</v>
      </c>
    </row>
    <row r="411" customFormat="false" ht="15" hidden="false" customHeight="true" outlineLevel="0" collapsed="false">
      <c r="A411" s="3" t="s">
        <v>1371</v>
      </c>
      <c r="B411" s="4" t="n">
        <v>45701</v>
      </c>
      <c r="C411" s="4" t="n">
        <v>45703</v>
      </c>
      <c r="D411" s="3" t="s">
        <v>1372</v>
      </c>
      <c r="E411" s="3" t="s">
        <v>40</v>
      </c>
      <c r="F411" s="3" t="s">
        <v>41</v>
      </c>
      <c r="G411" s="3" t="s">
        <v>59</v>
      </c>
      <c r="H411" s="3" t="s">
        <v>43</v>
      </c>
      <c r="I411" s="3" t="s">
        <v>196</v>
      </c>
      <c r="J411" s="3" t="s">
        <v>197</v>
      </c>
      <c r="K411" s="3" t="s">
        <v>99</v>
      </c>
      <c r="L411" s="3" t="s">
        <v>100</v>
      </c>
      <c r="M411" s="3" t="s">
        <v>1373</v>
      </c>
      <c r="N411" s="3" t="s">
        <v>65</v>
      </c>
      <c r="O411" s="3" t="s">
        <v>43</v>
      </c>
      <c r="P411" s="5" t="n">
        <v>1</v>
      </c>
      <c r="Q411" s="6" t="n">
        <v>3025.46</v>
      </c>
      <c r="R411" s="3" t="s">
        <v>84</v>
      </c>
      <c r="S411" s="7" t="n">
        <v>0.25</v>
      </c>
      <c r="T411" s="3" t="s">
        <v>51</v>
      </c>
      <c r="U411" s="7" t="n">
        <f aca="false">IF(T411="Valid",S411,0)</f>
        <v>0.25</v>
      </c>
      <c r="V411" s="6" t="n">
        <v>2269.1</v>
      </c>
      <c r="W411" s="6" t="n">
        <v>1593.59</v>
      </c>
      <c r="X411" s="6" t="n">
        <v>675.51</v>
      </c>
      <c r="Y411" s="6" t="n">
        <f aca="false">P411*Q411*(1-U411)</f>
        <v>2269.095</v>
      </c>
      <c r="Z411" s="6" t="n">
        <f aca="false">Y411-W411</f>
        <v>675.505</v>
      </c>
      <c r="AA411" s="8" t="n">
        <f aca="false">IF(Y411=0,0,Z411/Y411)</f>
        <v>0.297697980913095</v>
      </c>
      <c r="AB411" s="3" t="str">
        <f aca="false">IF(ABS(V411-Y411)&gt;1,"Mismatch","OK")</f>
        <v>OK</v>
      </c>
      <c r="AC411" s="3" t="str">
        <f aca="false">IF(ABS(X411-Z411)&gt;1,"Mismatch","OK")</f>
        <v>OK</v>
      </c>
      <c r="AD411" s="5" t="n">
        <f aca="false">IF(OR(B411="",C411=""),"",C411-B411)</f>
        <v>2</v>
      </c>
      <c r="AE411" s="3" t="str">
        <f aca="false">IF(AD411="","Unknown",IF(AD411&lt;0,"Invalid - Ship Before Order","OK"))</f>
        <v>OK</v>
      </c>
      <c r="AF411" s="5" t="n">
        <f aca="false">IF(B411="","",MONTH(B411))</f>
        <v>2</v>
      </c>
      <c r="AG411" s="5" t="n">
        <f aca="false">IF(B411="","",YEAR(B411))</f>
        <v>2025</v>
      </c>
      <c r="AH411" s="3" t="s">
        <v>129</v>
      </c>
      <c r="AI411" s="3" t="s">
        <v>130</v>
      </c>
      <c r="AJ411" s="3" t="str">
        <f aca="false">IF(AND(AI411="Completed",AH411="Failed"),"Inconsistent - Completed Order with Failed Payment","OK")</f>
        <v>OK</v>
      </c>
      <c r="AK411" s="3" t="s">
        <v>54</v>
      </c>
      <c r="AL411" s="3" t="str">
        <f aca="false">IF(OR(T411="Negative - Invalid",T411="Above Allowed Range - Invalid",AE411="Invalid - Ship Before Order",AK411&lt;&gt;"Unique",AB411="Mismatch",AC411="Mismatch",AJ411&lt;&gt;"OK"),"Invalid",IF(OR(H411="Yes",O411="Yes",T411="Missing"),"Warning","Clean"))</f>
        <v>Clean</v>
      </c>
    </row>
    <row r="412" customFormat="false" ht="15" hidden="false" customHeight="true" outlineLevel="0" collapsed="false">
      <c r="A412" s="3" t="s">
        <v>1374</v>
      </c>
      <c r="B412" s="4" t="n">
        <v>45394</v>
      </c>
      <c r="C412" s="4" t="n">
        <v>45402</v>
      </c>
      <c r="D412" s="3" t="s">
        <v>1375</v>
      </c>
      <c r="E412" s="3" t="s">
        <v>192</v>
      </c>
      <c r="F412" s="3" t="s">
        <v>41</v>
      </c>
      <c r="G412" s="3" t="s">
        <v>88</v>
      </c>
      <c r="H412" s="3" t="s">
        <v>43</v>
      </c>
      <c r="I412" s="3" t="s">
        <v>221</v>
      </c>
      <c r="J412" s="3" t="s">
        <v>222</v>
      </c>
      <c r="K412" s="3" t="s">
        <v>62</v>
      </c>
      <c r="L412" s="3" t="s">
        <v>63</v>
      </c>
      <c r="M412" s="3" t="s">
        <v>1376</v>
      </c>
      <c r="N412" s="3" t="s">
        <v>72</v>
      </c>
      <c r="O412" s="3" t="s">
        <v>43</v>
      </c>
      <c r="P412" s="5" t="n">
        <v>9</v>
      </c>
      <c r="Q412" s="6" t="n">
        <v>1302.61</v>
      </c>
      <c r="R412" s="3" t="s">
        <v>50</v>
      </c>
      <c r="S412" s="7" t="n">
        <v>0.2</v>
      </c>
      <c r="T412" s="3" t="s">
        <v>51</v>
      </c>
      <c r="U412" s="7" t="n">
        <f aca="false">IF(T412="Valid",S412,0)</f>
        <v>0.2</v>
      </c>
      <c r="V412" s="6" t="n">
        <v>9378.79</v>
      </c>
      <c r="W412" s="6" t="n">
        <v>6774.48</v>
      </c>
      <c r="X412" s="6" t="n">
        <v>2604.31</v>
      </c>
      <c r="Y412" s="6" t="n">
        <f aca="false">P412*Q412*(1-U412)</f>
        <v>9378.792</v>
      </c>
      <c r="Z412" s="6" t="n">
        <f aca="false">Y412-W412</f>
        <v>2604.312</v>
      </c>
      <c r="AA412" s="8" t="n">
        <f aca="false">IF(Y412=0,0,Z412/Y412)</f>
        <v>0.277680963603842</v>
      </c>
      <c r="AB412" s="3" t="str">
        <f aca="false">IF(ABS(V412-Y412)&gt;1,"Mismatch","OK")</f>
        <v>OK</v>
      </c>
      <c r="AC412" s="3" t="str">
        <f aca="false">IF(ABS(X412-Z412)&gt;1,"Mismatch","OK")</f>
        <v>OK</v>
      </c>
      <c r="AD412" s="5" t="n">
        <f aca="false">IF(OR(B412="",C412=""),"",C412-B412)</f>
        <v>8</v>
      </c>
      <c r="AE412" s="3" t="str">
        <f aca="false">IF(AD412="","Unknown",IF(AD412&lt;0,"Invalid - Ship Before Order","OK"))</f>
        <v>OK</v>
      </c>
      <c r="AF412" s="5" t="n">
        <f aca="false">IF(B412="","",MONTH(B412))</f>
        <v>4</v>
      </c>
      <c r="AG412" s="5" t="n">
        <f aca="false">IF(B412="","",YEAR(B412))</f>
        <v>2024</v>
      </c>
      <c r="AH412" s="3" t="s">
        <v>52</v>
      </c>
      <c r="AI412" s="3" t="s">
        <v>53</v>
      </c>
      <c r="AJ412" s="3" t="str">
        <f aca="false">IF(AND(AI412="Completed",AH412="Failed"),"Inconsistent - Completed Order with Failed Payment","OK")</f>
        <v>OK</v>
      </c>
      <c r="AK412" s="3" t="s">
        <v>54</v>
      </c>
      <c r="AL412" s="3" t="str">
        <f aca="false">IF(OR(T412="Negative - Invalid",T412="Above Allowed Range - Invalid",AE412="Invalid - Ship Before Order",AK412&lt;&gt;"Unique",AB412="Mismatch",AC412="Mismatch",AJ412&lt;&gt;"OK"),"Invalid",IF(OR(H412="Yes",O412="Yes",T412="Missing"),"Warning","Clean"))</f>
        <v>Clean</v>
      </c>
    </row>
    <row r="413" customFormat="false" ht="15" hidden="false" customHeight="true" outlineLevel="0" collapsed="false">
      <c r="A413" s="3" t="s">
        <v>1377</v>
      </c>
      <c r="B413" s="4" t="n">
        <v>45892</v>
      </c>
      <c r="C413" s="4" t="n">
        <v>45897</v>
      </c>
      <c r="D413" s="3" t="s">
        <v>1378</v>
      </c>
      <c r="E413" s="3" t="s">
        <v>77</v>
      </c>
      <c r="F413" s="3" t="s">
        <v>121</v>
      </c>
      <c r="G413" s="3" t="s">
        <v>88</v>
      </c>
      <c r="H413" s="3" t="s">
        <v>43</v>
      </c>
      <c r="I413" s="3" t="s">
        <v>44</v>
      </c>
      <c r="J413" s="3" t="s">
        <v>136</v>
      </c>
      <c r="K413" s="3" t="s">
        <v>62</v>
      </c>
      <c r="L413" s="3" t="s">
        <v>63</v>
      </c>
      <c r="M413" s="3" t="s">
        <v>1379</v>
      </c>
      <c r="N413" s="3" t="s">
        <v>72</v>
      </c>
      <c r="O413" s="3" t="s">
        <v>43</v>
      </c>
      <c r="P413" s="5" t="n">
        <v>1</v>
      </c>
      <c r="Q413" s="6" t="n">
        <v>4167.81</v>
      </c>
      <c r="R413" s="3" t="s">
        <v>50</v>
      </c>
      <c r="S413" s="7" t="n">
        <v>0.2</v>
      </c>
      <c r="T413" s="3" t="s">
        <v>51</v>
      </c>
      <c r="U413" s="7" t="n">
        <f aca="false">IF(T413="Valid",S413,0)</f>
        <v>0.2</v>
      </c>
      <c r="V413" s="6" t="n">
        <v>3334.25</v>
      </c>
      <c r="W413" s="6" t="n">
        <v>2768.77</v>
      </c>
      <c r="X413" s="6" t="n">
        <v>565.48</v>
      </c>
      <c r="Y413" s="6" t="n">
        <f aca="false">P413*Q413*(1-U413)</f>
        <v>3334.248</v>
      </c>
      <c r="Z413" s="6" t="n">
        <f aca="false">Y413-W413</f>
        <v>565.478000000001</v>
      </c>
      <c r="AA413" s="8" t="n">
        <f aca="false">IF(Y413=0,0,Z413/Y413)</f>
        <v>0.169596862620897</v>
      </c>
      <c r="AB413" s="3" t="str">
        <f aca="false">IF(ABS(V413-Y413)&gt;1,"Mismatch","OK")</f>
        <v>OK</v>
      </c>
      <c r="AC413" s="3" t="str">
        <f aca="false">IF(ABS(X413-Z413)&gt;1,"Mismatch","OK")</f>
        <v>OK</v>
      </c>
      <c r="AD413" s="5" t="n">
        <f aca="false">IF(OR(B413="",C413=""),"",C413-B413)</f>
        <v>5</v>
      </c>
      <c r="AE413" s="3" t="str">
        <f aca="false">IF(AD413="","Unknown",IF(AD413&lt;0,"Invalid - Ship Before Order","OK"))</f>
        <v>OK</v>
      </c>
      <c r="AF413" s="5" t="n">
        <f aca="false">IF(B413="","",MONTH(B413))</f>
        <v>8</v>
      </c>
      <c r="AG413" s="5" t="n">
        <f aca="false">IF(B413="","",YEAR(B413))</f>
        <v>2025</v>
      </c>
      <c r="AH413" s="3" t="s">
        <v>185</v>
      </c>
      <c r="AI413" s="3" t="s">
        <v>130</v>
      </c>
      <c r="AJ413" s="3" t="str">
        <f aca="false">IF(AND(AI413="Completed",AH413="Failed"),"Inconsistent - Completed Order with Failed Payment","OK")</f>
        <v>OK</v>
      </c>
      <c r="AK413" s="3" t="s">
        <v>54</v>
      </c>
      <c r="AL413" s="3" t="str">
        <f aca="false">IF(OR(T413="Negative - Invalid",T413="Above Allowed Range - Invalid",AE413="Invalid - Ship Before Order",AK413&lt;&gt;"Unique",AB413="Mismatch",AC413="Mismatch",AJ413&lt;&gt;"OK"),"Invalid",IF(OR(H413="Yes",O413="Yes",T413="Missing"),"Warning","Clean"))</f>
        <v>Clean</v>
      </c>
    </row>
    <row r="414" customFormat="false" ht="15" hidden="false" customHeight="true" outlineLevel="0" collapsed="false">
      <c r="A414" s="3" t="s">
        <v>1380</v>
      </c>
      <c r="B414" s="4" t="n">
        <v>45313</v>
      </c>
      <c r="C414" s="4" t="n">
        <v>45321</v>
      </c>
      <c r="D414" s="3" t="s">
        <v>1381</v>
      </c>
      <c r="E414" s="3" t="s">
        <v>69</v>
      </c>
      <c r="F414" s="3" t="s">
        <v>116</v>
      </c>
      <c r="G414" s="3" t="s">
        <v>78</v>
      </c>
      <c r="H414" s="3" t="s">
        <v>43</v>
      </c>
      <c r="I414" s="3" t="s">
        <v>206</v>
      </c>
      <c r="J414" s="3" t="s">
        <v>207</v>
      </c>
      <c r="K414" s="3" t="s">
        <v>62</v>
      </c>
      <c r="L414" s="3" t="s">
        <v>91</v>
      </c>
      <c r="M414" s="3" t="s">
        <v>1382</v>
      </c>
      <c r="N414" s="3" t="s">
        <v>65</v>
      </c>
      <c r="O414" s="3" t="s">
        <v>43</v>
      </c>
      <c r="P414" s="5" t="n">
        <v>1</v>
      </c>
      <c r="Q414" s="6" t="n">
        <v>2111.39</v>
      </c>
      <c r="R414" s="3" t="s">
        <v>84</v>
      </c>
      <c r="S414" s="7" t="n">
        <v>0.25</v>
      </c>
      <c r="T414" s="3" t="s">
        <v>51</v>
      </c>
      <c r="U414" s="7" t="n">
        <f aca="false">IF(T414="Valid",S414,0)</f>
        <v>0.25</v>
      </c>
      <c r="V414" s="6" t="n">
        <v>1583.54</v>
      </c>
      <c r="W414" s="6" t="n">
        <v>1014.19</v>
      </c>
      <c r="X414" s="6" t="n">
        <v>569.35</v>
      </c>
      <c r="Y414" s="6" t="n">
        <f aca="false">P414*Q414*(1-U414)</f>
        <v>1583.5425</v>
      </c>
      <c r="Z414" s="6" t="n">
        <f aca="false">Y414-W414</f>
        <v>569.3525</v>
      </c>
      <c r="AA414" s="8" t="n">
        <f aca="false">IF(Y414=0,0,Z414/Y414)</f>
        <v>0.359543555035624</v>
      </c>
      <c r="AB414" s="3" t="str">
        <f aca="false">IF(ABS(V414-Y414)&gt;1,"Mismatch","OK")</f>
        <v>OK</v>
      </c>
      <c r="AC414" s="3" t="str">
        <f aca="false">IF(ABS(X414-Z414)&gt;1,"Mismatch","OK")</f>
        <v>OK</v>
      </c>
      <c r="AD414" s="5" t="n">
        <f aca="false">IF(OR(B414="",C414=""),"",C414-B414)</f>
        <v>8</v>
      </c>
      <c r="AE414" s="3" t="str">
        <f aca="false">IF(AD414="","Unknown",IF(AD414&lt;0,"Invalid - Ship Before Order","OK"))</f>
        <v>OK</v>
      </c>
      <c r="AF414" s="5" t="n">
        <f aca="false">IF(B414="","",MONTH(B414))</f>
        <v>1</v>
      </c>
      <c r="AG414" s="5" t="n">
        <f aca="false">IF(B414="","",YEAR(B414))</f>
        <v>2024</v>
      </c>
      <c r="AH414" s="3" t="s">
        <v>52</v>
      </c>
      <c r="AI414" s="3" t="s">
        <v>53</v>
      </c>
      <c r="AJ414" s="3" t="str">
        <f aca="false">IF(AND(AI414="Completed",AH414="Failed"),"Inconsistent - Completed Order with Failed Payment","OK")</f>
        <v>OK</v>
      </c>
      <c r="AK414" s="3" t="s">
        <v>54</v>
      </c>
      <c r="AL414" s="3" t="str">
        <f aca="false">IF(OR(T414="Negative - Invalid",T414="Above Allowed Range - Invalid",AE414="Invalid - Ship Before Order",AK414&lt;&gt;"Unique",AB414="Mismatch",AC414="Mismatch",AJ414&lt;&gt;"OK"),"Invalid",IF(OR(H414="Yes",O414="Yes",T414="Missing"),"Warning","Clean"))</f>
        <v>Clean</v>
      </c>
    </row>
    <row r="415" customFormat="false" ht="15" hidden="false" customHeight="true" outlineLevel="0" collapsed="false">
      <c r="A415" s="3" t="s">
        <v>1383</v>
      </c>
      <c r="B415" s="4" t="n">
        <v>45882</v>
      </c>
      <c r="C415" s="4" t="n">
        <v>45886</v>
      </c>
      <c r="D415" s="3" t="s">
        <v>1384</v>
      </c>
      <c r="E415" s="3" t="s">
        <v>104</v>
      </c>
      <c r="F415" s="3" t="s">
        <v>121</v>
      </c>
      <c r="G415" s="3" t="s">
        <v>88</v>
      </c>
      <c r="H415" s="3" t="s">
        <v>43</v>
      </c>
      <c r="I415" s="3" t="s">
        <v>97</v>
      </c>
      <c r="J415" s="3" t="s">
        <v>98</v>
      </c>
      <c r="K415" s="3" t="s">
        <v>99</v>
      </c>
      <c r="L415" s="3" t="s">
        <v>100</v>
      </c>
      <c r="M415" s="3" t="s">
        <v>1385</v>
      </c>
      <c r="N415" s="3" t="s">
        <v>49</v>
      </c>
      <c r="O415" s="3" t="s">
        <v>43</v>
      </c>
      <c r="P415" s="5" t="n">
        <v>8</v>
      </c>
      <c r="Q415" s="6" t="n">
        <v>1918.23</v>
      </c>
      <c r="R415" s="3" t="s">
        <v>66</v>
      </c>
      <c r="S415" s="7" t="n">
        <v>0</v>
      </c>
      <c r="T415" s="3" t="s">
        <v>51</v>
      </c>
      <c r="U415" s="7" t="n">
        <f aca="false">IF(T415="Valid",S415,0)</f>
        <v>0</v>
      </c>
      <c r="V415" s="6" t="n">
        <v>15345.84</v>
      </c>
      <c r="W415" s="6" t="n">
        <v>10735.33</v>
      </c>
      <c r="X415" s="6" t="n">
        <v>4610.51</v>
      </c>
      <c r="Y415" s="6" t="n">
        <f aca="false">P415*Q415*(1-U415)</f>
        <v>15345.84</v>
      </c>
      <c r="Z415" s="6" t="n">
        <f aca="false">Y415-W415</f>
        <v>4610.51</v>
      </c>
      <c r="AA415" s="8" t="n">
        <f aca="false">IF(Y415=0,0,Z415/Y415)</f>
        <v>0.300440379933585</v>
      </c>
      <c r="AB415" s="3" t="str">
        <f aca="false">IF(ABS(V415-Y415)&gt;1,"Mismatch","OK")</f>
        <v>OK</v>
      </c>
      <c r="AC415" s="3" t="str">
        <f aca="false">IF(ABS(X415-Z415)&gt;1,"Mismatch","OK")</f>
        <v>OK</v>
      </c>
      <c r="AD415" s="5" t="n">
        <f aca="false">IF(OR(B415="",C415=""),"",C415-B415)</f>
        <v>4</v>
      </c>
      <c r="AE415" s="3" t="str">
        <f aca="false">IF(AD415="","Unknown",IF(AD415&lt;0,"Invalid - Ship Before Order","OK"))</f>
        <v>OK</v>
      </c>
      <c r="AF415" s="5" t="n">
        <f aca="false">IF(B415="","",MONTH(B415))</f>
        <v>8</v>
      </c>
      <c r="AG415" s="5" t="n">
        <f aca="false">IF(B415="","",YEAR(B415))</f>
        <v>2025</v>
      </c>
      <c r="AH415" s="3" t="s">
        <v>138</v>
      </c>
      <c r="AI415" s="3" t="s">
        <v>93</v>
      </c>
      <c r="AJ415" s="3" t="str">
        <f aca="false">IF(AND(AI415="Completed",AH415="Failed"),"Inconsistent - Completed Order with Failed Payment","OK")</f>
        <v>OK</v>
      </c>
      <c r="AK415" s="3" t="s">
        <v>54</v>
      </c>
      <c r="AL415" s="3" t="str">
        <f aca="false">IF(OR(T415="Negative - Invalid",T415="Above Allowed Range - Invalid",AE415="Invalid - Ship Before Order",AK415&lt;&gt;"Unique",AB415="Mismatch",AC415="Mismatch",AJ415&lt;&gt;"OK"),"Invalid",IF(OR(H415="Yes",O415="Yes",T415="Missing"),"Warning","Clean"))</f>
        <v>Clean</v>
      </c>
    </row>
    <row r="416" customFormat="false" ht="15" hidden="false" customHeight="true" outlineLevel="0" collapsed="false">
      <c r="A416" s="3" t="s">
        <v>1386</v>
      </c>
      <c r="B416" s="4" t="n">
        <v>45533</v>
      </c>
      <c r="C416" s="4" t="n">
        <v>45534</v>
      </c>
      <c r="D416" s="3" t="s">
        <v>1387</v>
      </c>
      <c r="E416" s="3" t="s">
        <v>77</v>
      </c>
      <c r="F416" s="3" t="s">
        <v>121</v>
      </c>
      <c r="G416" s="3" t="s">
        <v>59</v>
      </c>
      <c r="H416" s="3" t="s">
        <v>43</v>
      </c>
      <c r="I416" s="3" t="s">
        <v>196</v>
      </c>
      <c r="J416" s="3" t="s">
        <v>197</v>
      </c>
      <c r="K416" s="3" t="s">
        <v>46</v>
      </c>
      <c r="L416" s="3" t="s">
        <v>151</v>
      </c>
      <c r="M416" s="3" t="s">
        <v>1388</v>
      </c>
      <c r="N416" s="3" t="s">
        <v>72</v>
      </c>
      <c r="O416" s="3" t="s">
        <v>43</v>
      </c>
      <c r="P416" s="5" t="n">
        <v>4</v>
      </c>
      <c r="Q416" s="6" t="n">
        <v>2484.08</v>
      </c>
      <c r="R416" s="3" t="s">
        <v>128</v>
      </c>
      <c r="S416" s="7" t="n">
        <v>0.05</v>
      </c>
      <c r="T416" s="3" t="s">
        <v>51</v>
      </c>
      <c r="U416" s="7" t="n">
        <f aca="false">IF(T416="Valid",S416,0)</f>
        <v>0.05</v>
      </c>
      <c r="V416" s="6" t="n">
        <v>9439.5</v>
      </c>
      <c r="W416" s="6" t="n">
        <v>5519.39</v>
      </c>
      <c r="X416" s="6" t="n">
        <v>3920.11</v>
      </c>
      <c r="Y416" s="6" t="n">
        <f aca="false">P416*Q416*(1-U416)</f>
        <v>9439.504</v>
      </c>
      <c r="Z416" s="6" t="n">
        <f aca="false">Y416-W416</f>
        <v>3920.114</v>
      </c>
      <c r="AA416" s="8" t="n">
        <f aca="false">IF(Y416=0,0,Z416/Y416)</f>
        <v>0.4152881337833</v>
      </c>
      <c r="AB416" s="3" t="str">
        <f aca="false">IF(ABS(V416-Y416)&gt;1,"Mismatch","OK")</f>
        <v>OK</v>
      </c>
      <c r="AC416" s="3" t="str">
        <f aca="false">IF(ABS(X416-Z416)&gt;1,"Mismatch","OK")</f>
        <v>OK</v>
      </c>
      <c r="AD416" s="5" t="n">
        <f aca="false">IF(OR(B416="",C416=""),"",C416-B416)</f>
        <v>1</v>
      </c>
      <c r="AE416" s="3" t="str">
        <f aca="false">IF(AD416="","Unknown",IF(AD416&lt;0,"Invalid - Ship Before Order","OK"))</f>
        <v>OK</v>
      </c>
      <c r="AF416" s="5" t="n">
        <f aca="false">IF(B416="","",MONTH(B416))</f>
        <v>8</v>
      </c>
      <c r="AG416" s="5" t="n">
        <f aca="false">IF(B416="","",YEAR(B416))</f>
        <v>2024</v>
      </c>
      <c r="AH416" s="3" t="s">
        <v>52</v>
      </c>
      <c r="AI416" s="3" t="s">
        <v>53</v>
      </c>
      <c r="AJ416" s="3" t="str">
        <f aca="false">IF(AND(AI416="Completed",AH416="Failed"),"Inconsistent - Completed Order with Failed Payment","OK")</f>
        <v>OK</v>
      </c>
      <c r="AK416" s="3" t="s">
        <v>54</v>
      </c>
      <c r="AL416" s="3" t="str">
        <f aca="false">IF(OR(T416="Negative - Invalid",T416="Above Allowed Range - Invalid",AE416="Invalid - Ship Before Order",AK416&lt;&gt;"Unique",AB416="Mismatch",AC416="Mismatch",AJ416&lt;&gt;"OK"),"Invalid",IF(OR(H416="Yes",O416="Yes",T416="Missing"),"Warning","Clean"))</f>
        <v>Clean</v>
      </c>
    </row>
    <row r="417" customFormat="false" ht="15" hidden="false" customHeight="true" outlineLevel="0" collapsed="false">
      <c r="A417" s="3" t="s">
        <v>1389</v>
      </c>
      <c r="B417" s="4" t="n">
        <v>45316</v>
      </c>
      <c r="C417" s="4" t="n">
        <v>45318</v>
      </c>
      <c r="D417" s="3" t="s">
        <v>1390</v>
      </c>
      <c r="E417" s="3" t="s">
        <v>155</v>
      </c>
      <c r="F417" s="3" t="s">
        <v>116</v>
      </c>
      <c r="G417" s="3" t="s">
        <v>78</v>
      </c>
      <c r="H417" s="3" t="s">
        <v>43</v>
      </c>
      <c r="I417" s="3" t="s">
        <v>206</v>
      </c>
      <c r="J417" s="3" t="s">
        <v>207</v>
      </c>
      <c r="K417" s="3" t="s">
        <v>46</v>
      </c>
      <c r="L417" s="3" t="s">
        <v>151</v>
      </c>
      <c r="M417" s="3" t="s">
        <v>1391</v>
      </c>
      <c r="N417" s="3" t="s">
        <v>65</v>
      </c>
      <c r="O417" s="3" t="s">
        <v>43</v>
      </c>
      <c r="P417" s="5" t="n">
        <v>7</v>
      </c>
      <c r="Q417" s="6" t="n">
        <v>1727.26</v>
      </c>
      <c r="R417" s="3" t="s">
        <v>107</v>
      </c>
      <c r="S417" s="7" t="n">
        <v>0.15</v>
      </c>
      <c r="T417" s="3" t="s">
        <v>51</v>
      </c>
      <c r="U417" s="7" t="n">
        <f aca="false">IF(T417="Valid",S417,0)</f>
        <v>0.15</v>
      </c>
      <c r="V417" s="6" t="n">
        <v>10277.2</v>
      </c>
      <c r="W417" s="6" t="n">
        <v>7906.5</v>
      </c>
      <c r="X417" s="6" t="n">
        <v>2370.7</v>
      </c>
      <c r="Y417" s="6" t="n">
        <f aca="false">P417*Q417*(1-U417)</f>
        <v>10277.197</v>
      </c>
      <c r="Z417" s="6" t="n">
        <f aca="false">Y417-W417</f>
        <v>2370.697</v>
      </c>
      <c r="AA417" s="8" t="n">
        <f aca="false">IF(Y417=0,0,Z417/Y417)</f>
        <v>0.230675445843842</v>
      </c>
      <c r="AB417" s="3" t="str">
        <f aca="false">IF(ABS(V417-Y417)&gt;1,"Mismatch","OK")</f>
        <v>OK</v>
      </c>
      <c r="AC417" s="3" t="str">
        <f aca="false">IF(ABS(X417-Z417)&gt;1,"Mismatch","OK")</f>
        <v>OK</v>
      </c>
      <c r="AD417" s="5" t="n">
        <f aca="false">IF(OR(B417="",C417=""),"",C417-B417)</f>
        <v>2</v>
      </c>
      <c r="AE417" s="3" t="str">
        <f aca="false">IF(AD417="","Unknown",IF(AD417&lt;0,"Invalid - Ship Before Order","OK"))</f>
        <v>OK</v>
      </c>
      <c r="AF417" s="5" t="n">
        <f aca="false">IF(B417="","",MONTH(B417))</f>
        <v>1</v>
      </c>
      <c r="AG417" s="5" t="n">
        <f aca="false">IF(B417="","",YEAR(B417))</f>
        <v>2024</v>
      </c>
      <c r="AH417" s="3" t="s">
        <v>52</v>
      </c>
      <c r="AI417" s="3" t="s">
        <v>130</v>
      </c>
      <c r="AJ417" s="3" t="str">
        <f aca="false">IF(AND(AI417="Completed",AH417="Failed"),"Inconsistent - Completed Order with Failed Payment","OK")</f>
        <v>OK</v>
      </c>
      <c r="AK417" s="3" t="s">
        <v>54</v>
      </c>
      <c r="AL417" s="3" t="str">
        <f aca="false">IF(OR(T417="Negative - Invalid",T417="Above Allowed Range - Invalid",AE417="Invalid - Ship Before Order",AK417&lt;&gt;"Unique",AB417="Mismatch",AC417="Mismatch",AJ417&lt;&gt;"OK"),"Invalid",IF(OR(H417="Yes",O417="Yes",T417="Missing"),"Warning","Clean"))</f>
        <v>Clean</v>
      </c>
    </row>
    <row r="418" customFormat="false" ht="15" hidden="false" customHeight="true" outlineLevel="0" collapsed="false">
      <c r="A418" s="3" t="s">
        <v>1392</v>
      </c>
      <c r="B418" s="4" t="n">
        <v>45665</v>
      </c>
      <c r="C418" s="4" t="n">
        <v>45673</v>
      </c>
      <c r="D418" s="3" t="s">
        <v>1393</v>
      </c>
      <c r="E418" s="3" t="s">
        <v>104</v>
      </c>
      <c r="F418" s="3" t="s">
        <v>41</v>
      </c>
      <c r="G418" s="3" t="s">
        <v>78</v>
      </c>
      <c r="H418" s="3" t="s">
        <v>43</v>
      </c>
      <c r="I418" s="3" t="s">
        <v>79</v>
      </c>
      <c r="J418" s="3" t="s">
        <v>80</v>
      </c>
      <c r="K418" s="3" t="s">
        <v>62</v>
      </c>
      <c r="L418" s="3" t="s">
        <v>81</v>
      </c>
      <c r="M418" s="3" t="s">
        <v>1394</v>
      </c>
      <c r="N418" s="3" t="s">
        <v>72</v>
      </c>
      <c r="O418" s="3" t="s">
        <v>43</v>
      </c>
      <c r="P418" s="5" t="n">
        <v>8</v>
      </c>
      <c r="Q418" s="6" t="n">
        <v>638.95</v>
      </c>
      <c r="R418" s="3" t="s">
        <v>84</v>
      </c>
      <c r="S418" s="7" t="n">
        <v>0.25</v>
      </c>
      <c r="T418" s="3" t="s">
        <v>51</v>
      </c>
      <c r="U418" s="7" t="n">
        <f aca="false">IF(T418="Valid",S418,0)</f>
        <v>0.25</v>
      </c>
      <c r="V418" s="6" t="n">
        <v>3833.7</v>
      </c>
      <c r="W418" s="6" t="n">
        <v>2886.35</v>
      </c>
      <c r="X418" s="6" t="n">
        <v>947.35</v>
      </c>
      <c r="Y418" s="6" t="n">
        <f aca="false">P418*Q418*(1-U418)</f>
        <v>3833.7</v>
      </c>
      <c r="Z418" s="6" t="n">
        <f aca="false">Y418-W418</f>
        <v>947.35</v>
      </c>
      <c r="AA418" s="8" t="n">
        <f aca="false">IF(Y418=0,0,Z418/Y418)</f>
        <v>0.247111145890393</v>
      </c>
      <c r="AB418" s="3" t="str">
        <f aca="false">IF(ABS(V418-Y418)&gt;1,"Mismatch","OK")</f>
        <v>OK</v>
      </c>
      <c r="AC418" s="3" t="str">
        <f aca="false">IF(ABS(X418-Z418)&gt;1,"Mismatch","OK")</f>
        <v>OK</v>
      </c>
      <c r="AD418" s="5" t="n">
        <f aca="false">IF(OR(B418="",C418=""),"",C418-B418)</f>
        <v>8</v>
      </c>
      <c r="AE418" s="3" t="str">
        <f aca="false">IF(AD418="","Unknown",IF(AD418&lt;0,"Invalid - Ship Before Order","OK"))</f>
        <v>OK</v>
      </c>
      <c r="AF418" s="5" t="n">
        <f aca="false">IF(B418="","",MONTH(B418))</f>
        <v>1</v>
      </c>
      <c r="AG418" s="5" t="n">
        <f aca="false">IF(B418="","",YEAR(B418))</f>
        <v>2025</v>
      </c>
      <c r="AH418" s="3" t="s">
        <v>52</v>
      </c>
      <c r="AI418" s="3" t="s">
        <v>53</v>
      </c>
      <c r="AJ418" s="3" t="str">
        <f aca="false">IF(AND(AI418="Completed",AH418="Failed"),"Inconsistent - Completed Order with Failed Payment","OK")</f>
        <v>OK</v>
      </c>
      <c r="AK418" s="3" t="s">
        <v>54</v>
      </c>
      <c r="AL418" s="3" t="str">
        <f aca="false">IF(OR(T418="Negative - Invalid",T418="Above Allowed Range - Invalid",AE418="Invalid - Ship Before Order",AK418&lt;&gt;"Unique",AB418="Mismatch",AC418="Mismatch",AJ418&lt;&gt;"OK"),"Invalid",IF(OR(H418="Yes",O418="Yes",T418="Missing"),"Warning","Clean"))</f>
        <v>Clean</v>
      </c>
    </row>
    <row r="419" customFormat="false" ht="15" hidden="false" customHeight="true" outlineLevel="0" collapsed="false">
      <c r="A419" s="3" t="s">
        <v>1395</v>
      </c>
      <c r="B419" s="4" t="n">
        <v>45686</v>
      </c>
      <c r="C419" s="4" t="n">
        <v>45693</v>
      </c>
      <c r="D419" s="3" t="s">
        <v>1396</v>
      </c>
      <c r="E419" s="3" t="s">
        <v>57</v>
      </c>
      <c r="F419" s="3" t="s">
        <v>41</v>
      </c>
      <c r="G419" s="3" t="s">
        <v>88</v>
      </c>
      <c r="H419" s="3" t="s">
        <v>43</v>
      </c>
      <c r="I419" s="3" t="s">
        <v>211</v>
      </c>
      <c r="J419" s="3" t="s">
        <v>212</v>
      </c>
      <c r="K419" s="3" t="s">
        <v>46</v>
      </c>
      <c r="L419" s="3" t="s">
        <v>70</v>
      </c>
      <c r="M419" s="3" t="s">
        <v>1397</v>
      </c>
      <c r="N419" s="3" t="s">
        <v>72</v>
      </c>
      <c r="O419" s="3" t="s">
        <v>43</v>
      </c>
      <c r="P419" s="5" t="n">
        <v>6</v>
      </c>
      <c r="Q419" s="6" t="n">
        <v>3863</v>
      </c>
      <c r="R419" s="3" t="s">
        <v>50</v>
      </c>
      <c r="S419" s="7" t="n">
        <v>0.2</v>
      </c>
      <c r="T419" s="3" t="s">
        <v>51</v>
      </c>
      <c r="U419" s="7" t="n">
        <f aca="false">IF(T419="Valid",S419,0)</f>
        <v>0.2</v>
      </c>
      <c r="V419" s="6" t="n">
        <v>18542.4</v>
      </c>
      <c r="W419" s="6" t="n">
        <v>11193.75</v>
      </c>
      <c r="X419" s="6" t="n">
        <v>7348.65</v>
      </c>
      <c r="Y419" s="6" t="n">
        <f aca="false">P419*Q419*(1-U419)</f>
        <v>18542.4</v>
      </c>
      <c r="Z419" s="6" t="n">
        <f aca="false">Y419-W419</f>
        <v>7348.65</v>
      </c>
      <c r="AA419" s="8" t="n">
        <f aca="false">IF(Y419=0,0,Z419/Y419)</f>
        <v>0.396316010872379</v>
      </c>
      <c r="AB419" s="3" t="str">
        <f aca="false">IF(ABS(V419-Y419)&gt;1,"Mismatch","OK")</f>
        <v>OK</v>
      </c>
      <c r="AC419" s="3" t="str">
        <f aca="false">IF(ABS(X419-Z419)&gt;1,"Mismatch","OK")</f>
        <v>OK</v>
      </c>
      <c r="AD419" s="5" t="n">
        <f aca="false">IF(OR(B419="",C419=""),"",C419-B419)</f>
        <v>7</v>
      </c>
      <c r="AE419" s="3" t="str">
        <f aca="false">IF(AD419="","Unknown",IF(AD419&lt;0,"Invalid - Ship Before Order","OK"))</f>
        <v>OK</v>
      </c>
      <c r="AF419" s="5" t="n">
        <f aca="false">IF(B419="","",MONTH(B419))</f>
        <v>1</v>
      </c>
      <c r="AG419" s="5" t="n">
        <f aca="false">IF(B419="","",YEAR(B419))</f>
        <v>2025</v>
      </c>
      <c r="AH419" s="3" t="s">
        <v>52</v>
      </c>
      <c r="AI419" s="3" t="s">
        <v>53</v>
      </c>
      <c r="AJ419" s="3" t="str">
        <f aca="false">IF(AND(AI419="Completed",AH419="Failed"),"Inconsistent - Completed Order with Failed Payment","OK")</f>
        <v>OK</v>
      </c>
      <c r="AK419" s="3" t="s">
        <v>54</v>
      </c>
      <c r="AL419" s="3" t="str">
        <f aca="false">IF(OR(T419="Negative - Invalid",T419="Above Allowed Range - Invalid",AE419="Invalid - Ship Before Order",AK419&lt;&gt;"Unique",AB419="Mismatch",AC419="Mismatch",AJ419&lt;&gt;"OK"),"Invalid",IF(OR(H419="Yes",O419="Yes",T419="Missing"),"Warning","Clean"))</f>
        <v>Clean</v>
      </c>
    </row>
    <row r="420" customFormat="false" ht="15" hidden="false" customHeight="true" outlineLevel="0" collapsed="false">
      <c r="A420" s="3" t="s">
        <v>1398</v>
      </c>
      <c r="B420" s="4" t="n">
        <v>45605</v>
      </c>
      <c r="C420" s="4" t="n">
        <v>45613</v>
      </c>
      <c r="D420" s="3" t="s">
        <v>1399</v>
      </c>
      <c r="E420" s="3" t="s">
        <v>159</v>
      </c>
      <c r="F420" s="3" t="s">
        <v>116</v>
      </c>
      <c r="G420" s="3" t="s">
        <v>59</v>
      </c>
      <c r="H420" s="3" t="s">
        <v>43</v>
      </c>
      <c r="I420" s="3" t="s">
        <v>60</v>
      </c>
      <c r="J420" s="3" t="s">
        <v>61</v>
      </c>
      <c r="K420" s="3" t="s">
        <v>99</v>
      </c>
      <c r="L420" s="3" t="s">
        <v>105</v>
      </c>
      <c r="M420" s="3" t="s">
        <v>1400</v>
      </c>
      <c r="N420" s="3" t="s">
        <v>83</v>
      </c>
      <c r="O420" s="3" t="s">
        <v>43</v>
      </c>
      <c r="P420" s="5" t="n">
        <v>6</v>
      </c>
      <c r="Q420" s="6" t="n">
        <v>3660.4</v>
      </c>
      <c r="R420" s="3" t="s">
        <v>66</v>
      </c>
      <c r="S420" s="7" t="n">
        <v>0</v>
      </c>
      <c r="T420" s="3" t="s">
        <v>51</v>
      </c>
      <c r="U420" s="7" t="n">
        <f aca="false">IF(T420="Valid",S420,0)</f>
        <v>0</v>
      </c>
      <c r="V420" s="6" t="n">
        <v>21962.4</v>
      </c>
      <c r="W420" s="6" t="n">
        <v>15331.99</v>
      </c>
      <c r="X420" s="6" t="n">
        <v>6630.41</v>
      </c>
      <c r="Y420" s="6" t="n">
        <f aca="false">P420*Q420*(1-U420)</f>
        <v>21962.4</v>
      </c>
      <c r="Z420" s="6" t="n">
        <f aca="false">Y420-W420</f>
        <v>6630.41</v>
      </c>
      <c r="AA420" s="8" t="n">
        <f aca="false">IF(Y420=0,0,Z420/Y420)</f>
        <v>0.301898244272029</v>
      </c>
      <c r="AB420" s="3" t="str">
        <f aca="false">IF(ABS(V420-Y420)&gt;1,"Mismatch","OK")</f>
        <v>OK</v>
      </c>
      <c r="AC420" s="3" t="str">
        <f aca="false">IF(ABS(X420-Z420)&gt;1,"Mismatch","OK")</f>
        <v>OK</v>
      </c>
      <c r="AD420" s="5" t="n">
        <f aca="false">IF(OR(B420="",C420=""),"",C420-B420)</f>
        <v>8</v>
      </c>
      <c r="AE420" s="3" t="str">
        <f aca="false">IF(AD420="","Unknown",IF(AD420&lt;0,"Invalid - Ship Before Order","OK"))</f>
        <v>OK</v>
      </c>
      <c r="AF420" s="5" t="n">
        <f aca="false">IF(B420="","",MONTH(B420))</f>
        <v>11</v>
      </c>
      <c r="AG420" s="5" t="n">
        <f aca="false">IF(B420="","",YEAR(B420))</f>
        <v>2024</v>
      </c>
      <c r="AH420" s="3" t="s">
        <v>185</v>
      </c>
      <c r="AI420" s="3" t="s">
        <v>93</v>
      </c>
      <c r="AJ420" s="3" t="str">
        <f aca="false">IF(AND(AI420="Completed",AH420="Failed"),"Inconsistent - Completed Order with Failed Payment","OK")</f>
        <v>OK</v>
      </c>
      <c r="AK420" s="3" t="s">
        <v>54</v>
      </c>
      <c r="AL420" s="3" t="str">
        <f aca="false">IF(OR(T420="Negative - Invalid",T420="Above Allowed Range - Invalid",AE420="Invalid - Ship Before Order",AK420&lt;&gt;"Unique",AB420="Mismatch",AC420="Mismatch",AJ420&lt;&gt;"OK"),"Invalid",IF(OR(H420="Yes",O420="Yes",T420="Missing"),"Warning","Clean"))</f>
        <v>Clean</v>
      </c>
    </row>
    <row r="421" customFormat="false" ht="15" hidden="false" customHeight="true" outlineLevel="0" collapsed="false">
      <c r="A421" s="3" t="s">
        <v>1401</v>
      </c>
      <c r="B421" s="4" t="n">
        <v>45926</v>
      </c>
      <c r="C421" s="4" t="n">
        <v>45930</v>
      </c>
      <c r="D421" s="3" t="s">
        <v>1402</v>
      </c>
      <c r="E421" s="3" t="s">
        <v>159</v>
      </c>
      <c r="F421" s="3" t="s">
        <v>121</v>
      </c>
      <c r="G421" s="3" t="s">
        <v>42</v>
      </c>
      <c r="H421" s="3" t="s">
        <v>43</v>
      </c>
      <c r="I421" s="3" t="s">
        <v>270</v>
      </c>
      <c r="J421" s="3" t="s">
        <v>271</v>
      </c>
      <c r="K421" s="3" t="s">
        <v>99</v>
      </c>
      <c r="L421" s="3" t="s">
        <v>201</v>
      </c>
      <c r="M421" s="3" t="s">
        <v>1403</v>
      </c>
      <c r="N421" s="3" t="s">
        <v>65</v>
      </c>
      <c r="O421" s="3" t="s">
        <v>43</v>
      </c>
      <c r="P421" s="5" t="n">
        <v>2</v>
      </c>
      <c r="Q421" s="6" t="n">
        <v>688.83</v>
      </c>
      <c r="R421" s="3" t="s">
        <v>128</v>
      </c>
      <c r="S421" s="7" t="n">
        <v>0.05</v>
      </c>
      <c r="T421" s="3" t="s">
        <v>51</v>
      </c>
      <c r="U421" s="7" t="n">
        <f aca="false">IF(T421="Valid",S421,0)</f>
        <v>0.05</v>
      </c>
      <c r="V421" s="6" t="n">
        <v>1308.78</v>
      </c>
      <c r="W421" s="6" t="n">
        <v>843</v>
      </c>
      <c r="X421" s="6" t="n">
        <v>465.78</v>
      </c>
      <c r="Y421" s="6" t="n">
        <f aca="false">P421*Q421*(1-U421)</f>
        <v>1308.777</v>
      </c>
      <c r="Z421" s="6" t="n">
        <f aca="false">Y421-W421</f>
        <v>465.777</v>
      </c>
      <c r="AA421" s="8" t="n">
        <f aca="false">IF(Y421=0,0,Z421/Y421)</f>
        <v>0.35588721378814</v>
      </c>
      <c r="AB421" s="3" t="str">
        <f aca="false">IF(ABS(V421-Y421)&gt;1,"Mismatch","OK")</f>
        <v>OK</v>
      </c>
      <c r="AC421" s="3" t="str">
        <f aca="false">IF(ABS(X421-Z421)&gt;1,"Mismatch","OK")</f>
        <v>OK</v>
      </c>
      <c r="AD421" s="5" t="n">
        <f aca="false">IF(OR(B421="",C421=""),"",C421-B421)</f>
        <v>4</v>
      </c>
      <c r="AE421" s="3" t="str">
        <f aca="false">IF(AD421="","Unknown",IF(AD421&lt;0,"Invalid - Ship Before Order","OK"))</f>
        <v>OK</v>
      </c>
      <c r="AF421" s="5" t="n">
        <f aca="false">IF(B421="","",MONTH(B421))</f>
        <v>9</v>
      </c>
      <c r="AG421" s="5" t="n">
        <f aca="false">IF(B421="","",YEAR(B421))</f>
        <v>2025</v>
      </c>
      <c r="AH421" s="3" t="s">
        <v>52</v>
      </c>
      <c r="AI421" s="3" t="s">
        <v>53</v>
      </c>
      <c r="AJ421" s="3" t="str">
        <f aca="false">IF(AND(AI421="Completed",AH421="Failed"),"Inconsistent - Completed Order with Failed Payment","OK")</f>
        <v>OK</v>
      </c>
      <c r="AK421" s="3" t="s">
        <v>54</v>
      </c>
      <c r="AL421" s="3" t="str">
        <f aca="false">IF(OR(T421="Negative - Invalid",T421="Above Allowed Range - Invalid",AE421="Invalid - Ship Before Order",AK421&lt;&gt;"Unique",AB421="Mismatch",AC421="Mismatch",AJ421&lt;&gt;"OK"),"Invalid",IF(OR(H421="Yes",O421="Yes",T421="Missing"),"Warning","Clean"))</f>
        <v>Clean</v>
      </c>
    </row>
    <row r="422" customFormat="false" ht="15" hidden="false" customHeight="true" outlineLevel="0" collapsed="false">
      <c r="A422" s="3" t="s">
        <v>1404</v>
      </c>
      <c r="B422" s="4" t="n">
        <v>45734</v>
      </c>
      <c r="C422" s="4" t="n">
        <v>45735</v>
      </c>
      <c r="D422" s="3" t="s">
        <v>1405</v>
      </c>
      <c r="E422" s="3" t="s">
        <v>69</v>
      </c>
      <c r="F422" s="3" t="s">
        <v>116</v>
      </c>
      <c r="G422" s="3" t="s">
        <v>78</v>
      </c>
      <c r="H422" s="3" t="s">
        <v>43</v>
      </c>
      <c r="I422" s="3" t="s">
        <v>281</v>
      </c>
      <c r="J422" s="3" t="s">
        <v>282</v>
      </c>
      <c r="K422" s="3" t="s">
        <v>99</v>
      </c>
      <c r="L422" s="3" t="s">
        <v>308</v>
      </c>
      <c r="M422" s="3" t="s">
        <v>1406</v>
      </c>
      <c r="N422" s="3" t="s">
        <v>83</v>
      </c>
      <c r="O422" s="3" t="s">
        <v>43</v>
      </c>
      <c r="P422" s="5" t="n">
        <v>2</v>
      </c>
      <c r="Q422" s="6" t="n">
        <v>1209.99</v>
      </c>
      <c r="R422" s="3" t="s">
        <v>84</v>
      </c>
      <c r="S422" s="7" t="n">
        <v>0.25</v>
      </c>
      <c r="T422" s="3" t="s">
        <v>51</v>
      </c>
      <c r="U422" s="7" t="n">
        <f aca="false">IF(T422="Valid",S422,0)</f>
        <v>0.25</v>
      </c>
      <c r="V422" s="6" t="n">
        <v>1814.99</v>
      </c>
      <c r="W422" s="6" t="n">
        <v>1120.06</v>
      </c>
      <c r="X422" s="6" t="n">
        <v>694.93</v>
      </c>
      <c r="Y422" s="6" t="n">
        <f aca="false">P422*Q422*(1-U422)</f>
        <v>1814.985</v>
      </c>
      <c r="Z422" s="6" t="n">
        <f aca="false">Y422-W422</f>
        <v>694.925</v>
      </c>
      <c r="AA422" s="8" t="n">
        <f aca="false">IF(Y422=0,0,Z422/Y422)</f>
        <v>0.382881952192442</v>
      </c>
      <c r="AB422" s="3" t="str">
        <f aca="false">IF(ABS(V422-Y422)&gt;1,"Mismatch","OK")</f>
        <v>OK</v>
      </c>
      <c r="AC422" s="3" t="str">
        <f aca="false">IF(ABS(X422-Z422)&gt;1,"Mismatch","OK")</f>
        <v>OK</v>
      </c>
      <c r="AD422" s="5" t="n">
        <f aca="false">IF(OR(B422="",C422=""),"",C422-B422)</f>
        <v>1</v>
      </c>
      <c r="AE422" s="3" t="str">
        <f aca="false">IF(AD422="","Unknown",IF(AD422&lt;0,"Invalid - Ship Before Order","OK"))</f>
        <v>OK</v>
      </c>
      <c r="AF422" s="5" t="n">
        <f aca="false">IF(B422="","",MONTH(B422))</f>
        <v>3</v>
      </c>
      <c r="AG422" s="5" t="n">
        <f aca="false">IF(B422="","",YEAR(B422))</f>
        <v>2025</v>
      </c>
      <c r="AH422" s="3" t="s">
        <v>138</v>
      </c>
      <c r="AI422" s="3" t="s">
        <v>93</v>
      </c>
      <c r="AJ422" s="3" t="str">
        <f aca="false">IF(AND(AI422="Completed",AH422="Failed"),"Inconsistent - Completed Order with Failed Payment","OK")</f>
        <v>OK</v>
      </c>
      <c r="AK422" s="3" t="s">
        <v>54</v>
      </c>
      <c r="AL422" s="3" t="str">
        <f aca="false">IF(OR(T422="Negative - Invalid",T422="Above Allowed Range - Invalid",AE422="Invalid - Ship Before Order",AK422&lt;&gt;"Unique",AB422="Mismatch",AC422="Mismatch",AJ422&lt;&gt;"OK"),"Invalid",IF(OR(H422="Yes",O422="Yes",T422="Missing"),"Warning","Clean"))</f>
        <v>Clean</v>
      </c>
    </row>
    <row r="423" customFormat="false" ht="15" hidden="false" customHeight="true" outlineLevel="0" collapsed="false">
      <c r="A423" s="3" t="s">
        <v>1407</v>
      </c>
      <c r="B423" s="4" t="n">
        <v>45822</v>
      </c>
      <c r="C423" s="4" t="n">
        <v>45827</v>
      </c>
      <c r="D423" s="3" t="s">
        <v>1408</v>
      </c>
      <c r="E423" s="3" t="s">
        <v>168</v>
      </c>
      <c r="F423" s="3" t="s">
        <v>58</v>
      </c>
      <c r="G423" s="3" t="s">
        <v>42</v>
      </c>
      <c r="H423" s="3" t="s">
        <v>43</v>
      </c>
      <c r="I423" s="3" t="s">
        <v>384</v>
      </c>
      <c r="J423" s="3" t="s">
        <v>385</v>
      </c>
      <c r="K423" s="3" t="s">
        <v>46</v>
      </c>
      <c r="L423" s="3" t="s">
        <v>183</v>
      </c>
      <c r="M423" s="3" t="s">
        <v>1409</v>
      </c>
      <c r="N423" s="3" t="s">
        <v>65</v>
      </c>
      <c r="O423" s="3" t="s">
        <v>43</v>
      </c>
      <c r="P423" s="5" t="n">
        <v>3</v>
      </c>
      <c r="Q423" s="6" t="n">
        <v>1037.45</v>
      </c>
      <c r="R423" s="3" t="s">
        <v>50</v>
      </c>
      <c r="S423" s="7" t="n">
        <v>0.2</v>
      </c>
      <c r="T423" s="3" t="s">
        <v>51</v>
      </c>
      <c r="U423" s="7" t="n">
        <f aca="false">IF(T423="Valid",S423,0)</f>
        <v>0.2</v>
      </c>
      <c r="V423" s="6" t="n">
        <v>2489.88</v>
      </c>
      <c r="W423" s="6" t="n">
        <v>1707.52</v>
      </c>
      <c r="X423" s="6" t="n">
        <v>782.36</v>
      </c>
      <c r="Y423" s="6" t="n">
        <f aca="false">P423*Q423*(1-U423)</f>
        <v>2489.88</v>
      </c>
      <c r="Z423" s="6" t="n">
        <f aca="false">Y423-W423</f>
        <v>782.360000000001</v>
      </c>
      <c r="AA423" s="8" t="n">
        <f aca="false">IF(Y423=0,0,Z423/Y423)</f>
        <v>0.314215946150015</v>
      </c>
      <c r="AB423" s="3" t="str">
        <f aca="false">IF(ABS(V423-Y423)&gt;1,"Mismatch","OK")</f>
        <v>OK</v>
      </c>
      <c r="AC423" s="3" t="str">
        <f aca="false">IF(ABS(X423-Z423)&gt;1,"Mismatch","OK")</f>
        <v>OK</v>
      </c>
      <c r="AD423" s="5" t="n">
        <f aca="false">IF(OR(B423="",C423=""),"",C423-B423)</f>
        <v>5</v>
      </c>
      <c r="AE423" s="3" t="str">
        <f aca="false">IF(AD423="","Unknown",IF(AD423&lt;0,"Invalid - Ship Before Order","OK"))</f>
        <v>OK</v>
      </c>
      <c r="AF423" s="5" t="n">
        <f aca="false">IF(B423="","",MONTH(B423))</f>
        <v>6</v>
      </c>
      <c r="AG423" s="5" t="n">
        <f aca="false">IF(B423="","",YEAR(B423))</f>
        <v>2025</v>
      </c>
      <c r="AH423" s="3" t="s">
        <v>138</v>
      </c>
      <c r="AI423" s="3" t="s">
        <v>130</v>
      </c>
      <c r="AJ423" s="3" t="str">
        <f aca="false">IF(AND(AI423="Completed",AH423="Failed"),"Inconsistent - Completed Order with Failed Payment","OK")</f>
        <v>OK</v>
      </c>
      <c r="AK423" s="3" t="s">
        <v>54</v>
      </c>
      <c r="AL423" s="3" t="str">
        <f aca="false">IF(OR(T423="Negative - Invalid",T423="Above Allowed Range - Invalid",AE423="Invalid - Ship Before Order",AK423&lt;&gt;"Unique",AB423="Mismatch",AC423="Mismatch",AJ423&lt;&gt;"OK"),"Invalid",IF(OR(H423="Yes",O423="Yes",T423="Missing"),"Warning","Clean"))</f>
        <v>Clean</v>
      </c>
    </row>
    <row r="424" customFormat="false" ht="15" hidden="false" customHeight="true" outlineLevel="0" collapsed="false">
      <c r="A424" s="3" t="s">
        <v>1410</v>
      </c>
      <c r="B424" s="4" t="n">
        <v>45903</v>
      </c>
      <c r="C424" s="4" t="n">
        <v>45906</v>
      </c>
      <c r="D424" s="3" t="s">
        <v>1411</v>
      </c>
      <c r="E424" s="3" t="s">
        <v>298</v>
      </c>
      <c r="F424" s="3" t="s">
        <v>41</v>
      </c>
      <c r="G424" s="3" t="s">
        <v>88</v>
      </c>
      <c r="H424" s="3" t="s">
        <v>43</v>
      </c>
      <c r="I424" s="3" t="s">
        <v>97</v>
      </c>
      <c r="J424" s="3" t="s">
        <v>98</v>
      </c>
      <c r="K424" s="3" t="s">
        <v>99</v>
      </c>
      <c r="L424" s="3" t="s">
        <v>105</v>
      </c>
      <c r="M424" s="3" t="s">
        <v>1412</v>
      </c>
      <c r="N424" s="3" t="s">
        <v>65</v>
      </c>
      <c r="O424" s="3" t="s">
        <v>43</v>
      </c>
      <c r="P424" s="5" t="n">
        <v>7</v>
      </c>
      <c r="Q424" s="6" t="n">
        <v>688.85</v>
      </c>
      <c r="R424" s="3" t="s">
        <v>107</v>
      </c>
      <c r="S424" s="7" t="n">
        <v>0.15</v>
      </c>
      <c r="T424" s="3" t="s">
        <v>51</v>
      </c>
      <c r="U424" s="7" t="n">
        <f aca="false">IF(T424="Valid",S424,0)</f>
        <v>0.15</v>
      </c>
      <c r="V424" s="6" t="n">
        <v>4098.66</v>
      </c>
      <c r="W424" s="6" t="n">
        <v>2678.06</v>
      </c>
      <c r="X424" s="6" t="n">
        <v>1420.6</v>
      </c>
      <c r="Y424" s="6" t="n">
        <f aca="false">P424*Q424*(1-U424)</f>
        <v>4098.6575</v>
      </c>
      <c r="Z424" s="6" t="n">
        <f aca="false">Y424-W424</f>
        <v>1420.5975</v>
      </c>
      <c r="AA424" s="8" t="n">
        <f aca="false">IF(Y424=0,0,Z424/Y424)</f>
        <v>0.346600685712334</v>
      </c>
      <c r="AB424" s="3" t="str">
        <f aca="false">IF(ABS(V424-Y424)&gt;1,"Mismatch","OK")</f>
        <v>OK</v>
      </c>
      <c r="AC424" s="3" t="str">
        <f aca="false">IF(ABS(X424-Z424)&gt;1,"Mismatch","OK")</f>
        <v>OK</v>
      </c>
      <c r="AD424" s="5" t="n">
        <f aca="false">IF(OR(B424="",C424=""),"",C424-B424)</f>
        <v>3</v>
      </c>
      <c r="AE424" s="3" t="str">
        <f aca="false">IF(AD424="","Unknown",IF(AD424&lt;0,"Invalid - Ship Before Order","OK"))</f>
        <v>OK</v>
      </c>
      <c r="AF424" s="5" t="n">
        <f aca="false">IF(B424="","",MONTH(B424))</f>
        <v>9</v>
      </c>
      <c r="AG424" s="5" t="n">
        <f aca="false">IF(B424="","",YEAR(B424))</f>
        <v>2025</v>
      </c>
      <c r="AH424" s="3" t="s">
        <v>52</v>
      </c>
      <c r="AI424" s="3" t="s">
        <v>53</v>
      </c>
      <c r="AJ424" s="3" t="str">
        <f aca="false">IF(AND(AI424="Completed",AH424="Failed"),"Inconsistent - Completed Order with Failed Payment","OK")</f>
        <v>OK</v>
      </c>
      <c r="AK424" s="3" t="s">
        <v>54</v>
      </c>
      <c r="AL424" s="3" t="str">
        <f aca="false">IF(OR(T424="Negative - Invalid",T424="Above Allowed Range - Invalid",AE424="Invalid - Ship Before Order",AK424&lt;&gt;"Unique",AB424="Mismatch",AC424="Mismatch",AJ424&lt;&gt;"OK"),"Invalid",IF(OR(H424="Yes",O424="Yes",T424="Missing"),"Warning","Clean"))</f>
        <v>Clean</v>
      </c>
    </row>
    <row r="425" customFormat="false" ht="15" hidden="false" customHeight="true" outlineLevel="0" collapsed="false">
      <c r="A425" s="3" t="s">
        <v>1413</v>
      </c>
      <c r="B425" s="4" t="n">
        <v>45342</v>
      </c>
      <c r="C425" s="4" t="n">
        <v>45349</v>
      </c>
      <c r="D425" s="3" t="s">
        <v>1414</v>
      </c>
      <c r="E425" s="3" t="s">
        <v>192</v>
      </c>
      <c r="F425" s="3" t="s">
        <v>41</v>
      </c>
      <c r="G425" s="3" t="s">
        <v>78</v>
      </c>
      <c r="H425" s="3" t="s">
        <v>43</v>
      </c>
      <c r="I425" s="3" t="s">
        <v>216</v>
      </c>
      <c r="J425" s="3" t="s">
        <v>217</v>
      </c>
      <c r="K425" s="3" t="s">
        <v>99</v>
      </c>
      <c r="L425" s="3" t="s">
        <v>100</v>
      </c>
      <c r="M425" s="3" t="s">
        <v>1415</v>
      </c>
      <c r="N425" s="3" t="s">
        <v>72</v>
      </c>
      <c r="O425" s="3" t="s">
        <v>43</v>
      </c>
      <c r="P425" s="5" t="n">
        <v>9</v>
      </c>
      <c r="Q425" s="6" t="n">
        <v>3779.31</v>
      </c>
      <c r="R425" s="3" t="s">
        <v>50</v>
      </c>
      <c r="S425" s="7" t="n">
        <v>0.2</v>
      </c>
      <c r="T425" s="3" t="s">
        <v>51</v>
      </c>
      <c r="U425" s="7" t="n">
        <f aca="false">IF(T425="Valid",S425,0)</f>
        <v>0.2</v>
      </c>
      <c r="V425" s="6" t="n">
        <v>27211.03</v>
      </c>
      <c r="W425" s="6" t="n">
        <v>17940.43</v>
      </c>
      <c r="X425" s="6" t="n">
        <v>9270.6</v>
      </c>
      <c r="Y425" s="6" t="n">
        <f aca="false">P425*Q425*(1-U425)</f>
        <v>27211.032</v>
      </c>
      <c r="Z425" s="6" t="n">
        <f aca="false">Y425-W425</f>
        <v>9270.602</v>
      </c>
      <c r="AA425" s="8" t="n">
        <f aca="false">IF(Y425=0,0,Z425/Y425)</f>
        <v>0.340692774901003</v>
      </c>
      <c r="AB425" s="3" t="str">
        <f aca="false">IF(ABS(V425-Y425)&gt;1,"Mismatch","OK")</f>
        <v>OK</v>
      </c>
      <c r="AC425" s="3" t="str">
        <f aca="false">IF(ABS(X425-Z425)&gt;1,"Mismatch","OK")</f>
        <v>OK</v>
      </c>
      <c r="AD425" s="5" t="n">
        <f aca="false">IF(OR(B425="",C425=""),"",C425-B425)</f>
        <v>7</v>
      </c>
      <c r="AE425" s="3" t="str">
        <f aca="false">IF(AD425="","Unknown",IF(AD425&lt;0,"Invalid - Ship Before Order","OK"))</f>
        <v>OK</v>
      </c>
      <c r="AF425" s="5" t="n">
        <f aca="false">IF(B425="","",MONTH(B425))</f>
        <v>2</v>
      </c>
      <c r="AG425" s="5" t="n">
        <f aca="false">IF(B425="","",YEAR(B425))</f>
        <v>2024</v>
      </c>
      <c r="AH425" s="3" t="s">
        <v>52</v>
      </c>
      <c r="AI425" s="3" t="s">
        <v>53</v>
      </c>
      <c r="AJ425" s="3" t="str">
        <f aca="false">IF(AND(AI425="Completed",AH425="Failed"),"Inconsistent - Completed Order with Failed Payment","OK")</f>
        <v>OK</v>
      </c>
      <c r="AK425" s="3" t="s">
        <v>417</v>
      </c>
      <c r="AL425" s="3" t="str">
        <f aca="false">IF(OR(T425="Negative - Invalid",T425="Above Allowed Range - Invalid",AE425="Invalid - Ship Before Order",AK425&lt;&gt;"Unique",AB425="Mismatch",AC425="Mismatch",AJ425&lt;&gt;"OK"),"Invalid",IF(OR(H425="Yes",O425="Yes",T425="Missing"),"Warning","Clean"))</f>
        <v>Invalid</v>
      </c>
    </row>
    <row r="426" customFormat="false" ht="15" hidden="false" customHeight="true" outlineLevel="0" collapsed="false">
      <c r="A426" s="3" t="s">
        <v>1416</v>
      </c>
      <c r="B426" s="4" t="n">
        <v>45469</v>
      </c>
      <c r="C426" s="4" t="n">
        <v>45472</v>
      </c>
      <c r="D426" s="3" t="s">
        <v>1417</v>
      </c>
      <c r="E426" s="3" t="s">
        <v>104</v>
      </c>
      <c r="F426" s="3" t="s">
        <v>116</v>
      </c>
      <c r="G426" s="3" t="s">
        <v>42</v>
      </c>
      <c r="H426" s="3" t="s">
        <v>43</v>
      </c>
      <c r="I426" s="3" t="s">
        <v>149</v>
      </c>
      <c r="J426" s="3" t="s">
        <v>150</v>
      </c>
      <c r="K426" s="3" t="s">
        <v>99</v>
      </c>
      <c r="L426" s="3" t="s">
        <v>201</v>
      </c>
      <c r="M426" s="3" t="s">
        <v>1418</v>
      </c>
      <c r="N426" s="3" t="s">
        <v>83</v>
      </c>
      <c r="O426" s="3" t="s">
        <v>43</v>
      </c>
      <c r="P426" s="5" t="n">
        <v>8</v>
      </c>
      <c r="Q426" s="6" t="n">
        <v>804.52</v>
      </c>
      <c r="R426" s="3" t="s">
        <v>66</v>
      </c>
      <c r="S426" s="7" t="n">
        <v>0</v>
      </c>
      <c r="T426" s="3" t="s">
        <v>51</v>
      </c>
      <c r="U426" s="7" t="n">
        <f aca="false">IF(T426="Valid",S426,0)</f>
        <v>0</v>
      </c>
      <c r="V426" s="6" t="n">
        <v>6436.16</v>
      </c>
      <c r="W426" s="6" t="n">
        <v>4263.83</v>
      </c>
      <c r="X426" s="6" t="n">
        <v>2172.33</v>
      </c>
      <c r="Y426" s="6" t="n">
        <f aca="false">P426*Q426*(1-U426)</f>
        <v>6436.16</v>
      </c>
      <c r="Z426" s="6" t="n">
        <f aca="false">Y426-W426</f>
        <v>2172.33</v>
      </c>
      <c r="AA426" s="8" t="n">
        <f aca="false">IF(Y426=0,0,Z426/Y426)</f>
        <v>0.337519576890568</v>
      </c>
      <c r="AB426" s="3" t="str">
        <f aca="false">IF(ABS(V426-Y426)&gt;1,"Mismatch","OK")</f>
        <v>OK</v>
      </c>
      <c r="AC426" s="3" t="str">
        <f aca="false">IF(ABS(X426-Z426)&gt;1,"Mismatch","OK")</f>
        <v>OK</v>
      </c>
      <c r="AD426" s="5" t="n">
        <f aca="false">IF(OR(B426="",C426=""),"",C426-B426)</f>
        <v>3</v>
      </c>
      <c r="AE426" s="3" t="str">
        <f aca="false">IF(AD426="","Unknown",IF(AD426&lt;0,"Invalid - Ship Before Order","OK"))</f>
        <v>OK</v>
      </c>
      <c r="AF426" s="5" t="n">
        <f aca="false">IF(B426="","",MONTH(B426))</f>
        <v>6</v>
      </c>
      <c r="AG426" s="5" t="n">
        <f aca="false">IF(B426="","",YEAR(B426))</f>
        <v>2024</v>
      </c>
      <c r="AH426" s="3" t="s">
        <v>52</v>
      </c>
      <c r="AI426" s="3" t="s">
        <v>53</v>
      </c>
      <c r="AJ426" s="3" t="str">
        <f aca="false">IF(AND(AI426="Completed",AH426="Failed"),"Inconsistent - Completed Order with Failed Payment","OK")</f>
        <v>OK</v>
      </c>
      <c r="AK426" s="3" t="s">
        <v>54</v>
      </c>
      <c r="AL426" s="3" t="str">
        <f aca="false">IF(OR(T426="Negative - Invalid",T426="Above Allowed Range - Invalid",AE426="Invalid - Ship Before Order",AK426&lt;&gt;"Unique",AB426="Mismatch",AC426="Mismatch",AJ426&lt;&gt;"OK"),"Invalid",IF(OR(H426="Yes",O426="Yes",T426="Missing"),"Warning","Clean"))</f>
        <v>Clean</v>
      </c>
    </row>
    <row r="427" customFormat="false" ht="15" hidden="false" customHeight="true" outlineLevel="0" collapsed="false">
      <c r="A427" s="3" t="s">
        <v>1419</v>
      </c>
      <c r="B427" s="4" t="n">
        <v>45561</v>
      </c>
      <c r="C427" s="4" t="n">
        <v>45562</v>
      </c>
      <c r="D427" s="3" t="s">
        <v>1420</v>
      </c>
      <c r="E427" s="3" t="s">
        <v>69</v>
      </c>
      <c r="F427" s="3" t="s">
        <v>121</v>
      </c>
      <c r="G427" s="3" t="s">
        <v>42</v>
      </c>
      <c r="H427" s="3" t="s">
        <v>43</v>
      </c>
      <c r="I427" s="3" t="s">
        <v>384</v>
      </c>
      <c r="J427" s="3" t="s">
        <v>385</v>
      </c>
      <c r="K427" s="3" t="s">
        <v>46</v>
      </c>
      <c r="L427" s="3" t="s">
        <v>117</v>
      </c>
      <c r="M427" s="3" t="s">
        <v>1421</v>
      </c>
      <c r="N427" s="3" t="s">
        <v>72</v>
      </c>
      <c r="O427" s="3" t="s">
        <v>43</v>
      </c>
      <c r="P427" s="5" t="n">
        <v>2</v>
      </c>
      <c r="Q427" s="6" t="n">
        <v>1065.69</v>
      </c>
      <c r="R427" s="3" t="s">
        <v>203</v>
      </c>
      <c r="S427" s="7" t="n">
        <v>0.1</v>
      </c>
      <c r="T427" s="3" t="s">
        <v>51</v>
      </c>
      <c r="U427" s="7" t="n">
        <f aca="false">IF(T427="Valid",S427,0)</f>
        <v>0.1</v>
      </c>
      <c r="V427" s="6" t="n">
        <v>1918.24</v>
      </c>
      <c r="W427" s="6" t="n">
        <v>1373.52</v>
      </c>
      <c r="X427" s="6" t="n">
        <v>544.72</v>
      </c>
      <c r="Y427" s="6" t="n">
        <f aca="false">P427*Q427*(1-U427)</f>
        <v>1918.242</v>
      </c>
      <c r="Z427" s="6" t="n">
        <f aca="false">Y427-W427</f>
        <v>544.722</v>
      </c>
      <c r="AA427" s="8" t="n">
        <f aca="false">IF(Y427=0,0,Z427/Y427)</f>
        <v>0.283969384467653</v>
      </c>
      <c r="AB427" s="3" t="str">
        <f aca="false">IF(ABS(V427-Y427)&gt;1,"Mismatch","OK")</f>
        <v>OK</v>
      </c>
      <c r="AC427" s="3" t="str">
        <f aca="false">IF(ABS(X427-Z427)&gt;1,"Mismatch","OK")</f>
        <v>OK</v>
      </c>
      <c r="AD427" s="5" t="n">
        <f aca="false">IF(OR(B427="",C427=""),"",C427-B427)</f>
        <v>1</v>
      </c>
      <c r="AE427" s="3" t="str">
        <f aca="false">IF(AD427="","Unknown",IF(AD427&lt;0,"Invalid - Ship Before Order","OK"))</f>
        <v>OK</v>
      </c>
      <c r="AF427" s="5" t="n">
        <f aca="false">IF(B427="","",MONTH(B427))</f>
        <v>9</v>
      </c>
      <c r="AG427" s="5" t="n">
        <f aca="false">IF(B427="","",YEAR(B427))</f>
        <v>2024</v>
      </c>
      <c r="AH427" s="3" t="s">
        <v>129</v>
      </c>
      <c r="AI427" s="3" t="s">
        <v>93</v>
      </c>
      <c r="AJ427" s="3" t="str">
        <f aca="false">IF(AND(AI427="Completed",AH427="Failed"),"Inconsistent - Completed Order with Failed Payment","OK")</f>
        <v>OK</v>
      </c>
      <c r="AK427" s="3" t="s">
        <v>54</v>
      </c>
      <c r="AL427" s="3" t="str">
        <f aca="false">IF(OR(T427="Negative - Invalid",T427="Above Allowed Range - Invalid",AE427="Invalid - Ship Before Order",AK427&lt;&gt;"Unique",AB427="Mismatch",AC427="Mismatch",AJ427&lt;&gt;"OK"),"Invalid",IF(OR(H427="Yes",O427="Yes",T427="Missing"),"Warning","Clean"))</f>
        <v>Clean</v>
      </c>
    </row>
    <row r="428" customFormat="false" ht="15" hidden="false" customHeight="true" outlineLevel="0" collapsed="false">
      <c r="A428" s="3" t="s">
        <v>1422</v>
      </c>
      <c r="B428" s="4" t="n">
        <v>45473</v>
      </c>
      <c r="C428" s="4" t="n">
        <v>45474</v>
      </c>
      <c r="D428" s="3" t="s">
        <v>1423</v>
      </c>
      <c r="E428" s="3" t="s">
        <v>115</v>
      </c>
      <c r="F428" s="3" t="s">
        <v>41</v>
      </c>
      <c r="G428" s="3" t="s">
        <v>42</v>
      </c>
      <c r="H428" s="3" t="s">
        <v>43</v>
      </c>
      <c r="I428" s="3" t="s">
        <v>270</v>
      </c>
      <c r="J428" s="3" t="s">
        <v>271</v>
      </c>
      <c r="K428" s="3" t="s">
        <v>99</v>
      </c>
      <c r="L428" s="3" t="s">
        <v>105</v>
      </c>
      <c r="M428" s="3" t="s">
        <v>1424</v>
      </c>
      <c r="N428" s="3" t="s">
        <v>65</v>
      </c>
      <c r="O428" s="3" t="s">
        <v>43</v>
      </c>
      <c r="P428" s="5" t="n">
        <v>8</v>
      </c>
      <c r="Q428" s="6" t="n">
        <v>3756.66</v>
      </c>
      <c r="R428" s="3" t="s">
        <v>203</v>
      </c>
      <c r="S428" s="7" t="n">
        <v>0.1</v>
      </c>
      <c r="T428" s="3" t="s">
        <v>51</v>
      </c>
      <c r="U428" s="7" t="n">
        <f aca="false">IF(T428="Valid",S428,0)</f>
        <v>0.1</v>
      </c>
      <c r="V428" s="6" t="n">
        <v>27047.95</v>
      </c>
      <c r="W428" s="6" t="n">
        <v>18431.33</v>
      </c>
      <c r="X428" s="6" t="n">
        <v>8616.62</v>
      </c>
      <c r="Y428" s="6" t="n">
        <f aca="false">P428*Q428*(1-U428)</f>
        <v>27047.952</v>
      </c>
      <c r="Z428" s="6" t="n">
        <f aca="false">Y428-W428</f>
        <v>8616.622</v>
      </c>
      <c r="AA428" s="8" t="n">
        <f aca="false">IF(Y428=0,0,Z428/Y428)</f>
        <v>0.318568370721746</v>
      </c>
      <c r="AB428" s="3" t="str">
        <f aca="false">IF(ABS(V428-Y428)&gt;1,"Mismatch","OK")</f>
        <v>OK</v>
      </c>
      <c r="AC428" s="3" t="str">
        <f aca="false">IF(ABS(X428-Z428)&gt;1,"Mismatch","OK")</f>
        <v>OK</v>
      </c>
      <c r="AD428" s="5" t="n">
        <f aca="false">IF(OR(B428="",C428=""),"",C428-B428)</f>
        <v>1</v>
      </c>
      <c r="AE428" s="3" t="str">
        <f aca="false">IF(AD428="","Unknown",IF(AD428&lt;0,"Invalid - Ship Before Order","OK"))</f>
        <v>OK</v>
      </c>
      <c r="AF428" s="5" t="n">
        <f aca="false">IF(B428="","",MONTH(B428))</f>
        <v>6</v>
      </c>
      <c r="AG428" s="5" t="n">
        <f aca="false">IF(B428="","",YEAR(B428))</f>
        <v>2024</v>
      </c>
      <c r="AH428" s="3" t="s">
        <v>52</v>
      </c>
      <c r="AI428" s="3" t="s">
        <v>53</v>
      </c>
      <c r="AJ428" s="3" t="str">
        <f aca="false">IF(AND(AI428="Completed",AH428="Failed"),"Inconsistent - Completed Order with Failed Payment","OK")</f>
        <v>OK</v>
      </c>
      <c r="AK428" s="3" t="s">
        <v>54</v>
      </c>
      <c r="AL428" s="3" t="str">
        <f aca="false">IF(OR(T428="Negative - Invalid",T428="Above Allowed Range - Invalid",AE428="Invalid - Ship Before Order",AK428&lt;&gt;"Unique",AB428="Mismatch",AC428="Mismatch",AJ428&lt;&gt;"OK"),"Invalid",IF(OR(H428="Yes",O428="Yes",T428="Missing"),"Warning","Clean"))</f>
        <v>Clean</v>
      </c>
    </row>
    <row r="429" customFormat="false" ht="15" hidden="false" customHeight="true" outlineLevel="0" collapsed="false">
      <c r="A429" s="3" t="s">
        <v>1425</v>
      </c>
      <c r="B429" s="4" t="n">
        <v>45769</v>
      </c>
      <c r="C429" s="4" t="n">
        <v>45771</v>
      </c>
      <c r="D429" s="3" t="s">
        <v>1426</v>
      </c>
      <c r="E429" s="3" t="s">
        <v>69</v>
      </c>
      <c r="F429" s="3" t="s">
        <v>116</v>
      </c>
      <c r="G429" s="3" t="s">
        <v>237</v>
      </c>
      <c r="H429" s="3" t="s">
        <v>238</v>
      </c>
      <c r="I429" s="3" t="s">
        <v>262</v>
      </c>
      <c r="J429" s="3" t="s">
        <v>263</v>
      </c>
      <c r="K429" s="3" t="s">
        <v>99</v>
      </c>
      <c r="L429" s="3" t="s">
        <v>100</v>
      </c>
      <c r="M429" s="3" t="s">
        <v>1427</v>
      </c>
      <c r="N429" s="3" t="s">
        <v>83</v>
      </c>
      <c r="O429" s="3" t="s">
        <v>43</v>
      </c>
      <c r="P429" s="5" t="n">
        <v>9</v>
      </c>
      <c r="Q429" s="6" t="n">
        <v>2939.44</v>
      </c>
      <c r="R429" s="3" t="s">
        <v>66</v>
      </c>
      <c r="S429" s="7" t="n">
        <v>0</v>
      </c>
      <c r="T429" s="3" t="s">
        <v>51</v>
      </c>
      <c r="U429" s="7" t="n">
        <f aca="false">IF(T429="Valid",S429,0)</f>
        <v>0</v>
      </c>
      <c r="V429" s="6" t="n">
        <v>26454.96</v>
      </c>
      <c r="W429" s="6" t="n">
        <v>17630.25</v>
      </c>
      <c r="X429" s="6" t="n">
        <v>8824.71</v>
      </c>
      <c r="Y429" s="6" t="n">
        <f aca="false">P429*Q429*(1-U429)</f>
        <v>26454.96</v>
      </c>
      <c r="Z429" s="6" t="n">
        <f aca="false">Y429-W429</f>
        <v>8824.71</v>
      </c>
      <c r="AA429" s="8" t="n">
        <f aca="false">IF(Y429=0,0,Z429/Y429)</f>
        <v>0.333574875940088</v>
      </c>
      <c r="AB429" s="3" t="str">
        <f aca="false">IF(ABS(V429-Y429)&gt;1,"Mismatch","OK")</f>
        <v>OK</v>
      </c>
      <c r="AC429" s="3" t="str">
        <f aca="false">IF(ABS(X429-Z429)&gt;1,"Mismatch","OK")</f>
        <v>OK</v>
      </c>
      <c r="AD429" s="5" t="n">
        <f aca="false">IF(OR(B429="",C429=""),"",C429-B429)</f>
        <v>2</v>
      </c>
      <c r="AE429" s="3" t="str">
        <f aca="false">IF(AD429="","Unknown",IF(AD429&lt;0,"Invalid - Ship Before Order","OK"))</f>
        <v>OK</v>
      </c>
      <c r="AF429" s="5" t="n">
        <f aca="false">IF(B429="","",MONTH(B429))</f>
        <v>4</v>
      </c>
      <c r="AG429" s="5" t="n">
        <f aca="false">IF(B429="","",YEAR(B429))</f>
        <v>2025</v>
      </c>
      <c r="AH429" s="3" t="s">
        <v>52</v>
      </c>
      <c r="AI429" s="3" t="s">
        <v>53</v>
      </c>
      <c r="AJ429" s="3" t="str">
        <f aca="false">IF(AND(AI429="Completed",AH429="Failed"),"Inconsistent - Completed Order with Failed Payment","OK")</f>
        <v>OK</v>
      </c>
      <c r="AK429" s="3" t="s">
        <v>54</v>
      </c>
      <c r="AL429" s="3" t="str">
        <f aca="false">IF(OR(T429="Negative - Invalid",T429="Above Allowed Range - Invalid",AE429="Invalid - Ship Before Order",AK429&lt;&gt;"Unique",AB429="Mismatch",AC429="Mismatch",AJ429&lt;&gt;"OK"),"Invalid",IF(OR(H429="Yes",O429="Yes",T429="Missing"),"Warning","Clean"))</f>
        <v>Warning</v>
      </c>
    </row>
    <row r="430" customFormat="false" ht="15" hidden="false" customHeight="true" outlineLevel="0" collapsed="false">
      <c r="A430" s="3" t="s">
        <v>1428</v>
      </c>
      <c r="B430" s="4" t="n">
        <v>45731</v>
      </c>
      <c r="C430" s="4" t="n">
        <v>45738</v>
      </c>
      <c r="D430" s="3" t="s">
        <v>1429</v>
      </c>
      <c r="E430" s="3" t="s">
        <v>40</v>
      </c>
      <c r="F430" s="3" t="s">
        <v>58</v>
      </c>
      <c r="G430" s="3" t="s">
        <v>59</v>
      </c>
      <c r="H430" s="3" t="s">
        <v>43</v>
      </c>
      <c r="I430" s="3" t="s">
        <v>125</v>
      </c>
      <c r="J430" s="3" t="s">
        <v>126</v>
      </c>
      <c r="K430" s="3" t="s">
        <v>99</v>
      </c>
      <c r="L430" s="3" t="s">
        <v>201</v>
      </c>
      <c r="M430" s="3" t="s">
        <v>1430</v>
      </c>
      <c r="N430" s="3" t="s">
        <v>65</v>
      </c>
      <c r="O430" s="3" t="s">
        <v>43</v>
      </c>
      <c r="P430" s="5" t="n">
        <v>2</v>
      </c>
      <c r="Q430" s="6" t="n">
        <v>1235.93</v>
      </c>
      <c r="R430" s="3" t="s">
        <v>84</v>
      </c>
      <c r="S430" s="7" t="n">
        <v>0.25</v>
      </c>
      <c r="T430" s="3" t="s">
        <v>51</v>
      </c>
      <c r="U430" s="7" t="n">
        <f aca="false">IF(T430="Valid",S430,0)</f>
        <v>0.25</v>
      </c>
      <c r="V430" s="6" t="n">
        <v>1853.89</v>
      </c>
      <c r="W430" s="6" t="n">
        <v>1101.23</v>
      </c>
      <c r="X430" s="6" t="n">
        <v>752.66</v>
      </c>
      <c r="Y430" s="6" t="n">
        <f aca="false">P430*Q430*(1-U430)</f>
        <v>1853.895</v>
      </c>
      <c r="Z430" s="6" t="n">
        <f aca="false">Y430-W430</f>
        <v>752.665</v>
      </c>
      <c r="AA430" s="8" t="n">
        <f aca="false">IF(Y430=0,0,Z430/Y430)</f>
        <v>0.405991169942203</v>
      </c>
      <c r="AB430" s="3" t="str">
        <f aca="false">IF(ABS(V430-Y430)&gt;1,"Mismatch","OK")</f>
        <v>OK</v>
      </c>
      <c r="AC430" s="3" t="str">
        <f aca="false">IF(ABS(X430-Z430)&gt;1,"Mismatch","OK")</f>
        <v>OK</v>
      </c>
      <c r="AD430" s="5" t="n">
        <f aca="false">IF(OR(B430="",C430=""),"",C430-B430)</f>
        <v>7</v>
      </c>
      <c r="AE430" s="3" t="str">
        <f aca="false">IF(AD430="","Unknown",IF(AD430&lt;0,"Invalid - Ship Before Order","OK"))</f>
        <v>OK</v>
      </c>
      <c r="AF430" s="5" t="n">
        <f aca="false">IF(B430="","",MONTH(B430))</f>
        <v>3</v>
      </c>
      <c r="AG430" s="5" t="n">
        <f aca="false">IF(B430="","",YEAR(B430))</f>
        <v>2025</v>
      </c>
      <c r="AH430" s="3" t="s">
        <v>138</v>
      </c>
      <c r="AI430" s="3" t="s">
        <v>93</v>
      </c>
      <c r="AJ430" s="3" t="str">
        <f aca="false">IF(AND(AI430="Completed",AH430="Failed"),"Inconsistent - Completed Order with Failed Payment","OK")</f>
        <v>OK</v>
      </c>
      <c r="AK430" s="3" t="s">
        <v>54</v>
      </c>
      <c r="AL430" s="3" t="str">
        <f aca="false">IF(OR(T430="Negative - Invalid",T430="Above Allowed Range - Invalid",AE430="Invalid - Ship Before Order",AK430&lt;&gt;"Unique",AB430="Mismatch",AC430="Mismatch",AJ430&lt;&gt;"OK"),"Invalid",IF(OR(H430="Yes",O430="Yes",T430="Missing"),"Warning","Clean"))</f>
        <v>Clean</v>
      </c>
    </row>
    <row r="431" customFormat="false" ht="15" hidden="false" customHeight="true" outlineLevel="0" collapsed="false">
      <c r="A431" s="3" t="s">
        <v>1431</v>
      </c>
      <c r="B431" s="4" t="n">
        <v>45717</v>
      </c>
      <c r="C431" s="4" t="n">
        <v>45724</v>
      </c>
      <c r="D431" s="3" t="s">
        <v>1432</v>
      </c>
      <c r="E431" s="3" t="s">
        <v>104</v>
      </c>
      <c r="F431" s="3" t="s">
        <v>121</v>
      </c>
      <c r="G431" s="3" t="s">
        <v>42</v>
      </c>
      <c r="H431" s="3" t="s">
        <v>43</v>
      </c>
      <c r="I431" s="3" t="s">
        <v>44</v>
      </c>
      <c r="J431" s="3" t="s">
        <v>45</v>
      </c>
      <c r="K431" s="3" t="s">
        <v>99</v>
      </c>
      <c r="L431" s="3" t="s">
        <v>105</v>
      </c>
      <c r="M431" s="3" t="s">
        <v>1433</v>
      </c>
      <c r="N431" s="3" t="s">
        <v>65</v>
      </c>
      <c r="O431" s="3" t="s">
        <v>43</v>
      </c>
      <c r="P431" s="5" t="n">
        <v>8</v>
      </c>
      <c r="Q431" s="6" t="n">
        <v>2943.1</v>
      </c>
      <c r="R431" s="3" t="s">
        <v>84</v>
      </c>
      <c r="S431" s="7" t="n">
        <v>0.25</v>
      </c>
      <c r="T431" s="3" t="s">
        <v>51</v>
      </c>
      <c r="U431" s="7" t="n">
        <f aca="false">IF(T431="Valid",S431,0)</f>
        <v>0.25</v>
      </c>
      <c r="V431" s="6" t="n">
        <v>17658.6</v>
      </c>
      <c r="W431" s="6" t="n">
        <v>13842.48</v>
      </c>
      <c r="X431" s="6" t="n">
        <v>3816.12</v>
      </c>
      <c r="Y431" s="6" t="n">
        <f aca="false">P431*Q431*(1-U431)</f>
        <v>17658.6</v>
      </c>
      <c r="Z431" s="6" t="n">
        <f aca="false">Y431-W431</f>
        <v>3816.12</v>
      </c>
      <c r="AA431" s="8" t="n">
        <f aca="false">IF(Y431=0,0,Z431/Y431)</f>
        <v>0.216105467024566</v>
      </c>
      <c r="AB431" s="3" t="str">
        <f aca="false">IF(ABS(V431-Y431)&gt;1,"Mismatch","OK")</f>
        <v>OK</v>
      </c>
      <c r="AC431" s="3" t="str">
        <f aca="false">IF(ABS(X431-Z431)&gt;1,"Mismatch","OK")</f>
        <v>OK</v>
      </c>
      <c r="AD431" s="5" t="n">
        <f aca="false">IF(OR(B431="",C431=""),"",C431-B431)</f>
        <v>7</v>
      </c>
      <c r="AE431" s="3" t="str">
        <f aca="false">IF(AD431="","Unknown",IF(AD431&lt;0,"Invalid - Ship Before Order","OK"))</f>
        <v>OK</v>
      </c>
      <c r="AF431" s="5" t="n">
        <f aca="false">IF(B431="","",MONTH(B431))</f>
        <v>3</v>
      </c>
      <c r="AG431" s="5" t="n">
        <f aca="false">IF(B431="","",YEAR(B431))</f>
        <v>2025</v>
      </c>
      <c r="AH431" s="3" t="s">
        <v>52</v>
      </c>
      <c r="AI431" s="3" t="s">
        <v>53</v>
      </c>
      <c r="AJ431" s="3" t="str">
        <f aca="false">IF(AND(AI431="Completed",AH431="Failed"),"Inconsistent - Completed Order with Failed Payment","OK")</f>
        <v>OK</v>
      </c>
      <c r="AK431" s="3" t="s">
        <v>54</v>
      </c>
      <c r="AL431" s="3" t="str">
        <f aca="false">IF(OR(T431="Negative - Invalid",T431="Above Allowed Range - Invalid",AE431="Invalid - Ship Before Order",AK431&lt;&gt;"Unique",AB431="Mismatch",AC431="Mismatch",AJ431&lt;&gt;"OK"),"Invalid",IF(OR(H431="Yes",O431="Yes",T431="Missing"),"Warning","Clean"))</f>
        <v>Clean</v>
      </c>
    </row>
    <row r="432" customFormat="false" ht="15" hidden="false" customHeight="true" outlineLevel="0" collapsed="false">
      <c r="A432" s="3" t="s">
        <v>1434</v>
      </c>
      <c r="B432" s="4" t="n">
        <v>45534</v>
      </c>
      <c r="C432" s="4" t="n">
        <v>45537</v>
      </c>
      <c r="D432" s="3" t="s">
        <v>1435</v>
      </c>
      <c r="E432" s="3" t="s">
        <v>104</v>
      </c>
      <c r="F432" s="3" t="s">
        <v>58</v>
      </c>
      <c r="G432" s="3" t="s">
        <v>42</v>
      </c>
      <c r="H432" s="3" t="s">
        <v>43</v>
      </c>
      <c r="I432" s="3" t="s">
        <v>270</v>
      </c>
      <c r="J432" s="3" t="s">
        <v>271</v>
      </c>
      <c r="K432" s="3" t="s">
        <v>46</v>
      </c>
      <c r="L432" s="3" t="s">
        <v>47</v>
      </c>
      <c r="M432" s="3" t="s">
        <v>1436</v>
      </c>
      <c r="N432" s="3" t="s">
        <v>49</v>
      </c>
      <c r="O432" s="3" t="s">
        <v>43</v>
      </c>
      <c r="P432" s="5" t="n">
        <v>1</v>
      </c>
      <c r="Q432" s="6" t="n">
        <v>4320.84</v>
      </c>
      <c r="R432" s="3" t="s">
        <v>107</v>
      </c>
      <c r="S432" s="7" t="n">
        <v>0.15</v>
      </c>
      <c r="T432" s="3" t="s">
        <v>51</v>
      </c>
      <c r="U432" s="7" t="n">
        <f aca="false">IF(T432="Valid",S432,0)</f>
        <v>0.15</v>
      </c>
      <c r="V432" s="6" t="n">
        <v>3672.71</v>
      </c>
      <c r="W432" s="6" t="n">
        <v>2714.23</v>
      </c>
      <c r="X432" s="6" t="n">
        <v>763.38</v>
      </c>
      <c r="Y432" s="6" t="n">
        <f aca="false">P432*Q432*(1-U432)</f>
        <v>3672.714</v>
      </c>
      <c r="Z432" s="6" t="n">
        <f aca="false">Y432-W432</f>
        <v>958.484</v>
      </c>
      <c r="AA432" s="8" t="n">
        <f aca="false">IF(Y432=0,0,Z432/Y432)</f>
        <v>0.260974309461613</v>
      </c>
      <c r="AB432" s="3" t="str">
        <f aca="false">IF(ABS(V432-Y432)&gt;1,"Mismatch","OK")</f>
        <v>OK</v>
      </c>
      <c r="AC432" s="3" t="str">
        <f aca="false">IF(ABS(X432-Z432)&gt;1,"Mismatch","OK")</f>
        <v>Mismatch</v>
      </c>
      <c r="AD432" s="5" t="n">
        <f aca="false">IF(OR(B432="",C432=""),"",C432-B432)</f>
        <v>3</v>
      </c>
      <c r="AE432" s="3" t="str">
        <f aca="false">IF(AD432="","Unknown",IF(AD432&lt;0,"Invalid - Ship Before Order","OK"))</f>
        <v>OK</v>
      </c>
      <c r="AF432" s="5" t="n">
        <f aca="false">IF(B432="","",MONTH(B432))</f>
        <v>8</v>
      </c>
      <c r="AG432" s="5" t="n">
        <f aca="false">IF(B432="","",YEAR(B432))</f>
        <v>2024</v>
      </c>
      <c r="AH432" s="3" t="s">
        <v>52</v>
      </c>
      <c r="AI432" s="3" t="s">
        <v>53</v>
      </c>
      <c r="AJ432" s="3" t="str">
        <f aca="false">IF(AND(AI432="Completed",AH432="Failed"),"Inconsistent - Completed Order with Failed Payment","OK")</f>
        <v>OK</v>
      </c>
      <c r="AK432" s="3" t="s">
        <v>54</v>
      </c>
      <c r="AL432" s="3" t="str">
        <f aca="false">IF(OR(T432="Negative - Invalid",T432="Above Allowed Range - Invalid",AE432="Invalid - Ship Before Order",AK432&lt;&gt;"Unique",AB432="Mismatch",AC432="Mismatch",AJ432&lt;&gt;"OK"),"Invalid",IF(OR(H432="Yes",O432="Yes",T432="Missing"),"Warning","Clean"))</f>
        <v>Invalid</v>
      </c>
    </row>
    <row r="433" customFormat="false" ht="15" hidden="false" customHeight="true" outlineLevel="0" collapsed="false">
      <c r="A433" s="3" t="s">
        <v>1437</v>
      </c>
      <c r="B433" s="4" t="n">
        <v>45332</v>
      </c>
      <c r="C433" s="4" t="n">
        <v>45335</v>
      </c>
      <c r="D433" s="3" t="s">
        <v>1438</v>
      </c>
      <c r="E433" s="3" t="s">
        <v>40</v>
      </c>
      <c r="F433" s="3" t="s">
        <v>121</v>
      </c>
      <c r="G433" s="3" t="s">
        <v>88</v>
      </c>
      <c r="H433" s="3" t="s">
        <v>43</v>
      </c>
      <c r="I433" s="3" t="s">
        <v>221</v>
      </c>
      <c r="J433" s="3" t="s">
        <v>222</v>
      </c>
      <c r="K433" s="3" t="s">
        <v>99</v>
      </c>
      <c r="L433" s="3" t="s">
        <v>308</v>
      </c>
      <c r="M433" s="3" t="s">
        <v>1439</v>
      </c>
      <c r="N433" s="3" t="s">
        <v>65</v>
      </c>
      <c r="O433" s="3" t="s">
        <v>43</v>
      </c>
      <c r="P433" s="5" t="n">
        <v>2</v>
      </c>
      <c r="Q433" s="6" t="n">
        <v>4118.45</v>
      </c>
      <c r="R433" s="3" t="s">
        <v>84</v>
      </c>
      <c r="S433" s="7" t="n">
        <v>0.25</v>
      </c>
      <c r="T433" s="3" t="s">
        <v>51</v>
      </c>
      <c r="U433" s="7" t="n">
        <f aca="false">IF(T433="Valid",S433,0)</f>
        <v>0.25</v>
      </c>
      <c r="V433" s="6" t="n">
        <v>6177.67</v>
      </c>
      <c r="W433" s="6" t="n">
        <v>4520.75</v>
      </c>
      <c r="X433" s="6" t="n">
        <v>1656.92</v>
      </c>
      <c r="Y433" s="6" t="n">
        <f aca="false">P433*Q433*(1-U433)</f>
        <v>6177.675</v>
      </c>
      <c r="Z433" s="6" t="n">
        <f aca="false">Y433-W433</f>
        <v>1656.925</v>
      </c>
      <c r="AA433" s="8" t="n">
        <f aca="false">IF(Y433=0,0,Z433/Y433)</f>
        <v>0.268211746328513</v>
      </c>
      <c r="AB433" s="3" t="str">
        <f aca="false">IF(ABS(V433-Y433)&gt;1,"Mismatch","OK")</f>
        <v>OK</v>
      </c>
      <c r="AC433" s="3" t="str">
        <f aca="false">IF(ABS(X433-Z433)&gt;1,"Mismatch","OK")</f>
        <v>OK</v>
      </c>
      <c r="AD433" s="5" t="n">
        <f aca="false">IF(OR(B433="",C433=""),"",C433-B433)</f>
        <v>3</v>
      </c>
      <c r="AE433" s="3" t="str">
        <f aca="false">IF(AD433="","Unknown",IF(AD433&lt;0,"Invalid - Ship Before Order","OK"))</f>
        <v>OK</v>
      </c>
      <c r="AF433" s="5" t="n">
        <f aca="false">IF(B433="","",MONTH(B433))</f>
        <v>2</v>
      </c>
      <c r="AG433" s="5" t="n">
        <f aca="false">IF(B433="","",YEAR(B433))</f>
        <v>2024</v>
      </c>
      <c r="AH433" s="3" t="s">
        <v>52</v>
      </c>
      <c r="AI433" s="3" t="s">
        <v>53</v>
      </c>
      <c r="AJ433" s="3" t="str">
        <f aca="false">IF(AND(AI433="Completed",AH433="Failed"),"Inconsistent - Completed Order with Failed Payment","OK")</f>
        <v>OK</v>
      </c>
      <c r="AK433" s="3" t="s">
        <v>54</v>
      </c>
      <c r="AL433" s="3" t="str">
        <f aca="false">IF(OR(T433="Negative - Invalid",T433="Above Allowed Range - Invalid",AE433="Invalid - Ship Before Order",AK433&lt;&gt;"Unique",AB433="Mismatch",AC433="Mismatch",AJ433&lt;&gt;"OK"),"Invalid",IF(OR(H433="Yes",O433="Yes",T433="Missing"),"Warning","Clean"))</f>
        <v>Clean</v>
      </c>
    </row>
    <row r="434" customFormat="false" ht="15" hidden="false" customHeight="true" outlineLevel="0" collapsed="false">
      <c r="A434" s="3" t="s">
        <v>1440</v>
      </c>
      <c r="B434" s="4" t="n">
        <v>45533</v>
      </c>
      <c r="C434" s="4" t="n">
        <v>45537</v>
      </c>
      <c r="D434" s="3" t="s">
        <v>1441</v>
      </c>
      <c r="E434" s="3" t="s">
        <v>141</v>
      </c>
      <c r="F434" s="3" t="s">
        <v>58</v>
      </c>
      <c r="G434" s="3" t="s">
        <v>88</v>
      </c>
      <c r="H434" s="3" t="s">
        <v>43</v>
      </c>
      <c r="I434" s="3" t="s">
        <v>89</v>
      </c>
      <c r="J434" s="3" t="s">
        <v>90</v>
      </c>
      <c r="K434" s="3" t="s">
        <v>62</v>
      </c>
      <c r="L434" s="3" t="s">
        <v>188</v>
      </c>
      <c r="M434" s="3" t="s">
        <v>1442</v>
      </c>
      <c r="N434" s="3" t="s">
        <v>83</v>
      </c>
      <c r="O434" s="3" t="s">
        <v>43</v>
      </c>
      <c r="P434" s="5" t="n">
        <v>6</v>
      </c>
      <c r="Q434" s="6" t="n">
        <v>172.82</v>
      </c>
      <c r="R434" s="3" t="s">
        <v>128</v>
      </c>
      <c r="S434" s="7" t="n">
        <v>0.05</v>
      </c>
      <c r="T434" s="3" t="s">
        <v>51</v>
      </c>
      <c r="U434" s="7" t="n">
        <f aca="false">IF(T434="Valid",S434,0)</f>
        <v>0.05</v>
      </c>
      <c r="V434" s="6" t="n">
        <v>985.07</v>
      </c>
      <c r="W434" s="6" t="n">
        <v>844.48</v>
      </c>
      <c r="X434" s="6" t="n">
        <v>140.59</v>
      </c>
      <c r="Y434" s="6" t="n">
        <f aca="false">P434*Q434*(1-U434)</f>
        <v>985.074</v>
      </c>
      <c r="Z434" s="6" t="n">
        <f aca="false">Y434-W434</f>
        <v>140.594</v>
      </c>
      <c r="AA434" s="8" t="n">
        <f aca="false">IF(Y434=0,0,Z434/Y434)</f>
        <v>0.142724302945769</v>
      </c>
      <c r="AB434" s="3" t="str">
        <f aca="false">IF(ABS(V434-Y434)&gt;1,"Mismatch","OK")</f>
        <v>OK</v>
      </c>
      <c r="AC434" s="3" t="str">
        <f aca="false">IF(ABS(X434-Z434)&gt;1,"Mismatch","OK")</f>
        <v>OK</v>
      </c>
      <c r="AD434" s="5" t="n">
        <f aca="false">IF(OR(B434="",C434=""),"",C434-B434)</f>
        <v>4</v>
      </c>
      <c r="AE434" s="3" t="str">
        <f aca="false">IF(AD434="","Unknown",IF(AD434&lt;0,"Invalid - Ship Before Order","OK"))</f>
        <v>OK</v>
      </c>
      <c r="AF434" s="5" t="n">
        <f aca="false">IF(B434="","",MONTH(B434))</f>
        <v>8</v>
      </c>
      <c r="AG434" s="5" t="n">
        <f aca="false">IF(B434="","",YEAR(B434))</f>
        <v>2024</v>
      </c>
      <c r="AH434" s="3" t="s">
        <v>52</v>
      </c>
      <c r="AI434" s="3" t="s">
        <v>53</v>
      </c>
      <c r="AJ434" s="3" t="str">
        <f aca="false">IF(AND(AI434="Completed",AH434="Failed"),"Inconsistent - Completed Order with Failed Payment","OK")</f>
        <v>OK</v>
      </c>
      <c r="AK434" s="3" t="s">
        <v>54</v>
      </c>
      <c r="AL434" s="3" t="str">
        <f aca="false">IF(OR(T434="Negative - Invalid",T434="Above Allowed Range - Invalid",AE434="Invalid - Ship Before Order",AK434&lt;&gt;"Unique",AB434="Mismatch",AC434="Mismatch",AJ434&lt;&gt;"OK"),"Invalid",IF(OR(H434="Yes",O434="Yes",T434="Missing"),"Warning","Clean"))</f>
        <v>Clean</v>
      </c>
    </row>
    <row r="435" customFormat="false" ht="15" hidden="false" customHeight="true" outlineLevel="0" collapsed="false">
      <c r="A435" s="3" t="s">
        <v>1443</v>
      </c>
      <c r="B435" s="4" t="n">
        <v>45401</v>
      </c>
      <c r="C435" s="4" t="n">
        <v>45402</v>
      </c>
      <c r="D435" s="3" t="s">
        <v>1444</v>
      </c>
      <c r="E435" s="3" t="s">
        <v>141</v>
      </c>
      <c r="F435" s="3" t="s">
        <v>116</v>
      </c>
      <c r="G435" s="3" t="s">
        <v>78</v>
      </c>
      <c r="H435" s="3" t="s">
        <v>43</v>
      </c>
      <c r="I435" s="3" t="s">
        <v>216</v>
      </c>
      <c r="J435" s="3" t="s">
        <v>217</v>
      </c>
      <c r="K435" s="3" t="s">
        <v>46</v>
      </c>
      <c r="L435" s="3" t="s">
        <v>70</v>
      </c>
      <c r="M435" s="3" t="s">
        <v>1445</v>
      </c>
      <c r="N435" s="3" t="s">
        <v>49</v>
      </c>
      <c r="O435" s="3" t="s">
        <v>43</v>
      </c>
      <c r="P435" s="5" t="n">
        <v>4</v>
      </c>
      <c r="Q435" s="6" t="n">
        <v>1540.22</v>
      </c>
      <c r="R435" s="3" t="s">
        <v>66</v>
      </c>
      <c r="S435" s="7" t="n">
        <v>0</v>
      </c>
      <c r="T435" s="3" t="s">
        <v>51</v>
      </c>
      <c r="U435" s="7" t="n">
        <f aca="false">IF(T435="Valid",S435,0)</f>
        <v>0</v>
      </c>
      <c r="V435" s="6" t="n">
        <v>6160.88</v>
      </c>
      <c r="W435" s="6" t="n">
        <v>4938.7</v>
      </c>
      <c r="X435" s="6" t="n">
        <v>1222.18</v>
      </c>
      <c r="Y435" s="6" t="n">
        <f aca="false">P435*Q435*(1-U435)</f>
        <v>6160.88</v>
      </c>
      <c r="Z435" s="6" t="n">
        <f aca="false">Y435-W435</f>
        <v>1222.18</v>
      </c>
      <c r="AA435" s="8" t="n">
        <f aca="false">IF(Y435=0,0,Z435/Y435)</f>
        <v>0.198377504512342</v>
      </c>
      <c r="AB435" s="3" t="str">
        <f aca="false">IF(ABS(V435-Y435)&gt;1,"Mismatch","OK")</f>
        <v>OK</v>
      </c>
      <c r="AC435" s="3" t="str">
        <f aca="false">IF(ABS(X435-Z435)&gt;1,"Mismatch","OK")</f>
        <v>OK</v>
      </c>
      <c r="AD435" s="5" t="n">
        <f aca="false">IF(OR(B435="",C435=""),"",C435-B435)</f>
        <v>1</v>
      </c>
      <c r="AE435" s="3" t="str">
        <f aca="false">IF(AD435="","Unknown",IF(AD435&lt;0,"Invalid - Ship Before Order","OK"))</f>
        <v>OK</v>
      </c>
      <c r="AF435" s="5" t="n">
        <f aca="false">IF(B435="","",MONTH(B435))</f>
        <v>4</v>
      </c>
      <c r="AG435" s="5" t="n">
        <f aca="false">IF(B435="","",YEAR(B435))</f>
        <v>2024</v>
      </c>
      <c r="AH435" s="3" t="s">
        <v>129</v>
      </c>
      <c r="AI435" s="3" t="s">
        <v>130</v>
      </c>
      <c r="AJ435" s="3" t="str">
        <f aca="false">IF(AND(AI435="Completed",AH435="Failed"),"Inconsistent - Completed Order with Failed Payment","OK")</f>
        <v>OK</v>
      </c>
      <c r="AK435" s="3" t="s">
        <v>54</v>
      </c>
      <c r="AL435" s="3" t="str">
        <f aca="false">IF(OR(T435="Negative - Invalid",T435="Above Allowed Range - Invalid",AE435="Invalid - Ship Before Order",AK435&lt;&gt;"Unique",AB435="Mismatch",AC435="Mismatch",AJ435&lt;&gt;"OK"),"Invalid",IF(OR(H435="Yes",O435="Yes",T435="Missing"),"Warning","Clean"))</f>
        <v>Clean</v>
      </c>
    </row>
    <row r="436" customFormat="false" ht="15" hidden="false" customHeight="true" outlineLevel="0" collapsed="false">
      <c r="A436" s="3" t="s">
        <v>1446</v>
      </c>
      <c r="B436" s="4" t="n">
        <v>45758</v>
      </c>
      <c r="C436" s="4" t="n">
        <v>45762</v>
      </c>
      <c r="D436" s="3" t="s">
        <v>1447</v>
      </c>
      <c r="E436" s="3" t="s">
        <v>57</v>
      </c>
      <c r="F436" s="3" t="s">
        <v>121</v>
      </c>
      <c r="G436" s="3" t="s">
        <v>42</v>
      </c>
      <c r="H436" s="3" t="s">
        <v>43</v>
      </c>
      <c r="I436" s="3" t="s">
        <v>163</v>
      </c>
      <c r="J436" s="3" t="s">
        <v>164</v>
      </c>
      <c r="K436" s="3" t="s">
        <v>99</v>
      </c>
      <c r="L436" s="3" t="s">
        <v>100</v>
      </c>
      <c r="M436" s="3" t="s">
        <v>1448</v>
      </c>
      <c r="N436" s="3" t="s">
        <v>49</v>
      </c>
      <c r="O436" s="3" t="s">
        <v>43</v>
      </c>
      <c r="P436" s="5" t="n">
        <v>5</v>
      </c>
      <c r="Q436" s="6" t="n">
        <v>652.78</v>
      </c>
      <c r="R436" s="3" t="s">
        <v>66</v>
      </c>
      <c r="S436" s="7" t="n">
        <v>0</v>
      </c>
      <c r="T436" s="3" t="s">
        <v>51</v>
      </c>
      <c r="U436" s="7" t="n">
        <f aca="false">IF(T436="Valid",S436,0)</f>
        <v>0</v>
      </c>
      <c r="V436" s="6" t="n">
        <v>3263.9</v>
      </c>
      <c r="W436" s="6" t="n">
        <v>2068.44</v>
      </c>
      <c r="X436" s="6" t="n">
        <v>1195.46</v>
      </c>
      <c r="Y436" s="6" t="n">
        <f aca="false">P436*Q436*(1-U436)</f>
        <v>3263.9</v>
      </c>
      <c r="Z436" s="6" t="n">
        <f aca="false">Y436-W436</f>
        <v>1195.46</v>
      </c>
      <c r="AA436" s="8" t="n">
        <f aca="false">IF(Y436=0,0,Z436/Y436)</f>
        <v>0.36626734887711</v>
      </c>
      <c r="AB436" s="3" t="str">
        <f aca="false">IF(ABS(V436-Y436)&gt;1,"Mismatch","OK")</f>
        <v>OK</v>
      </c>
      <c r="AC436" s="3" t="str">
        <f aca="false">IF(ABS(X436-Z436)&gt;1,"Mismatch","OK")</f>
        <v>OK</v>
      </c>
      <c r="AD436" s="5" t="n">
        <f aca="false">IF(OR(B436="",C436=""),"",C436-B436)</f>
        <v>4</v>
      </c>
      <c r="AE436" s="3" t="str">
        <f aca="false">IF(AD436="","Unknown",IF(AD436&lt;0,"Invalid - Ship Before Order","OK"))</f>
        <v>OK</v>
      </c>
      <c r="AF436" s="5" t="n">
        <f aca="false">IF(B436="","",MONTH(B436))</f>
        <v>4</v>
      </c>
      <c r="AG436" s="5" t="n">
        <f aca="false">IF(B436="","",YEAR(B436))</f>
        <v>2025</v>
      </c>
      <c r="AH436" s="3" t="s">
        <v>52</v>
      </c>
      <c r="AI436" s="3" t="s">
        <v>53</v>
      </c>
      <c r="AJ436" s="3" t="str">
        <f aca="false">IF(AND(AI436="Completed",AH436="Failed"),"Inconsistent - Completed Order with Failed Payment","OK")</f>
        <v>OK</v>
      </c>
      <c r="AK436" s="3" t="s">
        <v>54</v>
      </c>
      <c r="AL436" s="3" t="str">
        <f aca="false">IF(OR(T436="Negative - Invalid",T436="Above Allowed Range - Invalid",AE436="Invalid - Ship Before Order",AK436&lt;&gt;"Unique",AB436="Mismatch",AC436="Mismatch",AJ436&lt;&gt;"OK"),"Invalid",IF(OR(H436="Yes",O436="Yes",T436="Missing"),"Warning","Clean"))</f>
        <v>Clean</v>
      </c>
    </row>
    <row r="437" customFormat="false" ht="15" hidden="false" customHeight="true" outlineLevel="0" collapsed="false">
      <c r="A437" s="3" t="s">
        <v>1449</v>
      </c>
      <c r="B437" s="4" t="n">
        <v>45759</v>
      </c>
      <c r="C437" s="4" t="n">
        <v>45767</v>
      </c>
      <c r="D437" s="3" t="s">
        <v>1450</v>
      </c>
      <c r="E437" s="3" t="s">
        <v>298</v>
      </c>
      <c r="F437" s="3" t="s">
        <v>121</v>
      </c>
      <c r="G437" s="3" t="s">
        <v>42</v>
      </c>
      <c r="H437" s="3" t="s">
        <v>43</v>
      </c>
      <c r="I437" s="3" t="s">
        <v>384</v>
      </c>
      <c r="J437" s="3" t="s">
        <v>385</v>
      </c>
      <c r="K437" s="3" t="s">
        <v>99</v>
      </c>
      <c r="L437" s="3" t="s">
        <v>308</v>
      </c>
      <c r="M437" s="3" t="s">
        <v>1451</v>
      </c>
      <c r="N437" s="3" t="s">
        <v>83</v>
      </c>
      <c r="O437" s="3" t="s">
        <v>43</v>
      </c>
      <c r="P437" s="5" t="n">
        <v>1</v>
      </c>
      <c r="Q437" s="6" t="n">
        <v>2737.71</v>
      </c>
      <c r="R437" s="3" t="s">
        <v>107</v>
      </c>
      <c r="S437" s="7" t="n">
        <v>0.15</v>
      </c>
      <c r="T437" s="3" t="s">
        <v>51</v>
      </c>
      <c r="U437" s="7" t="n">
        <f aca="false">IF(T437="Valid",S437,0)</f>
        <v>0.15</v>
      </c>
      <c r="V437" s="6" t="n">
        <v>2327.05</v>
      </c>
      <c r="W437" s="6" t="n">
        <v>1919.42</v>
      </c>
      <c r="X437" s="6" t="n">
        <v>407.63</v>
      </c>
      <c r="Y437" s="6" t="n">
        <f aca="false">P437*Q437*(1-U437)</f>
        <v>2327.0535</v>
      </c>
      <c r="Z437" s="6" t="n">
        <f aca="false">Y437-W437</f>
        <v>407.6335</v>
      </c>
      <c r="AA437" s="8" t="n">
        <f aca="false">IF(Y437=0,0,Z437/Y437)</f>
        <v>0.175171520551633</v>
      </c>
      <c r="AB437" s="3" t="str">
        <f aca="false">IF(ABS(V437-Y437)&gt;1,"Mismatch","OK")</f>
        <v>OK</v>
      </c>
      <c r="AC437" s="3" t="str">
        <f aca="false">IF(ABS(X437-Z437)&gt;1,"Mismatch","OK")</f>
        <v>OK</v>
      </c>
      <c r="AD437" s="5" t="n">
        <f aca="false">IF(OR(B437="",C437=""),"",C437-B437)</f>
        <v>8</v>
      </c>
      <c r="AE437" s="3" t="str">
        <f aca="false">IF(AD437="","Unknown",IF(AD437&lt;0,"Invalid - Ship Before Order","OK"))</f>
        <v>OK</v>
      </c>
      <c r="AF437" s="5" t="n">
        <f aca="false">IF(B437="","",MONTH(B437))</f>
        <v>4</v>
      </c>
      <c r="AG437" s="5" t="n">
        <f aca="false">IF(B437="","",YEAR(B437))</f>
        <v>2025</v>
      </c>
      <c r="AH437" s="3" t="s">
        <v>52</v>
      </c>
      <c r="AI437" s="3" t="s">
        <v>93</v>
      </c>
      <c r="AJ437" s="3" t="str">
        <f aca="false">IF(AND(AI437="Completed",AH437="Failed"),"Inconsistent - Completed Order with Failed Payment","OK")</f>
        <v>OK</v>
      </c>
      <c r="AK437" s="3" t="s">
        <v>54</v>
      </c>
      <c r="AL437" s="3" t="str">
        <f aca="false">IF(OR(T437="Negative - Invalid",T437="Above Allowed Range - Invalid",AE437="Invalid - Ship Before Order",AK437&lt;&gt;"Unique",AB437="Mismatch",AC437="Mismatch",AJ437&lt;&gt;"OK"),"Invalid",IF(OR(H437="Yes",O437="Yes",T437="Missing"),"Warning","Clean"))</f>
        <v>Clean</v>
      </c>
    </row>
    <row r="438" customFormat="false" ht="15" hidden="false" customHeight="true" outlineLevel="0" collapsed="false">
      <c r="A438" s="3" t="s">
        <v>1452</v>
      </c>
      <c r="B438" s="4" t="n">
        <v>45459</v>
      </c>
      <c r="C438" s="4" t="n">
        <v>45464</v>
      </c>
      <c r="D438" s="3" t="s">
        <v>1453</v>
      </c>
      <c r="E438" s="3" t="s">
        <v>104</v>
      </c>
      <c r="F438" s="3" t="s">
        <v>41</v>
      </c>
      <c r="G438" s="3" t="s">
        <v>78</v>
      </c>
      <c r="H438" s="3" t="s">
        <v>43</v>
      </c>
      <c r="I438" s="3" t="s">
        <v>216</v>
      </c>
      <c r="J438" s="3" t="s">
        <v>217</v>
      </c>
      <c r="K438" s="3" t="s">
        <v>62</v>
      </c>
      <c r="L438" s="3" t="s">
        <v>81</v>
      </c>
      <c r="M438" s="3" t="s">
        <v>1454</v>
      </c>
      <c r="N438" s="3" t="s">
        <v>65</v>
      </c>
      <c r="O438" s="3" t="s">
        <v>43</v>
      </c>
      <c r="P438" s="5" t="n">
        <v>6</v>
      </c>
      <c r="Q438" s="6" t="n">
        <v>1156.78</v>
      </c>
      <c r="R438" s="3" t="s">
        <v>128</v>
      </c>
      <c r="S438" s="7" t="n">
        <v>0.05</v>
      </c>
      <c r="T438" s="3" t="s">
        <v>51</v>
      </c>
      <c r="U438" s="7" t="n">
        <f aca="false">IF(T438="Valid",S438,0)</f>
        <v>0.05</v>
      </c>
      <c r="V438" s="6" t="n">
        <v>6593.65</v>
      </c>
      <c r="W438" s="6" t="n">
        <v>4359.39</v>
      </c>
      <c r="X438" s="6" t="n">
        <v>2234.26</v>
      </c>
      <c r="Y438" s="6" t="n">
        <f aca="false">P438*Q438*(1-U438)</f>
        <v>6593.646</v>
      </c>
      <c r="Z438" s="6" t="n">
        <f aca="false">Y438-W438</f>
        <v>2234.256</v>
      </c>
      <c r="AA438" s="8" t="n">
        <f aca="false">IF(Y438=0,0,Z438/Y438)</f>
        <v>0.338849856361715</v>
      </c>
      <c r="AB438" s="3" t="str">
        <f aca="false">IF(ABS(V438-Y438)&gt;1,"Mismatch","OK")</f>
        <v>OK</v>
      </c>
      <c r="AC438" s="3" t="str">
        <f aca="false">IF(ABS(X438-Z438)&gt;1,"Mismatch","OK")</f>
        <v>OK</v>
      </c>
      <c r="AD438" s="5" t="n">
        <f aca="false">IF(OR(B438="",C438=""),"",C438-B438)</f>
        <v>5</v>
      </c>
      <c r="AE438" s="3" t="str">
        <f aca="false">IF(AD438="","Unknown",IF(AD438&lt;0,"Invalid - Ship Before Order","OK"))</f>
        <v>OK</v>
      </c>
      <c r="AF438" s="5" t="n">
        <f aca="false">IF(B438="","",MONTH(B438))</f>
        <v>6</v>
      </c>
      <c r="AG438" s="5" t="n">
        <f aca="false">IF(B438="","",YEAR(B438))</f>
        <v>2024</v>
      </c>
      <c r="AH438" s="3" t="s">
        <v>52</v>
      </c>
      <c r="AI438" s="3" t="s">
        <v>130</v>
      </c>
      <c r="AJ438" s="3" t="str">
        <f aca="false">IF(AND(AI438="Completed",AH438="Failed"),"Inconsistent - Completed Order with Failed Payment","OK")</f>
        <v>OK</v>
      </c>
      <c r="AK438" s="3" t="s">
        <v>54</v>
      </c>
      <c r="AL438" s="3" t="str">
        <f aca="false">IF(OR(T438="Negative - Invalid",T438="Above Allowed Range - Invalid",AE438="Invalid - Ship Before Order",AK438&lt;&gt;"Unique",AB438="Mismatch",AC438="Mismatch",AJ438&lt;&gt;"OK"),"Invalid",IF(OR(H438="Yes",O438="Yes",T438="Missing"),"Warning","Clean"))</f>
        <v>Clean</v>
      </c>
    </row>
    <row r="439" customFormat="false" ht="15" hidden="false" customHeight="true" outlineLevel="0" collapsed="false">
      <c r="A439" s="3" t="s">
        <v>1455</v>
      </c>
      <c r="B439" s="4" t="n">
        <v>45337</v>
      </c>
      <c r="C439" s="4" t="n">
        <v>45340</v>
      </c>
      <c r="D439" s="3" t="s">
        <v>1456</v>
      </c>
      <c r="E439" s="3" t="s">
        <v>115</v>
      </c>
      <c r="F439" s="3" t="s">
        <v>58</v>
      </c>
      <c r="G439" s="3" t="s">
        <v>78</v>
      </c>
      <c r="H439" s="3" t="s">
        <v>43</v>
      </c>
      <c r="I439" s="3" t="s">
        <v>216</v>
      </c>
      <c r="J439" s="3" t="s">
        <v>217</v>
      </c>
      <c r="K439" s="3" t="s">
        <v>99</v>
      </c>
      <c r="L439" s="3" t="s">
        <v>100</v>
      </c>
      <c r="M439" s="3" t="s">
        <v>1457</v>
      </c>
      <c r="N439" s="3" t="s">
        <v>65</v>
      </c>
      <c r="O439" s="3" t="s">
        <v>43</v>
      </c>
      <c r="P439" s="5" t="n">
        <v>8</v>
      </c>
      <c r="Q439" s="6" t="n">
        <v>379.82</v>
      </c>
      <c r="R439" s="3" t="s">
        <v>128</v>
      </c>
      <c r="S439" s="7" t="n">
        <v>0.05</v>
      </c>
      <c r="T439" s="3" t="s">
        <v>51</v>
      </c>
      <c r="U439" s="7" t="n">
        <f aca="false">IF(T439="Valid",S439,0)</f>
        <v>0.05</v>
      </c>
      <c r="V439" s="6" t="n">
        <v>2886.63</v>
      </c>
      <c r="W439" s="6" t="n">
        <v>1588.23</v>
      </c>
      <c r="X439" s="6" t="n">
        <v>1298.4</v>
      </c>
      <c r="Y439" s="6" t="n">
        <f aca="false">P439*Q439*(1-U439)</f>
        <v>2886.632</v>
      </c>
      <c r="Z439" s="6" t="n">
        <f aca="false">Y439-W439</f>
        <v>1298.402</v>
      </c>
      <c r="AA439" s="8" t="n">
        <f aca="false">IF(Y439=0,0,Z439/Y439)</f>
        <v>0.44979824238074</v>
      </c>
      <c r="AB439" s="3" t="str">
        <f aca="false">IF(ABS(V439-Y439)&gt;1,"Mismatch","OK")</f>
        <v>OK</v>
      </c>
      <c r="AC439" s="3" t="str">
        <f aca="false">IF(ABS(X439-Z439)&gt;1,"Mismatch","OK")</f>
        <v>OK</v>
      </c>
      <c r="AD439" s="5" t="n">
        <f aca="false">IF(OR(B439="",C439=""),"",C439-B439)</f>
        <v>3</v>
      </c>
      <c r="AE439" s="3" t="str">
        <f aca="false">IF(AD439="","Unknown",IF(AD439&lt;0,"Invalid - Ship Before Order","OK"))</f>
        <v>OK</v>
      </c>
      <c r="AF439" s="5" t="n">
        <f aca="false">IF(B439="","",MONTH(B439))</f>
        <v>2</v>
      </c>
      <c r="AG439" s="5" t="n">
        <f aca="false">IF(B439="","",YEAR(B439))</f>
        <v>2024</v>
      </c>
      <c r="AH439" s="3" t="s">
        <v>185</v>
      </c>
      <c r="AI439" s="3" t="s">
        <v>130</v>
      </c>
      <c r="AJ439" s="3" t="str">
        <f aca="false">IF(AND(AI439="Completed",AH439="Failed"),"Inconsistent - Completed Order with Failed Payment","OK")</f>
        <v>OK</v>
      </c>
      <c r="AK439" s="3" t="s">
        <v>54</v>
      </c>
      <c r="AL439" s="3" t="str">
        <f aca="false">IF(OR(T439="Negative - Invalid",T439="Above Allowed Range - Invalid",AE439="Invalid - Ship Before Order",AK439&lt;&gt;"Unique",AB439="Mismatch",AC439="Mismatch",AJ439&lt;&gt;"OK"),"Invalid",IF(OR(H439="Yes",O439="Yes",T439="Missing"),"Warning","Clean"))</f>
        <v>Clean</v>
      </c>
    </row>
    <row r="440" customFormat="false" ht="15" hidden="false" customHeight="true" outlineLevel="0" collapsed="false">
      <c r="A440" s="3" t="s">
        <v>1458</v>
      </c>
      <c r="B440" s="4" t="n">
        <v>45784</v>
      </c>
      <c r="C440" s="4" t="n">
        <v>45782</v>
      </c>
      <c r="D440" s="3" t="s">
        <v>1459</v>
      </c>
      <c r="E440" s="3" t="s">
        <v>104</v>
      </c>
      <c r="F440" s="3" t="s">
        <v>116</v>
      </c>
      <c r="G440" s="3" t="s">
        <v>59</v>
      </c>
      <c r="H440" s="3" t="s">
        <v>43</v>
      </c>
      <c r="I440" s="3" t="s">
        <v>262</v>
      </c>
      <c r="J440" s="3" t="s">
        <v>263</v>
      </c>
      <c r="K440" s="3" t="s">
        <v>99</v>
      </c>
      <c r="L440" s="3" t="s">
        <v>201</v>
      </c>
      <c r="M440" s="3" t="s">
        <v>1460</v>
      </c>
      <c r="N440" s="3" t="s">
        <v>83</v>
      </c>
      <c r="O440" s="3" t="s">
        <v>43</v>
      </c>
      <c r="P440" s="5" t="n">
        <v>1</v>
      </c>
      <c r="Q440" s="6" t="n">
        <v>2266.47</v>
      </c>
      <c r="R440" s="3" t="s">
        <v>50</v>
      </c>
      <c r="S440" s="7" t="n">
        <v>0.2</v>
      </c>
      <c r="T440" s="3" t="s">
        <v>51</v>
      </c>
      <c r="U440" s="7" t="n">
        <f aca="false">IF(T440="Valid",S440,0)</f>
        <v>0.2</v>
      </c>
      <c r="V440" s="6" t="n">
        <v>1813.18</v>
      </c>
      <c r="W440" s="6" t="n">
        <v>1363.64</v>
      </c>
      <c r="X440" s="6" t="n">
        <v>449.54</v>
      </c>
      <c r="Y440" s="6" t="n">
        <f aca="false">P440*Q440*(1-U440)</f>
        <v>1813.176</v>
      </c>
      <c r="Z440" s="6" t="n">
        <f aca="false">Y440-W440</f>
        <v>449.536</v>
      </c>
      <c r="AA440" s="8" t="n">
        <f aca="false">IF(Y440=0,0,Z440/Y440)</f>
        <v>0.247927393700336</v>
      </c>
      <c r="AB440" s="3" t="str">
        <f aca="false">IF(ABS(V440-Y440)&gt;1,"Mismatch","OK")</f>
        <v>OK</v>
      </c>
      <c r="AC440" s="3" t="str">
        <f aca="false">IF(ABS(X440-Z440)&gt;1,"Mismatch","OK")</f>
        <v>OK</v>
      </c>
      <c r="AD440" s="5" t="n">
        <f aca="false">IF(OR(B440="",C440=""),"",C440-B440)</f>
        <v>-2</v>
      </c>
      <c r="AE440" s="3" t="str">
        <f aca="false">IF(AD440="","Unknown",IF(AD440&lt;0,"Invalid - Ship Before Order","OK"))</f>
        <v>Invalid - Ship Before Order</v>
      </c>
      <c r="AF440" s="5" t="n">
        <f aca="false">IF(B440="","",MONTH(B440))</f>
        <v>5</v>
      </c>
      <c r="AG440" s="5" t="n">
        <f aca="false">IF(B440="","",YEAR(B440))</f>
        <v>2025</v>
      </c>
      <c r="AH440" s="3" t="s">
        <v>52</v>
      </c>
      <c r="AI440" s="3" t="s">
        <v>53</v>
      </c>
      <c r="AJ440" s="3" t="str">
        <f aca="false">IF(AND(AI440="Completed",AH440="Failed"),"Inconsistent - Completed Order with Failed Payment","OK")</f>
        <v>OK</v>
      </c>
      <c r="AK440" s="3" t="s">
        <v>54</v>
      </c>
      <c r="AL440" s="3" t="str">
        <f aca="false">IF(OR(T440="Negative - Invalid",T440="Above Allowed Range - Invalid",AE440="Invalid - Ship Before Order",AK440&lt;&gt;"Unique",AB440="Mismatch",AC440="Mismatch",AJ440&lt;&gt;"OK"),"Invalid",IF(OR(H440="Yes",O440="Yes",T440="Missing"),"Warning","Clean"))</f>
        <v>Invalid</v>
      </c>
    </row>
    <row r="441" customFormat="false" ht="15" hidden="false" customHeight="true" outlineLevel="0" collapsed="false">
      <c r="A441" s="3" t="s">
        <v>1461</v>
      </c>
      <c r="B441" s="4" t="n">
        <v>45838</v>
      </c>
      <c r="C441" s="4" t="n">
        <v>45841</v>
      </c>
      <c r="D441" s="3" t="s">
        <v>1462</v>
      </c>
      <c r="E441" s="3" t="s">
        <v>155</v>
      </c>
      <c r="F441" s="3" t="s">
        <v>121</v>
      </c>
      <c r="G441" s="3" t="s">
        <v>88</v>
      </c>
      <c r="H441" s="3" t="s">
        <v>43</v>
      </c>
      <c r="I441" s="3" t="s">
        <v>221</v>
      </c>
      <c r="J441" s="3" t="s">
        <v>222</v>
      </c>
      <c r="K441" s="3" t="s">
        <v>46</v>
      </c>
      <c r="L441" s="3" t="s">
        <v>151</v>
      </c>
      <c r="M441" s="3" t="s">
        <v>1463</v>
      </c>
      <c r="N441" s="3" t="s">
        <v>65</v>
      </c>
      <c r="O441" s="3" t="s">
        <v>43</v>
      </c>
      <c r="P441" s="5" t="n">
        <v>5</v>
      </c>
      <c r="Q441" s="6" t="n">
        <v>665.25</v>
      </c>
      <c r="R441" s="3" t="s">
        <v>66</v>
      </c>
      <c r="S441" s="7" t="n">
        <v>0</v>
      </c>
      <c r="T441" s="3" t="s">
        <v>51</v>
      </c>
      <c r="U441" s="7" t="n">
        <f aca="false">IF(T441="Valid",S441,0)</f>
        <v>0</v>
      </c>
      <c r="V441" s="6" t="n">
        <v>3326.25</v>
      </c>
      <c r="W441" s="6" t="n">
        <v>2689.36</v>
      </c>
      <c r="X441" s="6" t="n">
        <v>636.89</v>
      </c>
      <c r="Y441" s="6" t="n">
        <f aca="false">P441*Q441*(1-U441)</f>
        <v>3326.25</v>
      </c>
      <c r="Z441" s="6" t="n">
        <f aca="false">Y441-W441</f>
        <v>636.89</v>
      </c>
      <c r="AA441" s="8" t="n">
        <f aca="false">IF(Y441=0,0,Z441/Y441)</f>
        <v>0.191473881999248</v>
      </c>
      <c r="AB441" s="3" t="str">
        <f aca="false">IF(ABS(V441-Y441)&gt;1,"Mismatch","OK")</f>
        <v>OK</v>
      </c>
      <c r="AC441" s="3" t="str">
        <f aca="false">IF(ABS(X441-Z441)&gt;1,"Mismatch","OK")</f>
        <v>OK</v>
      </c>
      <c r="AD441" s="5" t="n">
        <f aca="false">IF(OR(B441="",C441=""),"",C441-B441)</f>
        <v>3</v>
      </c>
      <c r="AE441" s="3" t="str">
        <f aca="false">IF(AD441="","Unknown",IF(AD441&lt;0,"Invalid - Ship Before Order","OK"))</f>
        <v>OK</v>
      </c>
      <c r="AF441" s="5" t="n">
        <f aca="false">IF(B441="","",MONTH(B441))</f>
        <v>6</v>
      </c>
      <c r="AG441" s="5" t="n">
        <f aca="false">IF(B441="","",YEAR(B441))</f>
        <v>2025</v>
      </c>
      <c r="AH441" s="3" t="s">
        <v>129</v>
      </c>
      <c r="AI441" s="3" t="s">
        <v>130</v>
      </c>
      <c r="AJ441" s="3" t="str">
        <f aca="false">IF(AND(AI441="Completed",AH441="Failed"),"Inconsistent - Completed Order with Failed Payment","OK")</f>
        <v>OK</v>
      </c>
      <c r="AK441" s="3" t="s">
        <v>54</v>
      </c>
      <c r="AL441" s="3" t="str">
        <f aca="false">IF(OR(T441="Negative - Invalid",T441="Above Allowed Range - Invalid",AE441="Invalid - Ship Before Order",AK441&lt;&gt;"Unique",AB441="Mismatch",AC441="Mismatch",AJ441&lt;&gt;"OK"),"Invalid",IF(OR(H441="Yes",O441="Yes",T441="Missing"),"Warning","Clean"))</f>
        <v>Clean</v>
      </c>
    </row>
    <row r="442" customFormat="false" ht="15" hidden="false" customHeight="true" outlineLevel="0" collapsed="false">
      <c r="A442" s="3" t="s">
        <v>1464</v>
      </c>
      <c r="B442" s="4" t="n">
        <v>45384</v>
      </c>
      <c r="C442" s="4" t="n">
        <v>45390</v>
      </c>
      <c r="D442" s="3" t="s">
        <v>304</v>
      </c>
      <c r="E442" s="3" t="s">
        <v>96</v>
      </c>
      <c r="F442" s="3" t="s">
        <v>116</v>
      </c>
      <c r="G442" s="3" t="s">
        <v>59</v>
      </c>
      <c r="H442" s="3" t="s">
        <v>43</v>
      </c>
      <c r="I442" s="3" t="s">
        <v>60</v>
      </c>
      <c r="J442" s="3" t="s">
        <v>61</v>
      </c>
      <c r="K442" s="3" t="s">
        <v>99</v>
      </c>
      <c r="L442" s="3" t="s">
        <v>308</v>
      </c>
      <c r="M442" s="3" t="s">
        <v>1465</v>
      </c>
      <c r="N442" s="3" t="s">
        <v>49</v>
      </c>
      <c r="O442" s="3" t="s">
        <v>43</v>
      </c>
      <c r="P442" s="5" t="n">
        <v>6</v>
      </c>
      <c r="Q442" s="6" t="n">
        <v>3722.84</v>
      </c>
      <c r="R442" s="3" t="s">
        <v>50</v>
      </c>
      <c r="S442" s="7" t="n">
        <v>0.2</v>
      </c>
      <c r="T442" s="3" t="s">
        <v>51</v>
      </c>
      <c r="U442" s="7" t="n">
        <f aca="false">IF(T442="Valid",S442,0)</f>
        <v>0.2</v>
      </c>
      <c r="V442" s="6" t="n">
        <v>17869.63</v>
      </c>
      <c r="W442" s="6" t="n">
        <v>12163.8</v>
      </c>
      <c r="X442" s="6" t="n">
        <v>5705.83</v>
      </c>
      <c r="Y442" s="6" t="n">
        <f aca="false">P442*Q442*(1-U442)</f>
        <v>17869.632</v>
      </c>
      <c r="Z442" s="6" t="n">
        <f aca="false">Y442-W442</f>
        <v>5705.832</v>
      </c>
      <c r="AA442" s="8" t="n">
        <f aca="false">IF(Y442=0,0,Z442/Y442)</f>
        <v>0.319303273844699</v>
      </c>
      <c r="AB442" s="3" t="str">
        <f aca="false">IF(ABS(V442-Y442)&gt;1,"Mismatch","OK")</f>
        <v>OK</v>
      </c>
      <c r="AC442" s="3" t="str">
        <f aca="false">IF(ABS(X442-Z442)&gt;1,"Mismatch","OK")</f>
        <v>OK</v>
      </c>
      <c r="AD442" s="5" t="n">
        <f aca="false">IF(OR(B442="",C442=""),"",C442-B442)</f>
        <v>6</v>
      </c>
      <c r="AE442" s="3" t="str">
        <f aca="false">IF(AD442="","Unknown",IF(AD442&lt;0,"Invalid - Ship Before Order","OK"))</f>
        <v>OK</v>
      </c>
      <c r="AF442" s="5" t="n">
        <f aca="false">IF(B442="","",MONTH(B442))</f>
        <v>4</v>
      </c>
      <c r="AG442" s="5" t="n">
        <f aca="false">IF(B442="","",YEAR(B442))</f>
        <v>2024</v>
      </c>
      <c r="AH442" s="3" t="s">
        <v>52</v>
      </c>
      <c r="AI442" s="3" t="s">
        <v>53</v>
      </c>
      <c r="AJ442" s="3" t="str">
        <f aca="false">IF(AND(AI442="Completed",AH442="Failed"),"Inconsistent - Completed Order with Failed Payment","OK")</f>
        <v>OK</v>
      </c>
      <c r="AK442" s="3" t="s">
        <v>54</v>
      </c>
      <c r="AL442" s="3" t="str">
        <f aca="false">IF(OR(T442="Negative - Invalid",T442="Above Allowed Range - Invalid",AE442="Invalid - Ship Before Order",AK442&lt;&gt;"Unique",AB442="Mismatch",AC442="Mismatch",AJ442&lt;&gt;"OK"),"Invalid",IF(OR(H442="Yes",O442="Yes",T442="Missing"),"Warning","Clean"))</f>
        <v>Clean</v>
      </c>
    </row>
    <row r="443" customFormat="false" ht="15" hidden="false" customHeight="true" outlineLevel="0" collapsed="false">
      <c r="A443" s="3" t="s">
        <v>1466</v>
      </c>
      <c r="B443" s="4" t="n">
        <v>45568</v>
      </c>
      <c r="C443" s="4" t="n">
        <v>45568</v>
      </c>
      <c r="D443" s="3" t="s">
        <v>1467</v>
      </c>
      <c r="E443" s="3" t="s">
        <v>40</v>
      </c>
      <c r="F443" s="3" t="s">
        <v>41</v>
      </c>
      <c r="G443" s="3" t="s">
        <v>59</v>
      </c>
      <c r="H443" s="3" t="s">
        <v>43</v>
      </c>
      <c r="I443" s="3" t="s">
        <v>174</v>
      </c>
      <c r="J443" s="3" t="s">
        <v>175</v>
      </c>
      <c r="K443" s="3" t="s">
        <v>62</v>
      </c>
      <c r="L443" s="3" t="s">
        <v>188</v>
      </c>
      <c r="M443" s="3" t="s">
        <v>1468</v>
      </c>
      <c r="N443" s="3" t="s">
        <v>83</v>
      </c>
      <c r="O443" s="3" t="s">
        <v>43</v>
      </c>
      <c r="P443" s="5" t="n">
        <v>6</v>
      </c>
      <c r="Q443" s="6" t="n">
        <v>4217.49</v>
      </c>
      <c r="R443" s="3" t="s">
        <v>66</v>
      </c>
      <c r="S443" s="7" t="n">
        <v>0</v>
      </c>
      <c r="T443" s="3" t="s">
        <v>51</v>
      </c>
      <c r="U443" s="7" t="n">
        <f aca="false">IF(T443="Valid",S443,0)</f>
        <v>0</v>
      </c>
      <c r="V443" s="6" t="n">
        <v>25304.94</v>
      </c>
      <c r="W443" s="6" t="n">
        <v>20771.95</v>
      </c>
      <c r="X443" s="6" t="n">
        <v>4532.99</v>
      </c>
      <c r="Y443" s="6" t="n">
        <f aca="false">P443*Q443*(1-U443)</f>
        <v>25304.94</v>
      </c>
      <c r="Z443" s="6" t="n">
        <f aca="false">Y443-W443</f>
        <v>4532.99</v>
      </c>
      <c r="AA443" s="8" t="n">
        <f aca="false">IF(Y443=0,0,Z443/Y443)</f>
        <v>0.179134587950021</v>
      </c>
      <c r="AB443" s="3" t="str">
        <f aca="false">IF(ABS(V443-Y443)&gt;1,"Mismatch","OK")</f>
        <v>OK</v>
      </c>
      <c r="AC443" s="3" t="str">
        <f aca="false">IF(ABS(X443-Z443)&gt;1,"Mismatch","OK")</f>
        <v>OK</v>
      </c>
      <c r="AD443" s="5" t="n">
        <f aca="false">IF(OR(B443="",C443=""),"",C443-B443)</f>
        <v>0</v>
      </c>
      <c r="AE443" s="3" t="str">
        <f aca="false">IF(AD443="","Unknown",IF(AD443&lt;0,"Invalid - Ship Before Order","OK"))</f>
        <v>OK</v>
      </c>
      <c r="AF443" s="5" t="n">
        <f aca="false">IF(B443="","",MONTH(B443))</f>
        <v>10</v>
      </c>
      <c r="AG443" s="5" t="n">
        <f aca="false">IF(B443="","",YEAR(B443))</f>
        <v>2024</v>
      </c>
      <c r="AH443" s="3" t="s">
        <v>52</v>
      </c>
      <c r="AI443" s="3" t="s">
        <v>93</v>
      </c>
      <c r="AJ443" s="3" t="str">
        <f aca="false">IF(AND(AI443="Completed",AH443="Failed"),"Inconsistent - Completed Order with Failed Payment","OK")</f>
        <v>OK</v>
      </c>
      <c r="AK443" s="3" t="s">
        <v>54</v>
      </c>
      <c r="AL443" s="3" t="str">
        <f aca="false">IF(OR(T443="Negative - Invalid",T443="Above Allowed Range - Invalid",AE443="Invalid - Ship Before Order",AK443&lt;&gt;"Unique",AB443="Mismatch",AC443="Mismatch",AJ443&lt;&gt;"OK"),"Invalid",IF(OR(H443="Yes",O443="Yes",T443="Missing"),"Warning","Clean"))</f>
        <v>Clean</v>
      </c>
    </row>
    <row r="444" customFormat="false" ht="15" hidden="false" customHeight="true" outlineLevel="0" collapsed="false">
      <c r="A444" s="3" t="s">
        <v>1469</v>
      </c>
      <c r="B444" s="4" t="n">
        <v>45669</v>
      </c>
      <c r="C444" s="4" t="n">
        <v>45676</v>
      </c>
      <c r="D444" s="3" t="s">
        <v>1470</v>
      </c>
      <c r="E444" s="3" t="s">
        <v>155</v>
      </c>
      <c r="F444" s="3" t="s">
        <v>41</v>
      </c>
      <c r="G444" s="3" t="s">
        <v>59</v>
      </c>
      <c r="H444" s="3" t="s">
        <v>43</v>
      </c>
      <c r="I444" s="3" t="s">
        <v>262</v>
      </c>
      <c r="J444" s="3" t="s">
        <v>263</v>
      </c>
      <c r="K444" s="3" t="s">
        <v>62</v>
      </c>
      <c r="L444" s="3" t="s">
        <v>63</v>
      </c>
      <c r="M444" s="3" t="s">
        <v>1471</v>
      </c>
      <c r="N444" s="3" t="s">
        <v>72</v>
      </c>
      <c r="O444" s="3" t="s">
        <v>43</v>
      </c>
      <c r="P444" s="5" t="n">
        <v>1</v>
      </c>
      <c r="Q444" s="6" t="n">
        <v>1842.31</v>
      </c>
      <c r="R444" s="3" t="s">
        <v>66</v>
      </c>
      <c r="S444" s="7" t="n">
        <v>0</v>
      </c>
      <c r="T444" s="3" t="s">
        <v>51</v>
      </c>
      <c r="U444" s="7" t="n">
        <f aca="false">IF(T444="Valid",S444,0)</f>
        <v>0</v>
      </c>
      <c r="V444" s="6" t="n">
        <v>1842.31</v>
      </c>
      <c r="W444" s="6" t="n">
        <v>1019.17</v>
      </c>
      <c r="X444" s="6" t="n">
        <v>823.14</v>
      </c>
      <c r="Y444" s="6" t="n">
        <f aca="false">P444*Q444*(1-U444)</f>
        <v>1842.31</v>
      </c>
      <c r="Z444" s="6" t="n">
        <f aca="false">Y444-W444</f>
        <v>823.14</v>
      </c>
      <c r="AA444" s="8" t="n">
        <f aca="false">IF(Y444=0,0,Z444/Y444)</f>
        <v>0.446797770190685</v>
      </c>
      <c r="AB444" s="3" t="str">
        <f aca="false">IF(ABS(V444-Y444)&gt;1,"Mismatch","OK")</f>
        <v>OK</v>
      </c>
      <c r="AC444" s="3" t="str">
        <f aca="false">IF(ABS(X444-Z444)&gt;1,"Mismatch","OK")</f>
        <v>OK</v>
      </c>
      <c r="AD444" s="5" t="n">
        <f aca="false">IF(OR(B444="",C444=""),"",C444-B444)</f>
        <v>7</v>
      </c>
      <c r="AE444" s="3" t="str">
        <f aca="false">IF(AD444="","Unknown",IF(AD444&lt;0,"Invalid - Ship Before Order","OK"))</f>
        <v>OK</v>
      </c>
      <c r="AF444" s="5" t="n">
        <f aca="false">IF(B444="","",MONTH(B444))</f>
        <v>1</v>
      </c>
      <c r="AG444" s="5" t="n">
        <f aca="false">IF(B444="","",YEAR(B444))</f>
        <v>2025</v>
      </c>
      <c r="AH444" s="3" t="s">
        <v>52</v>
      </c>
      <c r="AI444" s="3" t="s">
        <v>53</v>
      </c>
      <c r="AJ444" s="3" t="str">
        <f aca="false">IF(AND(AI444="Completed",AH444="Failed"),"Inconsistent - Completed Order with Failed Payment","OK")</f>
        <v>OK</v>
      </c>
      <c r="AK444" s="3" t="s">
        <v>54</v>
      </c>
      <c r="AL444" s="3" t="str">
        <f aca="false">IF(OR(T444="Negative - Invalid",T444="Above Allowed Range - Invalid",AE444="Invalid - Ship Before Order",AK444&lt;&gt;"Unique",AB444="Mismatch",AC444="Mismatch",AJ444&lt;&gt;"OK"),"Invalid",IF(OR(H444="Yes",O444="Yes",T444="Missing"),"Warning","Clean"))</f>
        <v>Clean</v>
      </c>
    </row>
    <row r="445" customFormat="false" ht="15" hidden="false" customHeight="true" outlineLevel="0" collapsed="false">
      <c r="A445" s="3" t="s">
        <v>1472</v>
      </c>
      <c r="B445" s="4" t="n">
        <v>45386</v>
      </c>
      <c r="C445" s="4" t="n">
        <v>45389</v>
      </c>
      <c r="D445" s="3" t="s">
        <v>1473</v>
      </c>
      <c r="E445" s="3" t="s">
        <v>168</v>
      </c>
      <c r="F445" s="3" t="s">
        <v>121</v>
      </c>
      <c r="G445" s="3" t="s">
        <v>59</v>
      </c>
      <c r="H445" s="3" t="s">
        <v>43</v>
      </c>
      <c r="I445" s="3" t="s">
        <v>60</v>
      </c>
      <c r="J445" s="3" t="s">
        <v>61</v>
      </c>
      <c r="K445" s="3" t="s">
        <v>62</v>
      </c>
      <c r="L445" s="3" t="s">
        <v>81</v>
      </c>
      <c r="M445" s="3" t="s">
        <v>1474</v>
      </c>
      <c r="N445" s="3" t="s">
        <v>72</v>
      </c>
      <c r="O445" s="3" t="s">
        <v>43</v>
      </c>
      <c r="P445" s="5" t="n">
        <v>1</v>
      </c>
      <c r="Q445" s="6" t="n">
        <v>3683.75</v>
      </c>
      <c r="R445" s="3" t="s">
        <v>203</v>
      </c>
      <c r="S445" s="7" t="n">
        <v>0.1</v>
      </c>
      <c r="T445" s="3" t="s">
        <v>51</v>
      </c>
      <c r="U445" s="7" t="n">
        <f aca="false">IF(T445="Valid",S445,0)</f>
        <v>0.1</v>
      </c>
      <c r="V445" s="6" t="n">
        <v>3315.38</v>
      </c>
      <c r="W445" s="6" t="n">
        <v>2347.68</v>
      </c>
      <c r="X445" s="6" t="n">
        <v>967.7</v>
      </c>
      <c r="Y445" s="6" t="n">
        <f aca="false">P445*Q445*(1-U445)</f>
        <v>3315.375</v>
      </c>
      <c r="Z445" s="6" t="n">
        <f aca="false">Y445-W445</f>
        <v>967.695</v>
      </c>
      <c r="AA445" s="8" t="n">
        <f aca="false">IF(Y445=0,0,Z445/Y445)</f>
        <v>0.291881008935641</v>
      </c>
      <c r="AB445" s="3" t="str">
        <f aca="false">IF(ABS(V445-Y445)&gt;1,"Mismatch","OK")</f>
        <v>OK</v>
      </c>
      <c r="AC445" s="3" t="str">
        <f aca="false">IF(ABS(X445-Z445)&gt;1,"Mismatch","OK")</f>
        <v>OK</v>
      </c>
      <c r="AD445" s="5" t="n">
        <f aca="false">IF(OR(B445="",C445=""),"",C445-B445)</f>
        <v>3</v>
      </c>
      <c r="AE445" s="3" t="str">
        <f aca="false">IF(AD445="","Unknown",IF(AD445&lt;0,"Invalid - Ship Before Order","OK"))</f>
        <v>OK</v>
      </c>
      <c r="AF445" s="5" t="n">
        <f aca="false">IF(B445="","",MONTH(B445))</f>
        <v>4</v>
      </c>
      <c r="AG445" s="5" t="n">
        <f aca="false">IF(B445="","",YEAR(B445))</f>
        <v>2024</v>
      </c>
      <c r="AH445" s="3" t="s">
        <v>52</v>
      </c>
      <c r="AI445" s="3" t="s">
        <v>53</v>
      </c>
      <c r="AJ445" s="3" t="str">
        <f aca="false">IF(AND(AI445="Completed",AH445="Failed"),"Inconsistent - Completed Order with Failed Payment","OK")</f>
        <v>OK</v>
      </c>
      <c r="AK445" s="3" t="s">
        <v>54</v>
      </c>
      <c r="AL445" s="3" t="str">
        <f aca="false">IF(OR(T445="Negative - Invalid",T445="Above Allowed Range - Invalid",AE445="Invalid - Ship Before Order",AK445&lt;&gt;"Unique",AB445="Mismatch",AC445="Mismatch",AJ445&lt;&gt;"OK"),"Invalid",IF(OR(H445="Yes",O445="Yes",T445="Missing"),"Warning","Clean"))</f>
        <v>Clean</v>
      </c>
    </row>
    <row r="446" customFormat="false" ht="15" hidden="false" customHeight="true" outlineLevel="0" collapsed="false">
      <c r="A446" s="3" t="s">
        <v>1475</v>
      </c>
      <c r="B446" s="4" t="n">
        <v>45881</v>
      </c>
      <c r="C446" s="4" t="n">
        <v>45885</v>
      </c>
      <c r="D446" s="3" t="s">
        <v>1476</v>
      </c>
      <c r="E446" s="3" t="s">
        <v>87</v>
      </c>
      <c r="F446" s="3" t="s">
        <v>41</v>
      </c>
      <c r="G446" s="3" t="s">
        <v>59</v>
      </c>
      <c r="H446" s="3" t="s">
        <v>43</v>
      </c>
      <c r="I446" s="3" t="s">
        <v>196</v>
      </c>
      <c r="J446" s="3" t="s">
        <v>197</v>
      </c>
      <c r="K446" s="3" t="s">
        <v>99</v>
      </c>
      <c r="L446" s="3" t="s">
        <v>100</v>
      </c>
      <c r="M446" s="3" t="s">
        <v>1477</v>
      </c>
      <c r="N446" s="3" t="s">
        <v>65</v>
      </c>
      <c r="O446" s="3" t="s">
        <v>43</v>
      </c>
      <c r="P446" s="5" t="n">
        <v>9</v>
      </c>
      <c r="Q446" s="6" t="n">
        <v>2379.24</v>
      </c>
      <c r="R446" s="3" t="s">
        <v>128</v>
      </c>
      <c r="S446" s="7" t="n">
        <v>0.05</v>
      </c>
      <c r="T446" s="3" t="s">
        <v>51</v>
      </c>
      <c r="U446" s="7" t="n">
        <f aca="false">IF(T446="Valid",S446,0)</f>
        <v>0.05</v>
      </c>
      <c r="V446" s="6" t="n">
        <v>20342.5</v>
      </c>
      <c r="W446" s="6" t="n">
        <v>12407.51</v>
      </c>
      <c r="X446" s="6" t="n">
        <v>7934.99</v>
      </c>
      <c r="Y446" s="6" t="n">
        <f aca="false">P446*Q446*(1-U446)</f>
        <v>20342.502</v>
      </c>
      <c r="Z446" s="6" t="n">
        <f aca="false">Y446-W446</f>
        <v>7934.992</v>
      </c>
      <c r="AA446" s="8" t="n">
        <f aca="false">IF(Y446=0,0,Z446/Y446)</f>
        <v>0.390069618771575</v>
      </c>
      <c r="AB446" s="3" t="str">
        <f aca="false">IF(ABS(V446-Y446)&gt;1,"Mismatch","OK")</f>
        <v>OK</v>
      </c>
      <c r="AC446" s="3" t="str">
        <f aca="false">IF(ABS(X446-Z446)&gt;1,"Mismatch","OK")</f>
        <v>OK</v>
      </c>
      <c r="AD446" s="5" t="n">
        <f aca="false">IF(OR(B446="",C446=""),"",C446-B446)</f>
        <v>4</v>
      </c>
      <c r="AE446" s="3" t="str">
        <f aca="false">IF(AD446="","Unknown",IF(AD446&lt;0,"Invalid - Ship Before Order","OK"))</f>
        <v>OK</v>
      </c>
      <c r="AF446" s="5" t="n">
        <f aca="false">IF(B446="","",MONTH(B446))</f>
        <v>8</v>
      </c>
      <c r="AG446" s="5" t="n">
        <f aca="false">IF(B446="","",YEAR(B446))</f>
        <v>2025</v>
      </c>
      <c r="AH446" s="3" t="s">
        <v>52</v>
      </c>
      <c r="AI446" s="3" t="s">
        <v>53</v>
      </c>
      <c r="AJ446" s="3" t="str">
        <f aca="false">IF(AND(AI446="Completed",AH446="Failed"),"Inconsistent - Completed Order with Failed Payment","OK")</f>
        <v>OK</v>
      </c>
      <c r="AK446" s="3" t="s">
        <v>54</v>
      </c>
      <c r="AL446" s="3" t="str">
        <f aca="false">IF(OR(T446="Negative - Invalid",T446="Above Allowed Range - Invalid",AE446="Invalid - Ship Before Order",AK446&lt;&gt;"Unique",AB446="Mismatch",AC446="Mismatch",AJ446&lt;&gt;"OK"),"Invalid",IF(OR(H446="Yes",O446="Yes",T446="Missing"),"Warning","Clean"))</f>
        <v>Clean</v>
      </c>
    </row>
    <row r="447" customFormat="false" ht="15" hidden="false" customHeight="true" outlineLevel="0" collapsed="false">
      <c r="A447" s="3" t="s">
        <v>1478</v>
      </c>
      <c r="B447" s="4" t="n">
        <v>45421</v>
      </c>
      <c r="C447" s="4" t="n">
        <v>45417</v>
      </c>
      <c r="D447" s="3" t="s">
        <v>1479</v>
      </c>
      <c r="E447" s="3" t="s">
        <v>77</v>
      </c>
      <c r="F447" s="3" t="s">
        <v>41</v>
      </c>
      <c r="G447" s="3" t="s">
        <v>59</v>
      </c>
      <c r="H447" s="3" t="s">
        <v>43</v>
      </c>
      <c r="I447" s="3" t="s">
        <v>196</v>
      </c>
      <c r="J447" s="3" t="s">
        <v>197</v>
      </c>
      <c r="K447" s="3" t="s">
        <v>62</v>
      </c>
      <c r="L447" s="3" t="s">
        <v>188</v>
      </c>
      <c r="M447" s="3" t="s">
        <v>1480</v>
      </c>
      <c r="N447" s="3" t="s">
        <v>65</v>
      </c>
      <c r="O447" s="3" t="s">
        <v>43</v>
      </c>
      <c r="P447" s="5" t="n">
        <v>2</v>
      </c>
      <c r="Q447" s="6" t="n">
        <v>2111.23</v>
      </c>
      <c r="R447" s="3" t="s">
        <v>50</v>
      </c>
      <c r="S447" s="7" t="n">
        <v>0.2</v>
      </c>
      <c r="T447" s="3" t="s">
        <v>51</v>
      </c>
      <c r="U447" s="7" t="n">
        <f aca="false">IF(T447="Valid",S447,0)</f>
        <v>0.2</v>
      </c>
      <c r="V447" s="6" t="n">
        <v>3377.97</v>
      </c>
      <c r="W447" s="6" t="n">
        <v>2496.29</v>
      </c>
      <c r="X447" s="6" t="n">
        <v>881.68</v>
      </c>
      <c r="Y447" s="6" t="n">
        <f aca="false">P447*Q447*(1-U447)</f>
        <v>3377.968</v>
      </c>
      <c r="Z447" s="6" t="n">
        <f aca="false">Y447-W447</f>
        <v>881.678</v>
      </c>
      <c r="AA447" s="8" t="n">
        <f aca="false">IF(Y447=0,0,Z447/Y447)</f>
        <v>0.26100839321154</v>
      </c>
      <c r="AB447" s="3" t="str">
        <f aca="false">IF(ABS(V447-Y447)&gt;1,"Mismatch","OK")</f>
        <v>OK</v>
      </c>
      <c r="AC447" s="3" t="str">
        <f aca="false">IF(ABS(X447-Z447)&gt;1,"Mismatch","OK")</f>
        <v>OK</v>
      </c>
      <c r="AD447" s="5" t="n">
        <f aca="false">IF(OR(B447="",C447=""),"",C447-B447)</f>
        <v>-4</v>
      </c>
      <c r="AE447" s="3" t="str">
        <f aca="false">IF(AD447="","Unknown",IF(AD447&lt;0,"Invalid - Ship Before Order","OK"))</f>
        <v>Invalid - Ship Before Order</v>
      </c>
      <c r="AF447" s="5" t="n">
        <f aca="false">IF(B447="","",MONTH(B447))</f>
        <v>5</v>
      </c>
      <c r="AG447" s="5" t="n">
        <f aca="false">IF(B447="","",YEAR(B447))</f>
        <v>2024</v>
      </c>
      <c r="AH447" s="3" t="s">
        <v>52</v>
      </c>
      <c r="AI447" s="3" t="s">
        <v>53</v>
      </c>
      <c r="AJ447" s="3" t="str">
        <f aca="false">IF(AND(AI447="Completed",AH447="Failed"),"Inconsistent - Completed Order with Failed Payment","OK")</f>
        <v>OK</v>
      </c>
      <c r="AK447" s="3" t="s">
        <v>54</v>
      </c>
      <c r="AL447" s="3" t="str">
        <f aca="false">IF(OR(T447="Negative - Invalid",T447="Above Allowed Range - Invalid",AE447="Invalid - Ship Before Order",AK447&lt;&gt;"Unique",AB447="Mismatch",AC447="Mismatch",AJ447&lt;&gt;"OK"),"Invalid",IF(OR(H447="Yes",O447="Yes",T447="Missing"),"Warning","Clean"))</f>
        <v>Invalid</v>
      </c>
    </row>
    <row r="448" customFormat="false" ht="15" hidden="false" customHeight="true" outlineLevel="0" collapsed="false">
      <c r="A448" s="3" t="s">
        <v>1481</v>
      </c>
      <c r="B448" s="4" t="n">
        <v>45918</v>
      </c>
      <c r="C448" s="4" t="n">
        <v>45919</v>
      </c>
      <c r="D448" s="3" t="s">
        <v>1482</v>
      </c>
      <c r="E448" s="3" t="s">
        <v>159</v>
      </c>
      <c r="F448" s="3" t="s">
        <v>121</v>
      </c>
      <c r="G448" s="3" t="s">
        <v>78</v>
      </c>
      <c r="H448" s="3" t="s">
        <v>43</v>
      </c>
      <c r="I448" s="3" t="s">
        <v>110</v>
      </c>
      <c r="J448" s="3" t="s">
        <v>111</v>
      </c>
      <c r="K448" s="3" t="s">
        <v>46</v>
      </c>
      <c r="L448" s="3" t="s">
        <v>151</v>
      </c>
      <c r="M448" s="3" t="s">
        <v>1483</v>
      </c>
      <c r="N448" s="3" t="s">
        <v>65</v>
      </c>
      <c r="O448" s="3" t="s">
        <v>43</v>
      </c>
      <c r="P448" s="5" t="n">
        <v>8</v>
      </c>
      <c r="Q448" s="6" t="n">
        <v>4242.51</v>
      </c>
      <c r="R448" s="3" t="s">
        <v>66</v>
      </c>
      <c r="S448" s="7" t="n">
        <v>0</v>
      </c>
      <c r="T448" s="3" t="s">
        <v>51</v>
      </c>
      <c r="U448" s="7" t="n">
        <f aca="false">IF(T448="Valid",S448,0)</f>
        <v>0</v>
      </c>
      <c r="V448" s="6" t="n">
        <v>33940.08</v>
      </c>
      <c r="W448" s="6" t="n">
        <v>23754.19</v>
      </c>
      <c r="X448" s="6" t="n">
        <v>10185.89</v>
      </c>
      <c r="Y448" s="6" t="n">
        <f aca="false">P448*Q448*(1-U448)</f>
        <v>33940.08</v>
      </c>
      <c r="Z448" s="6" t="n">
        <f aca="false">Y448-W448</f>
        <v>10185.89</v>
      </c>
      <c r="AA448" s="8" t="n">
        <f aca="false">IF(Y448=0,0,Z448/Y448)</f>
        <v>0.30011390662603</v>
      </c>
      <c r="AB448" s="3" t="str">
        <f aca="false">IF(ABS(V448-Y448)&gt;1,"Mismatch","OK")</f>
        <v>OK</v>
      </c>
      <c r="AC448" s="3" t="str">
        <f aca="false">IF(ABS(X448-Z448)&gt;1,"Mismatch","OK")</f>
        <v>OK</v>
      </c>
      <c r="AD448" s="5" t="n">
        <f aca="false">IF(OR(B448="",C448=""),"",C448-B448)</f>
        <v>1</v>
      </c>
      <c r="AE448" s="3" t="str">
        <f aca="false">IF(AD448="","Unknown",IF(AD448&lt;0,"Invalid - Ship Before Order","OK"))</f>
        <v>OK</v>
      </c>
      <c r="AF448" s="5" t="n">
        <f aca="false">IF(B448="","",MONTH(B448))</f>
        <v>9</v>
      </c>
      <c r="AG448" s="5" t="n">
        <f aca="false">IF(B448="","",YEAR(B448))</f>
        <v>2025</v>
      </c>
      <c r="AH448" s="3" t="s">
        <v>52</v>
      </c>
      <c r="AI448" s="3" t="s">
        <v>53</v>
      </c>
      <c r="AJ448" s="3" t="str">
        <f aca="false">IF(AND(AI448="Completed",AH448="Failed"),"Inconsistent - Completed Order with Failed Payment","OK")</f>
        <v>OK</v>
      </c>
      <c r="AK448" s="3" t="s">
        <v>54</v>
      </c>
      <c r="AL448" s="3" t="str">
        <f aca="false">IF(OR(T448="Negative - Invalid",T448="Above Allowed Range - Invalid",AE448="Invalid - Ship Before Order",AK448&lt;&gt;"Unique",AB448="Mismatch",AC448="Mismatch",AJ448&lt;&gt;"OK"),"Invalid",IF(OR(H448="Yes",O448="Yes",T448="Missing"),"Warning","Clean"))</f>
        <v>Clean</v>
      </c>
    </row>
    <row r="449" customFormat="false" ht="15" hidden="false" customHeight="true" outlineLevel="0" collapsed="false">
      <c r="A449" s="3" t="s">
        <v>1484</v>
      </c>
      <c r="B449" s="4" t="n">
        <v>45879</v>
      </c>
      <c r="C449" s="4" t="n">
        <v>45879</v>
      </c>
      <c r="D449" s="3" t="s">
        <v>1485</v>
      </c>
      <c r="E449" s="3" t="s">
        <v>168</v>
      </c>
      <c r="F449" s="3" t="s">
        <v>121</v>
      </c>
      <c r="G449" s="3" t="s">
        <v>78</v>
      </c>
      <c r="H449" s="3" t="s">
        <v>43</v>
      </c>
      <c r="I449" s="3" t="s">
        <v>79</v>
      </c>
      <c r="J449" s="3" t="s">
        <v>80</v>
      </c>
      <c r="K449" s="3" t="s">
        <v>62</v>
      </c>
      <c r="L449" s="3" t="s">
        <v>188</v>
      </c>
      <c r="M449" s="3" t="s">
        <v>1486</v>
      </c>
      <c r="N449" s="3" t="s">
        <v>83</v>
      </c>
      <c r="O449" s="3" t="s">
        <v>43</v>
      </c>
      <c r="P449" s="5" t="n">
        <v>6</v>
      </c>
      <c r="Q449" s="6" t="n">
        <v>4288.7</v>
      </c>
      <c r="R449" s="3" t="s">
        <v>107</v>
      </c>
      <c r="S449" s="7" t="n">
        <v>0.15</v>
      </c>
      <c r="T449" s="3" t="s">
        <v>51</v>
      </c>
      <c r="U449" s="7" t="n">
        <f aca="false">IF(T449="Valid",S449,0)</f>
        <v>0.15</v>
      </c>
      <c r="V449" s="6" t="n">
        <v>21872.37</v>
      </c>
      <c r="W449" s="6" t="n">
        <v>13829.5</v>
      </c>
      <c r="X449" s="6" t="n">
        <v>8042.87</v>
      </c>
      <c r="Y449" s="6" t="n">
        <f aca="false">P449*Q449*(1-U449)</f>
        <v>21872.37</v>
      </c>
      <c r="Z449" s="6" t="n">
        <f aca="false">Y449-W449</f>
        <v>8042.87</v>
      </c>
      <c r="AA449" s="8" t="n">
        <f aca="false">IF(Y449=0,0,Z449/Y449)</f>
        <v>0.367718267384833</v>
      </c>
      <c r="AB449" s="3" t="str">
        <f aca="false">IF(ABS(V449-Y449)&gt;1,"Mismatch","OK")</f>
        <v>OK</v>
      </c>
      <c r="AC449" s="3" t="str">
        <f aca="false">IF(ABS(X449-Z449)&gt;1,"Mismatch","OK")</f>
        <v>OK</v>
      </c>
      <c r="AD449" s="5" t="n">
        <f aca="false">IF(OR(B449="",C449=""),"",C449-B449)</f>
        <v>0</v>
      </c>
      <c r="AE449" s="3" t="str">
        <f aca="false">IF(AD449="","Unknown",IF(AD449&lt;0,"Invalid - Ship Before Order","OK"))</f>
        <v>OK</v>
      </c>
      <c r="AF449" s="5" t="n">
        <f aca="false">IF(B449="","",MONTH(B449))</f>
        <v>8</v>
      </c>
      <c r="AG449" s="5" t="n">
        <f aca="false">IF(B449="","",YEAR(B449))</f>
        <v>2025</v>
      </c>
      <c r="AH449" s="3" t="s">
        <v>138</v>
      </c>
      <c r="AI449" s="3" t="s">
        <v>130</v>
      </c>
      <c r="AJ449" s="3" t="str">
        <f aca="false">IF(AND(AI449="Completed",AH449="Failed"),"Inconsistent - Completed Order with Failed Payment","OK")</f>
        <v>OK</v>
      </c>
      <c r="AK449" s="3" t="s">
        <v>54</v>
      </c>
      <c r="AL449" s="3" t="str">
        <f aca="false">IF(OR(T449="Negative - Invalid",T449="Above Allowed Range - Invalid",AE449="Invalid - Ship Before Order",AK449&lt;&gt;"Unique",AB449="Mismatch",AC449="Mismatch",AJ449&lt;&gt;"OK"),"Invalid",IF(OR(H449="Yes",O449="Yes",T449="Missing"),"Warning","Clean"))</f>
        <v>Clean</v>
      </c>
    </row>
    <row r="450" customFormat="false" ht="15" hidden="false" customHeight="true" outlineLevel="0" collapsed="false">
      <c r="A450" s="3" t="s">
        <v>1487</v>
      </c>
      <c r="B450" s="4" t="n">
        <v>45306</v>
      </c>
      <c r="C450" s="4" t="n">
        <v>45309</v>
      </c>
      <c r="D450" s="3" t="s">
        <v>1488</v>
      </c>
      <c r="E450" s="3" t="s">
        <v>57</v>
      </c>
      <c r="F450" s="3" t="s">
        <v>58</v>
      </c>
      <c r="G450" s="3" t="s">
        <v>78</v>
      </c>
      <c r="H450" s="3" t="s">
        <v>43</v>
      </c>
      <c r="I450" s="3" t="s">
        <v>110</v>
      </c>
      <c r="J450" s="3" t="s">
        <v>111</v>
      </c>
      <c r="K450" s="3" t="s">
        <v>62</v>
      </c>
      <c r="L450" s="3" t="s">
        <v>91</v>
      </c>
      <c r="M450" s="3" t="s">
        <v>1489</v>
      </c>
      <c r="N450" s="3" t="s">
        <v>72</v>
      </c>
      <c r="O450" s="3" t="s">
        <v>43</v>
      </c>
      <c r="P450" s="5" t="n">
        <v>2</v>
      </c>
      <c r="Q450" s="6" t="n">
        <v>201.21</v>
      </c>
      <c r="R450" s="3" t="s">
        <v>107</v>
      </c>
      <c r="S450" s="7" t="n">
        <v>0.15</v>
      </c>
      <c r="T450" s="3" t="s">
        <v>51</v>
      </c>
      <c r="U450" s="7" t="n">
        <f aca="false">IF(T450="Valid",S450,0)</f>
        <v>0.15</v>
      </c>
      <c r="V450" s="6" t="n">
        <v>342.06</v>
      </c>
      <c r="W450" s="6" t="n">
        <v>244.57</v>
      </c>
      <c r="X450" s="6" t="n">
        <v>97.49</v>
      </c>
      <c r="Y450" s="6" t="n">
        <f aca="false">P450*Q450*(1-U450)</f>
        <v>342.057</v>
      </c>
      <c r="Z450" s="6" t="n">
        <f aca="false">Y450-W450</f>
        <v>97.487</v>
      </c>
      <c r="AA450" s="8" t="n">
        <f aca="false">IF(Y450=0,0,Z450/Y450)</f>
        <v>0.285002207234467</v>
      </c>
      <c r="AB450" s="3" t="str">
        <f aca="false">IF(ABS(V450-Y450)&gt;1,"Mismatch","OK")</f>
        <v>OK</v>
      </c>
      <c r="AC450" s="3" t="str">
        <f aca="false">IF(ABS(X450-Z450)&gt;1,"Mismatch","OK")</f>
        <v>OK</v>
      </c>
      <c r="AD450" s="5" t="n">
        <f aca="false">IF(OR(B450="",C450=""),"",C450-B450)</f>
        <v>3</v>
      </c>
      <c r="AE450" s="3" t="str">
        <f aca="false">IF(AD450="","Unknown",IF(AD450&lt;0,"Invalid - Ship Before Order","OK"))</f>
        <v>OK</v>
      </c>
      <c r="AF450" s="5" t="n">
        <f aca="false">IF(B450="","",MONTH(B450))</f>
        <v>1</v>
      </c>
      <c r="AG450" s="5" t="n">
        <f aca="false">IF(B450="","",YEAR(B450))</f>
        <v>2024</v>
      </c>
      <c r="AH450" s="3" t="s">
        <v>52</v>
      </c>
      <c r="AI450" s="3" t="s">
        <v>53</v>
      </c>
      <c r="AJ450" s="3" t="str">
        <f aca="false">IF(AND(AI450="Completed",AH450="Failed"),"Inconsistent - Completed Order with Failed Payment","OK")</f>
        <v>OK</v>
      </c>
      <c r="AK450" s="3" t="s">
        <v>54</v>
      </c>
      <c r="AL450" s="3" t="str">
        <f aca="false">IF(OR(T450="Negative - Invalid",T450="Above Allowed Range - Invalid",AE450="Invalid - Ship Before Order",AK450&lt;&gt;"Unique",AB450="Mismatch",AC450="Mismatch",AJ450&lt;&gt;"OK"),"Invalid",IF(OR(H450="Yes",O450="Yes",T450="Missing"),"Warning","Clean"))</f>
        <v>Clean</v>
      </c>
    </row>
    <row r="451" customFormat="false" ht="15" hidden="false" customHeight="true" outlineLevel="0" collapsed="false">
      <c r="A451" s="3" t="s">
        <v>1490</v>
      </c>
      <c r="B451" s="4" t="n">
        <v>45449</v>
      </c>
      <c r="C451" s="4" t="n">
        <v>45456</v>
      </c>
      <c r="D451" s="3" t="s">
        <v>1384</v>
      </c>
      <c r="E451" s="3" t="s">
        <v>115</v>
      </c>
      <c r="F451" s="3" t="s">
        <v>116</v>
      </c>
      <c r="G451" s="3" t="s">
        <v>59</v>
      </c>
      <c r="H451" s="3" t="s">
        <v>43</v>
      </c>
      <c r="I451" s="3" t="s">
        <v>196</v>
      </c>
      <c r="J451" s="3" t="s">
        <v>197</v>
      </c>
      <c r="K451" s="3" t="s">
        <v>99</v>
      </c>
      <c r="L451" s="3" t="s">
        <v>308</v>
      </c>
      <c r="M451" s="3" t="s">
        <v>1491</v>
      </c>
      <c r="N451" s="3" t="s">
        <v>49</v>
      </c>
      <c r="O451" s="3" t="s">
        <v>43</v>
      </c>
      <c r="P451" s="5" t="n">
        <v>6</v>
      </c>
      <c r="Q451" s="6" t="n">
        <v>3270.36</v>
      </c>
      <c r="R451" s="3" t="s">
        <v>66</v>
      </c>
      <c r="S451" s="7" t="n">
        <v>0</v>
      </c>
      <c r="T451" s="3" t="s">
        <v>51</v>
      </c>
      <c r="U451" s="7" t="n">
        <f aca="false">IF(T451="Valid",S451,0)</f>
        <v>0</v>
      </c>
      <c r="V451" s="6" t="n">
        <v>19622.16</v>
      </c>
      <c r="W451" s="6" t="n">
        <v>14271.27</v>
      </c>
      <c r="X451" s="6" t="n">
        <v>5350.89</v>
      </c>
      <c r="Y451" s="6" t="n">
        <f aca="false">P451*Q451*(1-U451)</f>
        <v>19622.16</v>
      </c>
      <c r="Z451" s="6" t="n">
        <f aca="false">Y451-W451</f>
        <v>5350.89</v>
      </c>
      <c r="AA451" s="8" t="n">
        <f aca="false">IF(Y451=0,0,Z451/Y451)</f>
        <v>0.272696278085593</v>
      </c>
      <c r="AB451" s="3" t="str">
        <f aca="false">IF(ABS(V451-Y451)&gt;1,"Mismatch","OK")</f>
        <v>OK</v>
      </c>
      <c r="AC451" s="3" t="str">
        <f aca="false">IF(ABS(X451-Z451)&gt;1,"Mismatch","OK")</f>
        <v>OK</v>
      </c>
      <c r="AD451" s="5" t="n">
        <f aca="false">IF(OR(B451="",C451=""),"",C451-B451)</f>
        <v>7</v>
      </c>
      <c r="AE451" s="3" t="str">
        <f aca="false">IF(AD451="","Unknown",IF(AD451&lt;0,"Invalid - Ship Before Order","OK"))</f>
        <v>OK</v>
      </c>
      <c r="AF451" s="5" t="n">
        <f aca="false">IF(B451="","",MONTH(B451))</f>
        <v>6</v>
      </c>
      <c r="AG451" s="5" t="n">
        <f aca="false">IF(B451="","",YEAR(B451))</f>
        <v>2024</v>
      </c>
      <c r="AH451" s="3" t="s">
        <v>52</v>
      </c>
      <c r="AI451" s="3" t="s">
        <v>53</v>
      </c>
      <c r="AJ451" s="3" t="str">
        <f aca="false">IF(AND(AI451="Completed",AH451="Failed"),"Inconsistent - Completed Order with Failed Payment","OK")</f>
        <v>OK</v>
      </c>
      <c r="AK451" s="3" t="s">
        <v>54</v>
      </c>
      <c r="AL451" s="3" t="str">
        <f aca="false">IF(OR(T451="Negative - Invalid",T451="Above Allowed Range - Invalid",AE451="Invalid - Ship Before Order",AK451&lt;&gt;"Unique",AB451="Mismatch",AC451="Mismatch",AJ451&lt;&gt;"OK"),"Invalid",IF(OR(H451="Yes",O451="Yes",T451="Missing"),"Warning","Clean"))</f>
        <v>Clean</v>
      </c>
    </row>
    <row r="452" customFormat="false" ht="15" hidden="false" customHeight="true" outlineLevel="0" collapsed="false">
      <c r="A452" s="3" t="s">
        <v>1492</v>
      </c>
      <c r="B452" s="4" t="n">
        <v>45820</v>
      </c>
      <c r="C452" s="4" t="n">
        <v>45827</v>
      </c>
      <c r="D452" s="3" t="s">
        <v>1493</v>
      </c>
      <c r="E452" s="3" t="s">
        <v>87</v>
      </c>
      <c r="F452" s="3" t="s">
        <v>116</v>
      </c>
      <c r="G452" s="3" t="s">
        <v>42</v>
      </c>
      <c r="H452" s="3" t="s">
        <v>43</v>
      </c>
      <c r="I452" s="3" t="s">
        <v>384</v>
      </c>
      <c r="J452" s="3" t="s">
        <v>385</v>
      </c>
      <c r="K452" s="3" t="s">
        <v>62</v>
      </c>
      <c r="L452" s="3" t="s">
        <v>91</v>
      </c>
      <c r="M452" s="3" t="s">
        <v>1494</v>
      </c>
      <c r="N452" s="3" t="s">
        <v>83</v>
      </c>
      <c r="O452" s="3" t="s">
        <v>43</v>
      </c>
      <c r="P452" s="5" t="n">
        <v>9</v>
      </c>
      <c r="Q452" s="6" t="n">
        <v>2278.57</v>
      </c>
      <c r="R452" s="3" t="s">
        <v>84</v>
      </c>
      <c r="S452" s="7" t="n">
        <v>0.25</v>
      </c>
      <c r="T452" s="3" t="s">
        <v>51</v>
      </c>
      <c r="U452" s="7" t="n">
        <f aca="false">IF(T452="Valid",S452,0)</f>
        <v>0.25</v>
      </c>
      <c r="V452" s="6" t="n">
        <v>15380.35</v>
      </c>
      <c r="W452" s="6" t="n">
        <v>9907.37</v>
      </c>
      <c r="X452" s="6" t="n">
        <v>5472.98</v>
      </c>
      <c r="Y452" s="6" t="n">
        <f aca="false">P452*Q452*(1-U452)</f>
        <v>15380.3475</v>
      </c>
      <c r="Z452" s="6" t="n">
        <f aca="false">Y452-W452</f>
        <v>5472.9775</v>
      </c>
      <c r="AA452" s="8" t="n">
        <f aca="false">IF(Y452=0,0,Z452/Y452)</f>
        <v>0.355842252588896</v>
      </c>
      <c r="AB452" s="3" t="str">
        <f aca="false">IF(ABS(V452-Y452)&gt;1,"Mismatch","OK")</f>
        <v>OK</v>
      </c>
      <c r="AC452" s="3" t="str">
        <f aca="false">IF(ABS(X452-Z452)&gt;1,"Mismatch","OK")</f>
        <v>OK</v>
      </c>
      <c r="AD452" s="5" t="n">
        <f aca="false">IF(OR(B452="",C452=""),"",C452-B452)</f>
        <v>7</v>
      </c>
      <c r="AE452" s="3" t="str">
        <f aca="false">IF(AD452="","Unknown",IF(AD452&lt;0,"Invalid - Ship Before Order","OK"))</f>
        <v>OK</v>
      </c>
      <c r="AF452" s="5" t="n">
        <f aca="false">IF(B452="","",MONTH(B452))</f>
        <v>6</v>
      </c>
      <c r="AG452" s="5" t="n">
        <f aca="false">IF(B452="","",YEAR(B452))</f>
        <v>2025</v>
      </c>
      <c r="AH452" s="3" t="s">
        <v>52</v>
      </c>
      <c r="AI452" s="3" t="s">
        <v>53</v>
      </c>
      <c r="AJ452" s="3" t="str">
        <f aca="false">IF(AND(AI452="Completed",AH452="Failed"),"Inconsistent - Completed Order with Failed Payment","OK")</f>
        <v>OK</v>
      </c>
      <c r="AK452" s="3" t="s">
        <v>54</v>
      </c>
      <c r="AL452" s="3" t="str">
        <f aca="false">IF(OR(T452="Negative - Invalid",T452="Above Allowed Range - Invalid",AE452="Invalid - Ship Before Order",AK452&lt;&gt;"Unique",AB452="Mismatch",AC452="Mismatch",AJ452&lt;&gt;"OK"),"Invalid",IF(OR(H452="Yes",O452="Yes",T452="Missing"),"Warning","Clean"))</f>
        <v>Clean</v>
      </c>
    </row>
    <row r="453" customFormat="false" ht="15" hidden="false" customHeight="true" outlineLevel="0" collapsed="false">
      <c r="A453" s="3" t="s">
        <v>1495</v>
      </c>
      <c r="B453" s="4" t="n">
        <v>45375</v>
      </c>
      <c r="C453" s="4" t="n">
        <v>45377</v>
      </c>
      <c r="D453" s="3" t="s">
        <v>1496</v>
      </c>
      <c r="E453" s="3" t="s">
        <v>168</v>
      </c>
      <c r="F453" s="3" t="s">
        <v>58</v>
      </c>
      <c r="G453" s="3" t="s">
        <v>42</v>
      </c>
      <c r="H453" s="3" t="s">
        <v>43</v>
      </c>
      <c r="I453" s="3" t="s">
        <v>270</v>
      </c>
      <c r="J453" s="3" t="s">
        <v>271</v>
      </c>
      <c r="K453" s="3" t="s">
        <v>46</v>
      </c>
      <c r="L453" s="3" t="s">
        <v>47</v>
      </c>
      <c r="M453" s="3" t="s">
        <v>1497</v>
      </c>
      <c r="N453" s="3" t="s">
        <v>49</v>
      </c>
      <c r="O453" s="3" t="s">
        <v>43</v>
      </c>
      <c r="P453" s="5" t="n">
        <v>8</v>
      </c>
      <c r="Q453" s="6" t="n">
        <v>1917.64</v>
      </c>
      <c r="R453" s="3" t="s">
        <v>107</v>
      </c>
      <c r="S453" s="7" t="n">
        <v>0.15</v>
      </c>
      <c r="T453" s="3" t="s">
        <v>51</v>
      </c>
      <c r="U453" s="7" t="n">
        <f aca="false">IF(T453="Valid",S453,0)</f>
        <v>0.15</v>
      </c>
      <c r="V453" s="6" t="n">
        <v>13039.95</v>
      </c>
      <c r="W453" s="6" t="n">
        <v>11127.82</v>
      </c>
      <c r="X453" s="6" t="n">
        <v>1912.13</v>
      </c>
      <c r="Y453" s="6" t="n">
        <f aca="false">P453*Q453*(1-U453)</f>
        <v>13039.952</v>
      </c>
      <c r="Z453" s="6" t="n">
        <f aca="false">Y453-W453</f>
        <v>1912.132</v>
      </c>
      <c r="AA453" s="8" t="n">
        <f aca="false">IF(Y453=0,0,Z453/Y453)</f>
        <v>0.14663642933655</v>
      </c>
      <c r="AB453" s="3" t="str">
        <f aca="false">IF(ABS(V453-Y453)&gt;1,"Mismatch","OK")</f>
        <v>OK</v>
      </c>
      <c r="AC453" s="3" t="str">
        <f aca="false">IF(ABS(X453-Z453)&gt;1,"Mismatch","OK")</f>
        <v>OK</v>
      </c>
      <c r="AD453" s="5" t="n">
        <f aca="false">IF(OR(B453="",C453=""),"",C453-B453)</f>
        <v>2</v>
      </c>
      <c r="AE453" s="3" t="str">
        <f aca="false">IF(AD453="","Unknown",IF(AD453&lt;0,"Invalid - Ship Before Order","OK"))</f>
        <v>OK</v>
      </c>
      <c r="AF453" s="5" t="n">
        <f aca="false">IF(B453="","",MONTH(B453))</f>
        <v>3</v>
      </c>
      <c r="AG453" s="5" t="n">
        <f aca="false">IF(B453="","",YEAR(B453))</f>
        <v>2024</v>
      </c>
      <c r="AH453" s="3" t="s">
        <v>52</v>
      </c>
      <c r="AI453" s="3" t="s">
        <v>93</v>
      </c>
      <c r="AJ453" s="3" t="str">
        <f aca="false">IF(AND(AI453="Completed",AH453="Failed"),"Inconsistent - Completed Order with Failed Payment","OK")</f>
        <v>OK</v>
      </c>
      <c r="AK453" s="3" t="s">
        <v>54</v>
      </c>
      <c r="AL453" s="3" t="str">
        <f aca="false">IF(OR(T453="Negative - Invalid",T453="Above Allowed Range - Invalid",AE453="Invalid - Ship Before Order",AK453&lt;&gt;"Unique",AB453="Mismatch",AC453="Mismatch",AJ453&lt;&gt;"OK"),"Invalid",IF(OR(H453="Yes",O453="Yes",T453="Missing"),"Warning","Clean"))</f>
        <v>Clean</v>
      </c>
    </row>
    <row r="454" customFormat="false" ht="15" hidden="false" customHeight="true" outlineLevel="0" collapsed="false">
      <c r="A454" s="3" t="s">
        <v>1498</v>
      </c>
      <c r="B454" s="4" t="n">
        <v>45422</v>
      </c>
      <c r="C454" s="4" t="n">
        <v>45428</v>
      </c>
      <c r="D454" s="3" t="s">
        <v>1499</v>
      </c>
      <c r="E454" s="3" t="s">
        <v>192</v>
      </c>
      <c r="F454" s="3" t="s">
        <v>121</v>
      </c>
      <c r="G454" s="3" t="s">
        <v>59</v>
      </c>
      <c r="H454" s="3" t="s">
        <v>43</v>
      </c>
      <c r="I454" s="3" t="s">
        <v>262</v>
      </c>
      <c r="J454" s="3" t="s">
        <v>263</v>
      </c>
      <c r="K454" s="3" t="s">
        <v>99</v>
      </c>
      <c r="L454" s="3" t="s">
        <v>100</v>
      </c>
      <c r="M454" s="3" t="s">
        <v>1500</v>
      </c>
      <c r="N454" s="3" t="s">
        <v>49</v>
      </c>
      <c r="O454" s="3" t="s">
        <v>43</v>
      </c>
      <c r="P454" s="5" t="n">
        <v>6</v>
      </c>
      <c r="Q454" s="6" t="n">
        <v>2013.33</v>
      </c>
      <c r="R454" s="3" t="s">
        <v>50</v>
      </c>
      <c r="S454" s="7" t="n">
        <v>0.2</v>
      </c>
      <c r="T454" s="3" t="s">
        <v>51</v>
      </c>
      <c r="U454" s="7" t="n">
        <f aca="false">IF(T454="Valid",S454,0)</f>
        <v>0.2</v>
      </c>
      <c r="V454" s="6" t="n">
        <v>9663.98</v>
      </c>
      <c r="W454" s="6" t="n">
        <v>5628.93</v>
      </c>
      <c r="X454" s="6" t="n">
        <v>4035.05</v>
      </c>
      <c r="Y454" s="6" t="n">
        <f aca="false">P454*Q454*(1-U454)</f>
        <v>9663.984</v>
      </c>
      <c r="Z454" s="6" t="n">
        <f aca="false">Y454-W454</f>
        <v>4035.054</v>
      </c>
      <c r="AA454" s="8" t="n">
        <f aca="false">IF(Y454=0,0,Z454/Y454)</f>
        <v>0.417535252541809</v>
      </c>
      <c r="AB454" s="3" t="str">
        <f aca="false">IF(ABS(V454-Y454)&gt;1,"Mismatch","OK")</f>
        <v>OK</v>
      </c>
      <c r="AC454" s="3" t="str">
        <f aca="false">IF(ABS(X454-Z454)&gt;1,"Mismatch","OK")</f>
        <v>OK</v>
      </c>
      <c r="AD454" s="5" t="n">
        <f aca="false">IF(OR(B454="",C454=""),"",C454-B454)</f>
        <v>6</v>
      </c>
      <c r="AE454" s="3" t="str">
        <f aca="false">IF(AD454="","Unknown",IF(AD454&lt;0,"Invalid - Ship Before Order","OK"))</f>
        <v>OK</v>
      </c>
      <c r="AF454" s="5" t="n">
        <f aca="false">IF(B454="","",MONTH(B454))</f>
        <v>5</v>
      </c>
      <c r="AG454" s="5" t="n">
        <f aca="false">IF(B454="","",YEAR(B454))</f>
        <v>2024</v>
      </c>
      <c r="AH454" s="3" t="s">
        <v>52</v>
      </c>
      <c r="AI454" s="3" t="s">
        <v>53</v>
      </c>
      <c r="AJ454" s="3" t="str">
        <f aca="false">IF(AND(AI454="Completed",AH454="Failed"),"Inconsistent - Completed Order with Failed Payment","OK")</f>
        <v>OK</v>
      </c>
      <c r="AK454" s="3" t="s">
        <v>54</v>
      </c>
      <c r="AL454" s="3" t="str">
        <f aca="false">IF(OR(T454="Negative - Invalid",T454="Above Allowed Range - Invalid",AE454="Invalid - Ship Before Order",AK454&lt;&gt;"Unique",AB454="Mismatch",AC454="Mismatch",AJ454&lt;&gt;"OK"),"Invalid",IF(OR(H454="Yes",O454="Yes",T454="Missing"),"Warning","Clean"))</f>
        <v>Clean</v>
      </c>
    </row>
    <row r="455" customFormat="false" ht="15" hidden="false" customHeight="true" outlineLevel="0" collapsed="false">
      <c r="A455" s="3" t="s">
        <v>1501</v>
      </c>
      <c r="B455" s="4" t="n">
        <v>45780</v>
      </c>
      <c r="C455" s="4" t="n">
        <v>45788</v>
      </c>
      <c r="D455" s="3" t="s">
        <v>1502</v>
      </c>
      <c r="E455" s="3" t="s">
        <v>168</v>
      </c>
      <c r="F455" s="3" t="s">
        <v>58</v>
      </c>
      <c r="G455" s="3" t="s">
        <v>88</v>
      </c>
      <c r="H455" s="3" t="s">
        <v>43</v>
      </c>
      <c r="I455" s="3" t="s">
        <v>97</v>
      </c>
      <c r="J455" s="3" t="s">
        <v>98</v>
      </c>
      <c r="K455" s="3" t="s">
        <v>46</v>
      </c>
      <c r="L455" s="3" t="s">
        <v>117</v>
      </c>
      <c r="M455" s="3" t="s">
        <v>1503</v>
      </c>
      <c r="N455" s="3" t="s">
        <v>65</v>
      </c>
      <c r="O455" s="3" t="s">
        <v>43</v>
      </c>
      <c r="P455" s="5" t="n">
        <v>5</v>
      </c>
      <c r="Q455" s="6" t="n">
        <v>1483.52</v>
      </c>
      <c r="R455" s="3" t="s">
        <v>66</v>
      </c>
      <c r="S455" s="7" t="n">
        <v>0</v>
      </c>
      <c r="T455" s="3" t="s">
        <v>51</v>
      </c>
      <c r="U455" s="7" t="n">
        <f aca="false">IF(T455="Valid",S455,0)</f>
        <v>0</v>
      </c>
      <c r="V455" s="6" t="n">
        <v>7417.6</v>
      </c>
      <c r="W455" s="6" t="n">
        <v>4955.86</v>
      </c>
      <c r="X455" s="6" t="n">
        <v>2461.74</v>
      </c>
      <c r="Y455" s="6" t="n">
        <f aca="false">P455*Q455*(1-U455)</f>
        <v>7417.6</v>
      </c>
      <c r="Z455" s="6" t="n">
        <f aca="false">Y455-W455</f>
        <v>2461.74</v>
      </c>
      <c r="AA455" s="8" t="n">
        <f aca="false">IF(Y455=0,0,Z455/Y455)</f>
        <v>0.331878235547886</v>
      </c>
      <c r="AB455" s="3" t="str">
        <f aca="false">IF(ABS(V455-Y455)&gt;1,"Mismatch","OK")</f>
        <v>OK</v>
      </c>
      <c r="AC455" s="3" t="str">
        <f aca="false">IF(ABS(X455-Z455)&gt;1,"Mismatch","OK")</f>
        <v>OK</v>
      </c>
      <c r="AD455" s="5" t="n">
        <f aca="false">IF(OR(B455="",C455=""),"",C455-B455)</f>
        <v>8</v>
      </c>
      <c r="AE455" s="3" t="str">
        <f aca="false">IF(AD455="","Unknown",IF(AD455&lt;0,"Invalid - Ship Before Order","OK"))</f>
        <v>OK</v>
      </c>
      <c r="AF455" s="5" t="n">
        <f aca="false">IF(B455="","",MONTH(B455))</f>
        <v>5</v>
      </c>
      <c r="AG455" s="5" t="n">
        <f aca="false">IF(B455="","",YEAR(B455))</f>
        <v>2025</v>
      </c>
      <c r="AH455" s="3" t="s">
        <v>52</v>
      </c>
      <c r="AI455" s="3" t="s">
        <v>53</v>
      </c>
      <c r="AJ455" s="3" t="str">
        <f aca="false">IF(AND(AI455="Completed",AH455="Failed"),"Inconsistent - Completed Order with Failed Payment","OK")</f>
        <v>OK</v>
      </c>
      <c r="AK455" s="3" t="s">
        <v>54</v>
      </c>
      <c r="AL455" s="3" t="str">
        <f aca="false">IF(OR(T455="Negative - Invalid",T455="Above Allowed Range - Invalid",AE455="Invalid - Ship Before Order",AK455&lt;&gt;"Unique",AB455="Mismatch",AC455="Mismatch",AJ455&lt;&gt;"OK"),"Invalid",IF(OR(H455="Yes",O455="Yes",T455="Missing"),"Warning","Clean"))</f>
        <v>Clean</v>
      </c>
    </row>
    <row r="456" customFormat="false" ht="15" hidden="false" customHeight="true" outlineLevel="0" collapsed="false">
      <c r="A456" s="3" t="s">
        <v>1504</v>
      </c>
      <c r="B456" s="4" t="n">
        <v>45739</v>
      </c>
      <c r="C456" s="4" t="n">
        <v>45744</v>
      </c>
      <c r="D456" s="3" t="s">
        <v>1505</v>
      </c>
      <c r="E456" s="3" t="s">
        <v>96</v>
      </c>
      <c r="F456" s="3" t="s">
        <v>58</v>
      </c>
      <c r="G456" s="3" t="s">
        <v>42</v>
      </c>
      <c r="H456" s="3" t="s">
        <v>43</v>
      </c>
      <c r="I456" s="3" t="s">
        <v>44</v>
      </c>
      <c r="J456" s="3" t="s">
        <v>45</v>
      </c>
      <c r="K456" s="3" t="s">
        <v>62</v>
      </c>
      <c r="L456" s="3" t="s">
        <v>81</v>
      </c>
      <c r="M456" s="3" t="s">
        <v>1506</v>
      </c>
      <c r="N456" s="3" t="s">
        <v>83</v>
      </c>
      <c r="O456" s="3" t="s">
        <v>43</v>
      </c>
      <c r="P456" s="5" t="n">
        <v>9</v>
      </c>
      <c r="Q456" s="6" t="n">
        <v>3298</v>
      </c>
      <c r="R456" s="3" t="s">
        <v>107</v>
      </c>
      <c r="S456" s="7" t="n">
        <v>0.15</v>
      </c>
      <c r="T456" s="3" t="s">
        <v>51</v>
      </c>
      <c r="U456" s="7" t="n">
        <f aca="false">IF(T456="Valid",S456,0)</f>
        <v>0.15</v>
      </c>
      <c r="V456" s="6" t="n">
        <v>25229.7</v>
      </c>
      <c r="W456" s="6" t="n">
        <v>20170.43</v>
      </c>
      <c r="X456" s="6" t="n">
        <v>5059.27</v>
      </c>
      <c r="Y456" s="6" t="n">
        <f aca="false">P456*Q456*(1-U456)</f>
        <v>25229.7</v>
      </c>
      <c r="Z456" s="6" t="n">
        <f aca="false">Y456-W456</f>
        <v>5059.27</v>
      </c>
      <c r="AA456" s="8" t="n">
        <f aca="false">IF(Y456=0,0,Z456/Y456)</f>
        <v>0.200528345560986</v>
      </c>
      <c r="AB456" s="3" t="str">
        <f aca="false">IF(ABS(V456-Y456)&gt;1,"Mismatch","OK")</f>
        <v>OK</v>
      </c>
      <c r="AC456" s="3" t="str">
        <f aca="false">IF(ABS(X456-Z456)&gt;1,"Mismatch","OK")</f>
        <v>OK</v>
      </c>
      <c r="AD456" s="5" t="n">
        <f aca="false">IF(OR(B456="",C456=""),"",C456-B456)</f>
        <v>5</v>
      </c>
      <c r="AE456" s="3" t="str">
        <f aca="false">IF(AD456="","Unknown",IF(AD456&lt;0,"Invalid - Ship Before Order","OK"))</f>
        <v>OK</v>
      </c>
      <c r="AF456" s="5" t="n">
        <f aca="false">IF(B456="","",MONTH(B456))</f>
        <v>3</v>
      </c>
      <c r="AG456" s="5" t="n">
        <f aca="false">IF(B456="","",YEAR(B456))</f>
        <v>2025</v>
      </c>
      <c r="AH456" s="3" t="s">
        <v>52</v>
      </c>
      <c r="AI456" s="3" t="s">
        <v>53</v>
      </c>
      <c r="AJ456" s="3" t="str">
        <f aca="false">IF(AND(AI456="Completed",AH456="Failed"),"Inconsistent - Completed Order with Failed Payment","OK")</f>
        <v>OK</v>
      </c>
      <c r="AK456" s="3" t="s">
        <v>54</v>
      </c>
      <c r="AL456" s="3" t="str">
        <f aca="false">IF(OR(T456="Negative - Invalid",T456="Above Allowed Range - Invalid",AE456="Invalid - Ship Before Order",AK456&lt;&gt;"Unique",AB456="Mismatch",AC456="Mismatch",AJ456&lt;&gt;"OK"),"Invalid",IF(OR(H456="Yes",O456="Yes",T456="Missing"),"Warning","Clean"))</f>
        <v>Clean</v>
      </c>
    </row>
    <row r="457" customFormat="false" ht="15" hidden="false" customHeight="true" outlineLevel="0" collapsed="false">
      <c r="A457" s="3" t="s">
        <v>1507</v>
      </c>
      <c r="B457" s="4" t="n">
        <v>45491</v>
      </c>
      <c r="C457" s="4" t="n">
        <v>45495</v>
      </c>
      <c r="D457" s="3" t="s">
        <v>1508</v>
      </c>
      <c r="E457" s="3" t="s">
        <v>104</v>
      </c>
      <c r="F457" s="3" t="s">
        <v>58</v>
      </c>
      <c r="G457" s="3" t="s">
        <v>78</v>
      </c>
      <c r="H457" s="3" t="s">
        <v>43</v>
      </c>
      <c r="I457" s="3" t="s">
        <v>79</v>
      </c>
      <c r="J457" s="3" t="s">
        <v>80</v>
      </c>
      <c r="K457" s="3" t="s">
        <v>46</v>
      </c>
      <c r="L457" s="3" t="s">
        <v>70</v>
      </c>
      <c r="M457" s="3" t="s">
        <v>1509</v>
      </c>
      <c r="N457" s="3" t="s">
        <v>83</v>
      </c>
      <c r="O457" s="3" t="s">
        <v>43</v>
      </c>
      <c r="P457" s="5" t="n">
        <v>4</v>
      </c>
      <c r="Q457" s="6" t="n">
        <v>808.77</v>
      </c>
      <c r="R457" s="3" t="s">
        <v>66</v>
      </c>
      <c r="S457" s="7" t="n">
        <v>0</v>
      </c>
      <c r="T457" s="3" t="s">
        <v>51</v>
      </c>
      <c r="U457" s="7" t="n">
        <f aca="false">IF(T457="Valid",S457,0)</f>
        <v>0</v>
      </c>
      <c r="V457" s="6" t="n">
        <v>3235.08</v>
      </c>
      <c r="W457" s="6" t="n">
        <v>1848.6</v>
      </c>
      <c r="X457" s="6" t="n">
        <v>1386.48</v>
      </c>
      <c r="Y457" s="6" t="n">
        <f aca="false">P457*Q457*(1-U457)</f>
        <v>3235.08</v>
      </c>
      <c r="Z457" s="6" t="n">
        <f aca="false">Y457-W457</f>
        <v>1386.48</v>
      </c>
      <c r="AA457" s="8" t="n">
        <f aca="false">IF(Y457=0,0,Z457/Y457)</f>
        <v>0.428576727623428</v>
      </c>
      <c r="AB457" s="3" t="str">
        <f aca="false">IF(ABS(V457-Y457)&gt;1,"Mismatch","OK")</f>
        <v>OK</v>
      </c>
      <c r="AC457" s="3" t="str">
        <f aca="false">IF(ABS(X457-Z457)&gt;1,"Mismatch","OK")</f>
        <v>OK</v>
      </c>
      <c r="AD457" s="5" t="n">
        <f aca="false">IF(OR(B457="",C457=""),"",C457-B457)</f>
        <v>4</v>
      </c>
      <c r="AE457" s="3" t="str">
        <f aca="false">IF(AD457="","Unknown",IF(AD457&lt;0,"Invalid - Ship Before Order","OK"))</f>
        <v>OK</v>
      </c>
      <c r="AF457" s="5" t="n">
        <f aca="false">IF(B457="","",MONTH(B457))</f>
        <v>7</v>
      </c>
      <c r="AG457" s="5" t="n">
        <f aca="false">IF(B457="","",YEAR(B457))</f>
        <v>2024</v>
      </c>
      <c r="AH457" s="3" t="s">
        <v>52</v>
      </c>
      <c r="AI457" s="3" t="s">
        <v>53</v>
      </c>
      <c r="AJ457" s="3" t="str">
        <f aca="false">IF(AND(AI457="Completed",AH457="Failed"),"Inconsistent - Completed Order with Failed Payment","OK")</f>
        <v>OK</v>
      </c>
      <c r="AK457" s="3" t="s">
        <v>54</v>
      </c>
      <c r="AL457" s="3" t="str">
        <f aca="false">IF(OR(T457="Negative - Invalid",T457="Above Allowed Range - Invalid",AE457="Invalid - Ship Before Order",AK457&lt;&gt;"Unique",AB457="Mismatch",AC457="Mismatch",AJ457&lt;&gt;"OK"),"Invalid",IF(OR(H457="Yes",O457="Yes",T457="Missing"),"Warning","Clean"))</f>
        <v>Clean</v>
      </c>
    </row>
    <row r="458" customFormat="false" ht="15" hidden="false" customHeight="true" outlineLevel="0" collapsed="false">
      <c r="A458" s="3" t="s">
        <v>1510</v>
      </c>
      <c r="B458" s="4" t="n">
        <v>45342</v>
      </c>
      <c r="C458" s="4" t="n">
        <v>45342</v>
      </c>
      <c r="D458" s="3" t="s">
        <v>1511</v>
      </c>
      <c r="E458" s="3" t="s">
        <v>104</v>
      </c>
      <c r="F458" s="3" t="s">
        <v>116</v>
      </c>
      <c r="G458" s="3" t="s">
        <v>42</v>
      </c>
      <c r="H458" s="3" t="s">
        <v>43</v>
      </c>
      <c r="I458" s="3" t="s">
        <v>163</v>
      </c>
      <c r="J458" s="3" t="s">
        <v>164</v>
      </c>
      <c r="K458" s="3" t="s">
        <v>99</v>
      </c>
      <c r="L458" s="3" t="s">
        <v>100</v>
      </c>
      <c r="M458" s="3" t="s">
        <v>1512</v>
      </c>
      <c r="N458" s="3" t="s">
        <v>65</v>
      </c>
      <c r="O458" s="3" t="s">
        <v>43</v>
      </c>
      <c r="P458" s="5" t="n">
        <v>5</v>
      </c>
      <c r="Q458" s="6" t="n">
        <v>2604.91</v>
      </c>
      <c r="R458" s="3" t="s">
        <v>107</v>
      </c>
      <c r="S458" s="7" t="n">
        <v>0.15</v>
      </c>
      <c r="T458" s="3" t="s">
        <v>51</v>
      </c>
      <c r="U458" s="7" t="n">
        <f aca="false">IF(T458="Valid",S458,0)</f>
        <v>0.15</v>
      </c>
      <c r="V458" s="6" t="n">
        <v>11070.87</v>
      </c>
      <c r="W458" s="6" t="n">
        <v>6623.61</v>
      </c>
      <c r="X458" s="6" t="n">
        <v>4447.26</v>
      </c>
      <c r="Y458" s="6" t="n">
        <f aca="false">P458*Q458*(1-U458)</f>
        <v>11070.8675</v>
      </c>
      <c r="Z458" s="6" t="n">
        <f aca="false">Y458-W458</f>
        <v>4447.2575</v>
      </c>
      <c r="AA458" s="8" t="n">
        <f aca="false">IF(Y458=0,0,Z458/Y458)</f>
        <v>0.401708131724998</v>
      </c>
      <c r="AB458" s="3" t="str">
        <f aca="false">IF(ABS(V458-Y458)&gt;1,"Mismatch","OK")</f>
        <v>OK</v>
      </c>
      <c r="AC458" s="3" t="str">
        <f aca="false">IF(ABS(X458-Z458)&gt;1,"Mismatch","OK")</f>
        <v>OK</v>
      </c>
      <c r="AD458" s="5" t="n">
        <f aca="false">IF(OR(B458="",C458=""),"",C458-B458)</f>
        <v>0</v>
      </c>
      <c r="AE458" s="3" t="str">
        <f aca="false">IF(AD458="","Unknown",IF(AD458&lt;0,"Invalid - Ship Before Order","OK"))</f>
        <v>OK</v>
      </c>
      <c r="AF458" s="5" t="n">
        <f aca="false">IF(B458="","",MONTH(B458))</f>
        <v>2</v>
      </c>
      <c r="AG458" s="5" t="n">
        <f aca="false">IF(B458="","",YEAR(B458))</f>
        <v>2024</v>
      </c>
      <c r="AH458" s="3" t="s">
        <v>52</v>
      </c>
      <c r="AI458" s="3" t="s">
        <v>130</v>
      </c>
      <c r="AJ458" s="3" t="str">
        <f aca="false">IF(AND(AI458="Completed",AH458="Failed"),"Inconsistent - Completed Order with Failed Payment","OK")</f>
        <v>OK</v>
      </c>
      <c r="AK458" s="3" t="s">
        <v>54</v>
      </c>
      <c r="AL458" s="3" t="str">
        <f aca="false">IF(OR(T458="Negative - Invalid",T458="Above Allowed Range - Invalid",AE458="Invalid - Ship Before Order",AK458&lt;&gt;"Unique",AB458="Mismatch",AC458="Mismatch",AJ458&lt;&gt;"OK"),"Invalid",IF(OR(H458="Yes",O458="Yes",T458="Missing"),"Warning","Clean"))</f>
        <v>Clean</v>
      </c>
    </row>
    <row r="459" customFormat="false" ht="15" hidden="false" customHeight="true" outlineLevel="0" collapsed="false">
      <c r="A459" s="3" t="s">
        <v>1513</v>
      </c>
      <c r="B459" s="4" t="n">
        <v>45416</v>
      </c>
      <c r="C459" s="4" t="n">
        <v>45416</v>
      </c>
      <c r="D459" s="3" t="s">
        <v>1514</v>
      </c>
      <c r="E459" s="3" t="s">
        <v>57</v>
      </c>
      <c r="F459" s="3" t="s">
        <v>58</v>
      </c>
      <c r="G459" s="3" t="s">
        <v>88</v>
      </c>
      <c r="H459" s="3" t="s">
        <v>43</v>
      </c>
      <c r="I459" s="3" t="s">
        <v>221</v>
      </c>
      <c r="J459" s="3" t="s">
        <v>222</v>
      </c>
      <c r="K459" s="3" t="s">
        <v>62</v>
      </c>
      <c r="L459" s="3" t="s">
        <v>63</v>
      </c>
      <c r="M459" s="3" t="s">
        <v>1515</v>
      </c>
      <c r="N459" s="3" t="s">
        <v>83</v>
      </c>
      <c r="O459" s="3" t="s">
        <v>43</v>
      </c>
      <c r="P459" s="5" t="n">
        <v>7</v>
      </c>
      <c r="Q459" s="6" t="n">
        <v>2851.51</v>
      </c>
      <c r="R459" s="3" t="s">
        <v>66</v>
      </c>
      <c r="S459" s="7" t="n">
        <v>0</v>
      </c>
      <c r="T459" s="3" t="s">
        <v>51</v>
      </c>
      <c r="U459" s="7" t="n">
        <f aca="false">IF(T459="Valid",S459,0)</f>
        <v>0</v>
      </c>
      <c r="V459" s="6" t="n">
        <v>19960.57</v>
      </c>
      <c r="W459" s="6" t="n">
        <v>16603.6</v>
      </c>
      <c r="X459" s="6" t="n">
        <v>3356.97</v>
      </c>
      <c r="Y459" s="6" t="n">
        <f aca="false">P459*Q459*(1-U459)</f>
        <v>19960.57</v>
      </c>
      <c r="Z459" s="6" t="n">
        <f aca="false">Y459-W459</f>
        <v>3356.97</v>
      </c>
      <c r="AA459" s="8" t="n">
        <f aca="false">IF(Y459=0,0,Z459/Y459)</f>
        <v>0.168180067002095</v>
      </c>
      <c r="AB459" s="3" t="str">
        <f aca="false">IF(ABS(V459-Y459)&gt;1,"Mismatch","OK")</f>
        <v>OK</v>
      </c>
      <c r="AC459" s="3" t="str">
        <f aca="false">IF(ABS(X459-Z459)&gt;1,"Mismatch","OK")</f>
        <v>OK</v>
      </c>
      <c r="AD459" s="5" t="n">
        <f aca="false">IF(OR(B459="",C459=""),"",C459-B459)</f>
        <v>0</v>
      </c>
      <c r="AE459" s="3" t="str">
        <f aca="false">IF(AD459="","Unknown",IF(AD459&lt;0,"Invalid - Ship Before Order","OK"))</f>
        <v>OK</v>
      </c>
      <c r="AF459" s="5" t="n">
        <f aca="false">IF(B459="","",MONTH(B459))</f>
        <v>5</v>
      </c>
      <c r="AG459" s="5" t="n">
        <f aca="false">IF(B459="","",YEAR(B459))</f>
        <v>2024</v>
      </c>
      <c r="AH459" s="3" t="s">
        <v>52</v>
      </c>
      <c r="AI459" s="3" t="s">
        <v>53</v>
      </c>
      <c r="AJ459" s="3" t="str">
        <f aca="false">IF(AND(AI459="Completed",AH459="Failed"),"Inconsistent - Completed Order with Failed Payment","OK")</f>
        <v>OK</v>
      </c>
      <c r="AK459" s="3" t="s">
        <v>54</v>
      </c>
      <c r="AL459" s="3" t="str">
        <f aca="false">IF(OR(T459="Negative - Invalid",T459="Above Allowed Range - Invalid",AE459="Invalid - Ship Before Order",AK459&lt;&gt;"Unique",AB459="Mismatch",AC459="Mismatch",AJ459&lt;&gt;"OK"),"Invalid",IF(OR(H459="Yes",O459="Yes",T459="Missing"),"Warning","Clean"))</f>
        <v>Clean</v>
      </c>
    </row>
    <row r="460" customFormat="false" ht="15" hidden="false" customHeight="true" outlineLevel="0" collapsed="false">
      <c r="A460" s="3" t="s">
        <v>1516</v>
      </c>
      <c r="B460" s="4" t="n">
        <v>45332</v>
      </c>
      <c r="C460" s="4" t="n">
        <v>45333</v>
      </c>
      <c r="D460" s="3" t="s">
        <v>1517</v>
      </c>
      <c r="E460" s="3" t="s">
        <v>40</v>
      </c>
      <c r="F460" s="3" t="s">
        <v>116</v>
      </c>
      <c r="G460" s="3" t="s">
        <v>42</v>
      </c>
      <c r="H460" s="3" t="s">
        <v>43</v>
      </c>
      <c r="I460" s="3" t="s">
        <v>44</v>
      </c>
      <c r="J460" s="3" t="s">
        <v>45</v>
      </c>
      <c r="K460" s="3" t="s">
        <v>99</v>
      </c>
      <c r="L460" s="3" t="s">
        <v>201</v>
      </c>
      <c r="M460" s="3" t="s">
        <v>1518</v>
      </c>
      <c r="N460" s="3" t="s">
        <v>49</v>
      </c>
      <c r="O460" s="3" t="s">
        <v>43</v>
      </c>
      <c r="P460" s="5" t="n">
        <v>3</v>
      </c>
      <c r="Q460" s="6" t="n">
        <v>3183.72</v>
      </c>
      <c r="R460" s="3" t="s">
        <v>203</v>
      </c>
      <c r="S460" s="7" t="n">
        <v>0.1</v>
      </c>
      <c r="T460" s="3" t="s">
        <v>51</v>
      </c>
      <c r="U460" s="7" t="n">
        <f aca="false">IF(T460="Valid",S460,0)</f>
        <v>0.1</v>
      </c>
      <c r="V460" s="6" t="n">
        <v>8596.04</v>
      </c>
      <c r="W460" s="6" t="n">
        <v>5378.16</v>
      </c>
      <c r="X460" s="6" t="n">
        <v>3217.88</v>
      </c>
      <c r="Y460" s="6" t="n">
        <f aca="false">P460*Q460*(1-U460)</f>
        <v>8596.044</v>
      </c>
      <c r="Z460" s="6" t="n">
        <f aca="false">Y460-W460</f>
        <v>3217.884</v>
      </c>
      <c r="AA460" s="8" t="n">
        <f aca="false">IF(Y460=0,0,Z460/Y460)</f>
        <v>0.37434475672763</v>
      </c>
      <c r="AB460" s="3" t="str">
        <f aca="false">IF(ABS(V460-Y460)&gt;1,"Mismatch","OK")</f>
        <v>OK</v>
      </c>
      <c r="AC460" s="3" t="str">
        <f aca="false">IF(ABS(X460-Z460)&gt;1,"Mismatch","OK")</f>
        <v>OK</v>
      </c>
      <c r="AD460" s="5" t="n">
        <f aca="false">IF(OR(B460="",C460=""),"",C460-B460)</f>
        <v>1</v>
      </c>
      <c r="AE460" s="3" t="str">
        <f aca="false">IF(AD460="","Unknown",IF(AD460&lt;0,"Invalid - Ship Before Order","OK"))</f>
        <v>OK</v>
      </c>
      <c r="AF460" s="5" t="n">
        <f aca="false">IF(B460="","",MONTH(B460))</f>
        <v>2</v>
      </c>
      <c r="AG460" s="5" t="n">
        <f aca="false">IF(B460="","",YEAR(B460))</f>
        <v>2024</v>
      </c>
      <c r="AH460" s="3" t="s">
        <v>52</v>
      </c>
      <c r="AI460" s="3" t="s">
        <v>53</v>
      </c>
      <c r="AJ460" s="3" t="str">
        <f aca="false">IF(AND(AI460="Completed",AH460="Failed"),"Inconsistent - Completed Order with Failed Payment","OK")</f>
        <v>OK</v>
      </c>
      <c r="AK460" s="3" t="s">
        <v>54</v>
      </c>
      <c r="AL460" s="3" t="str">
        <f aca="false">IF(OR(T460="Negative - Invalid",T460="Above Allowed Range - Invalid",AE460="Invalid - Ship Before Order",AK460&lt;&gt;"Unique",AB460="Mismatch",AC460="Mismatch",AJ460&lt;&gt;"OK"),"Invalid",IF(OR(H460="Yes",O460="Yes",T460="Missing"),"Warning","Clean"))</f>
        <v>Clean</v>
      </c>
    </row>
    <row r="461" customFormat="false" ht="15" hidden="false" customHeight="true" outlineLevel="0" collapsed="false">
      <c r="A461" s="3" t="s">
        <v>1519</v>
      </c>
      <c r="B461" s="4" t="n">
        <v>45379</v>
      </c>
      <c r="C461" s="4" t="n">
        <v>45386</v>
      </c>
      <c r="D461" s="3" t="s">
        <v>1520</v>
      </c>
      <c r="E461" s="3" t="s">
        <v>87</v>
      </c>
      <c r="F461" s="3" t="s">
        <v>121</v>
      </c>
      <c r="G461" s="3" t="s">
        <v>88</v>
      </c>
      <c r="H461" s="3" t="s">
        <v>43</v>
      </c>
      <c r="I461" s="3" t="s">
        <v>221</v>
      </c>
      <c r="J461" s="3" t="s">
        <v>222</v>
      </c>
      <c r="K461" s="3" t="s">
        <v>46</v>
      </c>
      <c r="L461" s="3" t="s">
        <v>47</v>
      </c>
      <c r="M461" s="3" t="s">
        <v>1521</v>
      </c>
      <c r="N461" s="3" t="s">
        <v>72</v>
      </c>
      <c r="O461" s="3" t="s">
        <v>43</v>
      </c>
      <c r="P461" s="5" t="n">
        <v>3</v>
      </c>
      <c r="Q461" s="6" t="n">
        <v>1150.92</v>
      </c>
      <c r="R461" s="3" t="s">
        <v>66</v>
      </c>
      <c r="S461" s="7" t="n">
        <v>0</v>
      </c>
      <c r="T461" s="3" t="s">
        <v>51</v>
      </c>
      <c r="U461" s="7" t="n">
        <f aca="false">IF(T461="Valid",S461,0)</f>
        <v>0</v>
      </c>
      <c r="V461" s="6" t="n">
        <v>3452.76</v>
      </c>
      <c r="W461" s="6" t="n">
        <v>2077.96</v>
      </c>
      <c r="X461" s="6" t="n">
        <v>1374.8</v>
      </c>
      <c r="Y461" s="6" t="n">
        <f aca="false">P461*Q461*(1-U461)</f>
        <v>3452.76</v>
      </c>
      <c r="Z461" s="6" t="n">
        <f aca="false">Y461-W461</f>
        <v>1374.8</v>
      </c>
      <c r="AA461" s="8" t="n">
        <f aca="false">IF(Y461=0,0,Z461/Y461)</f>
        <v>0.398174214251787</v>
      </c>
      <c r="AB461" s="3" t="str">
        <f aca="false">IF(ABS(V461-Y461)&gt;1,"Mismatch","OK")</f>
        <v>OK</v>
      </c>
      <c r="AC461" s="3" t="str">
        <f aca="false">IF(ABS(X461-Z461)&gt;1,"Mismatch","OK")</f>
        <v>OK</v>
      </c>
      <c r="AD461" s="5" t="n">
        <f aca="false">IF(OR(B461="",C461=""),"",C461-B461)</f>
        <v>7</v>
      </c>
      <c r="AE461" s="3" t="str">
        <f aca="false">IF(AD461="","Unknown",IF(AD461&lt;0,"Invalid - Ship Before Order","OK"))</f>
        <v>OK</v>
      </c>
      <c r="AF461" s="5" t="n">
        <f aca="false">IF(B461="","",MONTH(B461))</f>
        <v>3</v>
      </c>
      <c r="AG461" s="5" t="n">
        <f aca="false">IF(B461="","",YEAR(B461))</f>
        <v>2024</v>
      </c>
      <c r="AH461" s="3" t="s">
        <v>52</v>
      </c>
      <c r="AI461" s="3" t="s">
        <v>53</v>
      </c>
      <c r="AJ461" s="3" t="str">
        <f aca="false">IF(AND(AI461="Completed",AH461="Failed"),"Inconsistent - Completed Order with Failed Payment","OK")</f>
        <v>OK</v>
      </c>
      <c r="AK461" s="3" t="s">
        <v>54</v>
      </c>
      <c r="AL461" s="3" t="str">
        <f aca="false">IF(OR(T461="Negative - Invalid",T461="Above Allowed Range - Invalid",AE461="Invalid - Ship Before Order",AK461&lt;&gt;"Unique",AB461="Mismatch",AC461="Mismatch",AJ461&lt;&gt;"OK"),"Invalid",IF(OR(H461="Yes",O461="Yes",T461="Missing"),"Warning","Clean"))</f>
        <v>Clean</v>
      </c>
    </row>
    <row r="462" customFormat="false" ht="15" hidden="false" customHeight="true" outlineLevel="0" collapsed="false">
      <c r="A462" s="3" t="s">
        <v>1522</v>
      </c>
      <c r="B462" s="4" t="n">
        <v>45930</v>
      </c>
      <c r="C462" s="4" t="n">
        <v>45936</v>
      </c>
      <c r="D462" s="3" t="s">
        <v>1523</v>
      </c>
      <c r="E462" s="3" t="s">
        <v>155</v>
      </c>
      <c r="F462" s="3" t="s">
        <v>116</v>
      </c>
      <c r="G462" s="3" t="s">
        <v>237</v>
      </c>
      <c r="H462" s="3" t="s">
        <v>238</v>
      </c>
      <c r="I462" s="3" t="s">
        <v>44</v>
      </c>
      <c r="J462" s="3" t="s">
        <v>45</v>
      </c>
      <c r="K462" s="3" t="s">
        <v>99</v>
      </c>
      <c r="L462" s="3" t="s">
        <v>105</v>
      </c>
      <c r="M462" s="3" t="s">
        <v>1524</v>
      </c>
      <c r="N462" s="3" t="s">
        <v>49</v>
      </c>
      <c r="O462" s="3" t="s">
        <v>43</v>
      </c>
      <c r="P462" s="5" t="n">
        <v>9</v>
      </c>
      <c r="Q462" s="6" t="n">
        <v>1359.88</v>
      </c>
      <c r="R462" s="3" t="s">
        <v>128</v>
      </c>
      <c r="S462" s="7" t="n">
        <v>0.05</v>
      </c>
      <c r="T462" s="3" t="s">
        <v>51</v>
      </c>
      <c r="U462" s="7" t="n">
        <f aca="false">IF(T462="Valid",S462,0)</f>
        <v>0.05</v>
      </c>
      <c r="V462" s="6" t="n">
        <v>11626.97</v>
      </c>
      <c r="W462" s="6" t="n">
        <v>7394.07</v>
      </c>
      <c r="X462" s="6" t="n">
        <v>4232.9</v>
      </c>
      <c r="Y462" s="6" t="n">
        <f aca="false">P462*Q462*(1-U462)</f>
        <v>11626.974</v>
      </c>
      <c r="Z462" s="6" t="n">
        <f aca="false">Y462-W462</f>
        <v>4232.904</v>
      </c>
      <c r="AA462" s="8" t="n">
        <f aca="false">IF(Y462=0,0,Z462/Y462)</f>
        <v>0.364058954634284</v>
      </c>
      <c r="AB462" s="3" t="str">
        <f aca="false">IF(ABS(V462-Y462)&gt;1,"Mismatch","OK")</f>
        <v>OK</v>
      </c>
      <c r="AC462" s="3" t="str">
        <f aca="false">IF(ABS(X462-Z462)&gt;1,"Mismatch","OK")</f>
        <v>OK</v>
      </c>
      <c r="AD462" s="5" t="n">
        <f aca="false">IF(OR(B462="",C462=""),"",C462-B462)</f>
        <v>6</v>
      </c>
      <c r="AE462" s="3" t="str">
        <f aca="false">IF(AD462="","Unknown",IF(AD462&lt;0,"Invalid - Ship Before Order","OK"))</f>
        <v>OK</v>
      </c>
      <c r="AF462" s="5" t="n">
        <f aca="false">IF(B462="","",MONTH(B462))</f>
        <v>9</v>
      </c>
      <c r="AG462" s="5" t="n">
        <f aca="false">IF(B462="","",YEAR(B462))</f>
        <v>2025</v>
      </c>
      <c r="AH462" s="3" t="s">
        <v>52</v>
      </c>
      <c r="AI462" s="3" t="s">
        <v>53</v>
      </c>
      <c r="AJ462" s="3" t="str">
        <f aca="false">IF(AND(AI462="Completed",AH462="Failed"),"Inconsistent - Completed Order with Failed Payment","OK")</f>
        <v>OK</v>
      </c>
      <c r="AK462" s="3" t="s">
        <v>54</v>
      </c>
      <c r="AL462" s="3" t="str">
        <f aca="false">IF(OR(T462="Negative - Invalid",T462="Above Allowed Range - Invalid",AE462="Invalid - Ship Before Order",AK462&lt;&gt;"Unique",AB462="Mismatch",AC462="Mismatch",AJ462&lt;&gt;"OK"),"Invalid",IF(OR(H462="Yes",O462="Yes",T462="Missing"),"Warning","Clean"))</f>
        <v>Warning</v>
      </c>
    </row>
    <row r="463" customFormat="false" ht="15" hidden="false" customHeight="true" outlineLevel="0" collapsed="false">
      <c r="A463" s="3" t="s">
        <v>1525</v>
      </c>
      <c r="B463" s="4" t="n">
        <v>45802</v>
      </c>
      <c r="C463" s="4" t="n">
        <v>45803</v>
      </c>
      <c r="D463" s="3" t="s">
        <v>1526</v>
      </c>
      <c r="E463" s="3" t="s">
        <v>104</v>
      </c>
      <c r="F463" s="3" t="s">
        <v>116</v>
      </c>
      <c r="G463" s="3" t="s">
        <v>78</v>
      </c>
      <c r="H463" s="3" t="s">
        <v>43</v>
      </c>
      <c r="I463" s="3" t="s">
        <v>110</v>
      </c>
      <c r="J463" s="3" t="s">
        <v>111</v>
      </c>
      <c r="K463" s="3" t="s">
        <v>46</v>
      </c>
      <c r="L463" s="3" t="s">
        <v>47</v>
      </c>
      <c r="M463" s="3" t="s">
        <v>1527</v>
      </c>
      <c r="N463" s="3" t="s">
        <v>83</v>
      </c>
      <c r="O463" s="3" t="s">
        <v>43</v>
      </c>
      <c r="P463" s="5" t="n">
        <v>3</v>
      </c>
      <c r="Q463" s="6" t="n">
        <v>3378.15</v>
      </c>
      <c r="R463" s="3" t="s">
        <v>107</v>
      </c>
      <c r="S463" s="7" t="n">
        <v>0.15</v>
      </c>
      <c r="T463" s="3" t="s">
        <v>51</v>
      </c>
      <c r="U463" s="7" t="n">
        <f aca="false">IF(T463="Valid",S463,0)</f>
        <v>0.15</v>
      </c>
      <c r="V463" s="6" t="n">
        <v>8614.28</v>
      </c>
      <c r="W463" s="6" t="n">
        <v>7052.08</v>
      </c>
      <c r="X463" s="6" t="n">
        <v>1562.2</v>
      </c>
      <c r="Y463" s="6" t="n">
        <f aca="false">P463*Q463*(1-U463)</f>
        <v>8614.2825</v>
      </c>
      <c r="Z463" s="6" t="n">
        <f aca="false">Y463-W463</f>
        <v>1562.2025</v>
      </c>
      <c r="AA463" s="8" t="n">
        <f aca="false">IF(Y463=0,0,Z463/Y463)</f>
        <v>0.181350274964862</v>
      </c>
      <c r="AB463" s="3" t="str">
        <f aca="false">IF(ABS(V463-Y463)&gt;1,"Mismatch","OK")</f>
        <v>OK</v>
      </c>
      <c r="AC463" s="3" t="str">
        <f aca="false">IF(ABS(X463-Z463)&gt;1,"Mismatch","OK")</f>
        <v>OK</v>
      </c>
      <c r="AD463" s="5" t="n">
        <f aca="false">IF(OR(B463="",C463=""),"",C463-B463)</f>
        <v>1</v>
      </c>
      <c r="AE463" s="3" t="str">
        <f aca="false">IF(AD463="","Unknown",IF(AD463&lt;0,"Invalid - Ship Before Order","OK"))</f>
        <v>OK</v>
      </c>
      <c r="AF463" s="5" t="n">
        <f aca="false">IF(B463="","",MONTH(B463))</f>
        <v>5</v>
      </c>
      <c r="AG463" s="5" t="n">
        <f aca="false">IF(B463="","",YEAR(B463))</f>
        <v>2025</v>
      </c>
      <c r="AH463" s="3" t="s">
        <v>52</v>
      </c>
      <c r="AI463" s="3" t="s">
        <v>53</v>
      </c>
      <c r="AJ463" s="3" t="str">
        <f aca="false">IF(AND(AI463="Completed",AH463="Failed"),"Inconsistent - Completed Order with Failed Payment","OK")</f>
        <v>OK</v>
      </c>
      <c r="AK463" s="3" t="s">
        <v>54</v>
      </c>
      <c r="AL463" s="3" t="str">
        <f aca="false">IF(OR(T463="Negative - Invalid",T463="Above Allowed Range - Invalid",AE463="Invalid - Ship Before Order",AK463&lt;&gt;"Unique",AB463="Mismatch",AC463="Mismatch",AJ463&lt;&gt;"OK"),"Invalid",IF(OR(H463="Yes",O463="Yes",T463="Missing"),"Warning","Clean"))</f>
        <v>Clean</v>
      </c>
    </row>
    <row r="464" customFormat="false" ht="15" hidden="false" customHeight="true" outlineLevel="0" collapsed="false">
      <c r="A464" s="3" t="s">
        <v>1528</v>
      </c>
      <c r="B464" s="4" t="n">
        <v>45558</v>
      </c>
      <c r="C464" s="4" t="n">
        <v>45560</v>
      </c>
      <c r="D464" s="3" t="s">
        <v>1529</v>
      </c>
      <c r="E464" s="3" t="s">
        <v>155</v>
      </c>
      <c r="F464" s="3" t="s">
        <v>121</v>
      </c>
      <c r="G464" s="3" t="s">
        <v>42</v>
      </c>
      <c r="H464" s="3" t="s">
        <v>43</v>
      </c>
      <c r="I464" s="3" t="s">
        <v>384</v>
      </c>
      <c r="J464" s="3" t="s">
        <v>385</v>
      </c>
      <c r="K464" s="3" t="s">
        <v>46</v>
      </c>
      <c r="L464" s="3" t="s">
        <v>183</v>
      </c>
      <c r="M464" s="3" t="s">
        <v>1530</v>
      </c>
      <c r="N464" s="3" t="s">
        <v>72</v>
      </c>
      <c r="O464" s="3" t="s">
        <v>43</v>
      </c>
      <c r="P464" s="5" t="n">
        <v>2</v>
      </c>
      <c r="Q464" s="6" t="n">
        <v>1275.14</v>
      </c>
      <c r="R464" s="3" t="s">
        <v>50</v>
      </c>
      <c r="S464" s="7" t="n">
        <v>0.2</v>
      </c>
      <c r="T464" s="3" t="s">
        <v>51</v>
      </c>
      <c r="U464" s="7" t="n">
        <f aca="false">IF(T464="Valid",S464,0)</f>
        <v>0.2</v>
      </c>
      <c r="V464" s="6" t="n">
        <v>2040.22</v>
      </c>
      <c r="W464" s="6" t="n">
        <v>1395.71</v>
      </c>
      <c r="X464" s="6" t="n">
        <v>644.51</v>
      </c>
      <c r="Y464" s="6" t="n">
        <f aca="false">P464*Q464*(1-U464)</f>
        <v>2040.224</v>
      </c>
      <c r="Z464" s="6" t="n">
        <f aca="false">Y464-W464</f>
        <v>644.514</v>
      </c>
      <c r="AA464" s="8" t="n">
        <f aca="false">IF(Y464=0,0,Z464/Y464)</f>
        <v>0.315903547845727</v>
      </c>
      <c r="AB464" s="3" t="str">
        <f aca="false">IF(ABS(V464-Y464)&gt;1,"Mismatch","OK")</f>
        <v>OK</v>
      </c>
      <c r="AC464" s="3" t="str">
        <f aca="false">IF(ABS(X464-Z464)&gt;1,"Mismatch","OK")</f>
        <v>OK</v>
      </c>
      <c r="AD464" s="5" t="n">
        <f aca="false">IF(OR(B464="",C464=""),"",C464-B464)</f>
        <v>2</v>
      </c>
      <c r="AE464" s="3" t="str">
        <f aca="false">IF(AD464="","Unknown",IF(AD464&lt;0,"Invalid - Ship Before Order","OK"))</f>
        <v>OK</v>
      </c>
      <c r="AF464" s="5" t="n">
        <f aca="false">IF(B464="","",MONTH(B464))</f>
        <v>9</v>
      </c>
      <c r="AG464" s="5" t="n">
        <f aca="false">IF(B464="","",YEAR(B464))</f>
        <v>2024</v>
      </c>
      <c r="AH464" s="3" t="s">
        <v>52</v>
      </c>
      <c r="AI464" s="3" t="s">
        <v>53</v>
      </c>
      <c r="AJ464" s="3" t="str">
        <f aca="false">IF(AND(AI464="Completed",AH464="Failed"),"Inconsistent - Completed Order with Failed Payment","OK")</f>
        <v>OK</v>
      </c>
      <c r="AK464" s="3" t="s">
        <v>54</v>
      </c>
      <c r="AL464" s="3" t="str">
        <f aca="false">IF(OR(T464="Negative - Invalid",T464="Above Allowed Range - Invalid",AE464="Invalid - Ship Before Order",AK464&lt;&gt;"Unique",AB464="Mismatch",AC464="Mismatch",AJ464&lt;&gt;"OK"),"Invalid",IF(OR(H464="Yes",O464="Yes",T464="Missing"),"Warning","Clean"))</f>
        <v>Clean</v>
      </c>
    </row>
    <row r="465" customFormat="false" ht="15" hidden="false" customHeight="true" outlineLevel="0" collapsed="false">
      <c r="A465" s="3" t="s">
        <v>1531</v>
      </c>
      <c r="B465" s="4" t="n">
        <v>45695</v>
      </c>
      <c r="C465" s="4" t="n">
        <v>45696</v>
      </c>
      <c r="D465" s="3" t="s">
        <v>1532</v>
      </c>
      <c r="E465" s="3" t="s">
        <v>77</v>
      </c>
      <c r="F465" s="3" t="s">
        <v>116</v>
      </c>
      <c r="G465" s="3" t="s">
        <v>88</v>
      </c>
      <c r="H465" s="3" t="s">
        <v>43</v>
      </c>
      <c r="I465" s="3" t="s">
        <v>97</v>
      </c>
      <c r="J465" s="3" t="s">
        <v>98</v>
      </c>
      <c r="K465" s="3" t="s">
        <v>99</v>
      </c>
      <c r="L465" s="3" t="s">
        <v>201</v>
      </c>
      <c r="M465" s="3" t="s">
        <v>1533</v>
      </c>
      <c r="N465" s="3" t="s">
        <v>83</v>
      </c>
      <c r="O465" s="3" t="s">
        <v>43</v>
      </c>
      <c r="P465" s="5" t="n">
        <v>4</v>
      </c>
      <c r="Q465" s="6" t="n">
        <v>889.5</v>
      </c>
      <c r="R465" s="3" t="s">
        <v>50</v>
      </c>
      <c r="S465" s="7" t="n">
        <v>0.2</v>
      </c>
      <c r="T465" s="3" t="s">
        <v>51</v>
      </c>
      <c r="U465" s="7" t="n">
        <f aca="false">IF(T465="Valid",S465,0)</f>
        <v>0.2</v>
      </c>
      <c r="V465" s="6" t="n">
        <v>2846.4</v>
      </c>
      <c r="W465" s="6" t="n">
        <v>2132.37</v>
      </c>
      <c r="X465" s="6" t="n">
        <v>714.03</v>
      </c>
      <c r="Y465" s="6" t="n">
        <f aca="false">P465*Q465*(1-U465)</f>
        <v>2846.4</v>
      </c>
      <c r="Z465" s="6" t="n">
        <f aca="false">Y465-W465</f>
        <v>714.03</v>
      </c>
      <c r="AA465" s="8" t="n">
        <f aca="false">IF(Y465=0,0,Z465/Y465)</f>
        <v>0.25085370994941</v>
      </c>
      <c r="AB465" s="3" t="str">
        <f aca="false">IF(ABS(V465-Y465)&gt;1,"Mismatch","OK")</f>
        <v>OK</v>
      </c>
      <c r="AC465" s="3" t="str">
        <f aca="false">IF(ABS(X465-Z465)&gt;1,"Mismatch","OK")</f>
        <v>OK</v>
      </c>
      <c r="AD465" s="5" t="n">
        <f aca="false">IF(OR(B465="",C465=""),"",C465-B465)</f>
        <v>1</v>
      </c>
      <c r="AE465" s="3" t="str">
        <f aca="false">IF(AD465="","Unknown",IF(AD465&lt;0,"Invalid - Ship Before Order","OK"))</f>
        <v>OK</v>
      </c>
      <c r="AF465" s="5" t="n">
        <f aca="false">IF(B465="","",MONTH(B465))</f>
        <v>2</v>
      </c>
      <c r="AG465" s="5" t="n">
        <f aca="false">IF(B465="","",YEAR(B465))</f>
        <v>2025</v>
      </c>
      <c r="AH465" s="3" t="s">
        <v>52</v>
      </c>
      <c r="AI465" s="3" t="s">
        <v>53</v>
      </c>
      <c r="AJ465" s="3" t="str">
        <f aca="false">IF(AND(AI465="Completed",AH465="Failed"),"Inconsistent - Completed Order with Failed Payment","OK")</f>
        <v>OK</v>
      </c>
      <c r="AK465" s="3" t="s">
        <v>54</v>
      </c>
      <c r="AL465" s="3" t="str">
        <f aca="false">IF(OR(T465="Negative - Invalid",T465="Above Allowed Range - Invalid",AE465="Invalid - Ship Before Order",AK465&lt;&gt;"Unique",AB465="Mismatch",AC465="Mismatch",AJ465&lt;&gt;"OK"),"Invalid",IF(OR(H465="Yes",O465="Yes",T465="Missing"),"Warning","Clean"))</f>
        <v>Clean</v>
      </c>
    </row>
    <row r="466" customFormat="false" ht="15" hidden="false" customHeight="true" outlineLevel="0" collapsed="false">
      <c r="A466" s="3" t="s">
        <v>1534</v>
      </c>
      <c r="B466" s="4" t="n">
        <v>45727</v>
      </c>
      <c r="C466" s="4" t="n">
        <v>45731</v>
      </c>
      <c r="D466" s="3" t="s">
        <v>1535</v>
      </c>
      <c r="E466" s="3" t="s">
        <v>77</v>
      </c>
      <c r="F466" s="3" t="s">
        <v>116</v>
      </c>
      <c r="G466" s="3" t="s">
        <v>59</v>
      </c>
      <c r="H466" s="3" t="s">
        <v>43</v>
      </c>
      <c r="I466" s="3" t="s">
        <v>174</v>
      </c>
      <c r="J466" s="3" t="s">
        <v>175</v>
      </c>
      <c r="K466" s="3" t="s">
        <v>46</v>
      </c>
      <c r="L466" s="3" t="s">
        <v>47</v>
      </c>
      <c r="M466" s="3" t="s">
        <v>1536</v>
      </c>
      <c r="N466" s="3" t="s">
        <v>65</v>
      </c>
      <c r="O466" s="3" t="s">
        <v>43</v>
      </c>
      <c r="P466" s="5" t="n">
        <v>3</v>
      </c>
      <c r="Q466" s="6" t="n">
        <v>3625.08</v>
      </c>
      <c r="R466" s="3" t="s">
        <v>128</v>
      </c>
      <c r="S466" s="7" t="n">
        <v>0.05</v>
      </c>
      <c r="T466" s="3" t="s">
        <v>51</v>
      </c>
      <c r="U466" s="7" t="n">
        <f aca="false">IF(T466="Valid",S466,0)</f>
        <v>0.05</v>
      </c>
      <c r="V466" s="6" t="n">
        <v>10331.48</v>
      </c>
      <c r="W466" s="6" t="n">
        <v>7131.91</v>
      </c>
      <c r="X466" s="6" t="n">
        <v>3199.57</v>
      </c>
      <c r="Y466" s="6" t="n">
        <f aca="false">P466*Q466*(1-U466)</f>
        <v>10331.478</v>
      </c>
      <c r="Z466" s="6" t="n">
        <f aca="false">Y466-W466</f>
        <v>3199.568</v>
      </c>
      <c r="AA466" s="8" t="n">
        <f aca="false">IF(Y466=0,0,Z466/Y466)</f>
        <v>0.309691217461819</v>
      </c>
      <c r="AB466" s="3" t="str">
        <f aca="false">IF(ABS(V466-Y466)&gt;1,"Mismatch","OK")</f>
        <v>OK</v>
      </c>
      <c r="AC466" s="3" t="str">
        <f aca="false">IF(ABS(X466-Z466)&gt;1,"Mismatch","OK")</f>
        <v>OK</v>
      </c>
      <c r="AD466" s="5" t="n">
        <f aca="false">IF(OR(B466="",C466=""),"",C466-B466)</f>
        <v>4</v>
      </c>
      <c r="AE466" s="3" t="str">
        <f aca="false">IF(AD466="","Unknown",IF(AD466&lt;0,"Invalid - Ship Before Order","OK"))</f>
        <v>OK</v>
      </c>
      <c r="AF466" s="5" t="n">
        <f aca="false">IF(B466="","",MONTH(B466))</f>
        <v>3</v>
      </c>
      <c r="AG466" s="5" t="n">
        <f aca="false">IF(B466="","",YEAR(B466))</f>
        <v>2025</v>
      </c>
      <c r="AH466" s="3" t="s">
        <v>138</v>
      </c>
      <c r="AI466" s="3" t="s">
        <v>93</v>
      </c>
      <c r="AJ466" s="3" t="str">
        <f aca="false">IF(AND(AI466="Completed",AH466="Failed"),"Inconsistent - Completed Order with Failed Payment","OK")</f>
        <v>OK</v>
      </c>
      <c r="AK466" s="3" t="s">
        <v>54</v>
      </c>
      <c r="AL466" s="3" t="str">
        <f aca="false">IF(OR(T466="Negative - Invalid",T466="Above Allowed Range - Invalid",AE466="Invalid - Ship Before Order",AK466&lt;&gt;"Unique",AB466="Mismatch",AC466="Mismatch",AJ466&lt;&gt;"OK"),"Invalid",IF(OR(H466="Yes",O466="Yes",T466="Missing"),"Warning","Clean"))</f>
        <v>Clean</v>
      </c>
    </row>
    <row r="467" customFormat="false" ht="15" hidden="false" customHeight="true" outlineLevel="0" collapsed="false">
      <c r="A467" s="3" t="s">
        <v>1537</v>
      </c>
      <c r="B467" s="4" t="n">
        <v>45320</v>
      </c>
      <c r="C467" s="4" t="n">
        <v>45328</v>
      </c>
      <c r="D467" s="3" t="s">
        <v>1538</v>
      </c>
      <c r="E467" s="3" t="s">
        <v>155</v>
      </c>
      <c r="F467" s="3" t="s">
        <v>58</v>
      </c>
      <c r="G467" s="3" t="s">
        <v>88</v>
      </c>
      <c r="H467" s="3" t="s">
        <v>43</v>
      </c>
      <c r="I467" s="3" t="s">
        <v>97</v>
      </c>
      <c r="J467" s="3" t="s">
        <v>98</v>
      </c>
      <c r="K467" s="3" t="s">
        <v>46</v>
      </c>
      <c r="L467" s="3" t="s">
        <v>117</v>
      </c>
      <c r="M467" s="3" t="s">
        <v>1539</v>
      </c>
      <c r="N467" s="3" t="s">
        <v>83</v>
      </c>
      <c r="O467" s="3" t="s">
        <v>43</v>
      </c>
      <c r="P467" s="5" t="n">
        <v>2</v>
      </c>
      <c r="Q467" s="6" t="n">
        <v>1258.9</v>
      </c>
      <c r="R467" s="3" t="s">
        <v>66</v>
      </c>
      <c r="S467" s="7" t="n">
        <v>0</v>
      </c>
      <c r="T467" s="3" t="s">
        <v>51</v>
      </c>
      <c r="U467" s="7" t="n">
        <f aca="false">IF(T467="Valid",S467,0)</f>
        <v>0</v>
      </c>
      <c r="V467" s="6" t="n">
        <v>2517.8</v>
      </c>
      <c r="W467" s="6" t="n">
        <v>1478.54</v>
      </c>
      <c r="X467" s="6" t="n">
        <v>1039.26</v>
      </c>
      <c r="Y467" s="6" t="n">
        <f aca="false">P467*Q467*(1-U467)</f>
        <v>2517.8</v>
      </c>
      <c r="Z467" s="6" t="n">
        <f aca="false">Y467-W467</f>
        <v>1039.26</v>
      </c>
      <c r="AA467" s="8" t="n">
        <f aca="false">IF(Y467=0,0,Z467/Y467)</f>
        <v>0.412765112399714</v>
      </c>
      <c r="AB467" s="3" t="str">
        <f aca="false">IF(ABS(V467-Y467)&gt;1,"Mismatch","OK")</f>
        <v>OK</v>
      </c>
      <c r="AC467" s="3" t="str">
        <f aca="false">IF(ABS(X467-Z467)&gt;1,"Mismatch","OK")</f>
        <v>OK</v>
      </c>
      <c r="AD467" s="5" t="n">
        <f aca="false">IF(OR(B467="",C467=""),"",C467-B467)</f>
        <v>8</v>
      </c>
      <c r="AE467" s="3" t="str">
        <f aca="false">IF(AD467="","Unknown",IF(AD467&lt;0,"Invalid - Ship Before Order","OK"))</f>
        <v>OK</v>
      </c>
      <c r="AF467" s="5" t="n">
        <f aca="false">IF(B467="","",MONTH(B467))</f>
        <v>1</v>
      </c>
      <c r="AG467" s="5" t="n">
        <f aca="false">IF(B467="","",YEAR(B467))</f>
        <v>2024</v>
      </c>
      <c r="AH467" s="3" t="s">
        <v>52</v>
      </c>
      <c r="AI467" s="3" t="s">
        <v>53</v>
      </c>
      <c r="AJ467" s="3" t="str">
        <f aca="false">IF(AND(AI467="Completed",AH467="Failed"),"Inconsistent - Completed Order with Failed Payment","OK")</f>
        <v>OK</v>
      </c>
      <c r="AK467" s="3" t="s">
        <v>54</v>
      </c>
      <c r="AL467" s="3" t="str">
        <f aca="false">IF(OR(T467="Negative - Invalid",T467="Above Allowed Range - Invalid",AE467="Invalid - Ship Before Order",AK467&lt;&gt;"Unique",AB467="Mismatch",AC467="Mismatch",AJ467&lt;&gt;"OK"),"Invalid",IF(OR(H467="Yes",O467="Yes",T467="Missing"),"Warning","Clean"))</f>
        <v>Clean</v>
      </c>
    </row>
    <row r="468" customFormat="false" ht="15" hidden="false" customHeight="true" outlineLevel="0" collapsed="false">
      <c r="A468" s="3" t="s">
        <v>1540</v>
      </c>
      <c r="B468" s="4" t="n">
        <v>45295</v>
      </c>
      <c r="C468" s="4" t="n">
        <v>45299</v>
      </c>
      <c r="D468" s="3" t="s">
        <v>1541</v>
      </c>
      <c r="E468" s="3" t="s">
        <v>57</v>
      </c>
      <c r="F468" s="3" t="s">
        <v>58</v>
      </c>
      <c r="G468" s="3" t="s">
        <v>59</v>
      </c>
      <c r="H468" s="3" t="s">
        <v>43</v>
      </c>
      <c r="I468" s="3" t="s">
        <v>174</v>
      </c>
      <c r="J468" s="3" t="s">
        <v>175</v>
      </c>
      <c r="K468" s="3" t="s">
        <v>99</v>
      </c>
      <c r="L468" s="3" t="s">
        <v>100</v>
      </c>
      <c r="M468" s="3" t="s">
        <v>1542</v>
      </c>
      <c r="N468" s="3" t="s">
        <v>65</v>
      </c>
      <c r="O468" s="3" t="s">
        <v>43</v>
      </c>
      <c r="P468" s="5" t="n">
        <v>9</v>
      </c>
      <c r="Q468" s="6" t="n">
        <v>1591.96</v>
      </c>
      <c r="R468" s="3" t="s">
        <v>50</v>
      </c>
      <c r="S468" s="7" t="n">
        <v>0.2</v>
      </c>
      <c r="T468" s="3" t="s">
        <v>51</v>
      </c>
      <c r="U468" s="7" t="n">
        <f aca="false">IF(T468="Valid",S468,0)</f>
        <v>0.2</v>
      </c>
      <c r="V468" s="6" t="n">
        <v>11462.11</v>
      </c>
      <c r="W468" s="6" t="n">
        <v>7105.48</v>
      </c>
      <c r="X468" s="6" t="n">
        <v>4356.63</v>
      </c>
      <c r="Y468" s="6" t="n">
        <f aca="false">P468*Q468*(1-U468)</f>
        <v>11462.112</v>
      </c>
      <c r="Z468" s="6" t="n">
        <f aca="false">Y468-W468</f>
        <v>4356.632</v>
      </c>
      <c r="AA468" s="8" t="n">
        <f aca="false">IF(Y468=0,0,Z468/Y468)</f>
        <v>0.380089812418514</v>
      </c>
      <c r="AB468" s="3" t="str">
        <f aca="false">IF(ABS(V468-Y468)&gt;1,"Mismatch","OK")</f>
        <v>OK</v>
      </c>
      <c r="AC468" s="3" t="str">
        <f aca="false">IF(ABS(X468-Z468)&gt;1,"Mismatch","OK")</f>
        <v>OK</v>
      </c>
      <c r="AD468" s="5" t="n">
        <f aca="false">IF(OR(B468="",C468=""),"",C468-B468)</f>
        <v>4</v>
      </c>
      <c r="AE468" s="3" t="str">
        <f aca="false">IF(AD468="","Unknown",IF(AD468&lt;0,"Invalid - Ship Before Order","OK"))</f>
        <v>OK</v>
      </c>
      <c r="AF468" s="5" t="n">
        <f aca="false">IF(B468="","",MONTH(B468))</f>
        <v>1</v>
      </c>
      <c r="AG468" s="5" t="n">
        <f aca="false">IF(B468="","",YEAR(B468))</f>
        <v>2024</v>
      </c>
      <c r="AH468" s="3" t="s">
        <v>52</v>
      </c>
      <c r="AI468" s="3" t="s">
        <v>53</v>
      </c>
      <c r="AJ468" s="3" t="str">
        <f aca="false">IF(AND(AI468="Completed",AH468="Failed"),"Inconsistent - Completed Order with Failed Payment","OK")</f>
        <v>OK</v>
      </c>
      <c r="AK468" s="3" t="s">
        <v>54</v>
      </c>
      <c r="AL468" s="3" t="str">
        <f aca="false">IF(OR(T468="Negative - Invalid",T468="Above Allowed Range - Invalid",AE468="Invalid - Ship Before Order",AK468&lt;&gt;"Unique",AB468="Mismatch",AC468="Mismatch",AJ468&lt;&gt;"OK"),"Invalid",IF(OR(H468="Yes",O468="Yes",T468="Missing"),"Warning","Clean"))</f>
        <v>Clean</v>
      </c>
    </row>
    <row r="469" customFormat="false" ht="15" hidden="false" customHeight="true" outlineLevel="0" collapsed="false">
      <c r="A469" s="3" t="s">
        <v>1543</v>
      </c>
      <c r="B469" s="4" t="n">
        <v>45524</v>
      </c>
      <c r="C469" s="4" t="n">
        <v>45525</v>
      </c>
      <c r="D469" s="3" t="s">
        <v>1544</v>
      </c>
      <c r="E469" s="3" t="s">
        <v>115</v>
      </c>
      <c r="F469" s="3" t="s">
        <v>116</v>
      </c>
      <c r="G469" s="3" t="s">
        <v>59</v>
      </c>
      <c r="H469" s="3" t="s">
        <v>43</v>
      </c>
      <c r="I469" s="3" t="s">
        <v>60</v>
      </c>
      <c r="J469" s="3" t="s">
        <v>61</v>
      </c>
      <c r="K469" s="3" t="s">
        <v>99</v>
      </c>
      <c r="L469" s="3" t="s">
        <v>105</v>
      </c>
      <c r="M469" s="3" t="s">
        <v>1545</v>
      </c>
      <c r="N469" s="3" t="s">
        <v>72</v>
      </c>
      <c r="O469" s="3" t="s">
        <v>43</v>
      </c>
      <c r="P469" s="5" t="n">
        <v>5</v>
      </c>
      <c r="Q469" s="6" t="n">
        <v>4288.33</v>
      </c>
      <c r="R469" s="3" t="s">
        <v>203</v>
      </c>
      <c r="S469" s="7" t="n">
        <v>0.1</v>
      </c>
      <c r="T469" s="3" t="s">
        <v>51</v>
      </c>
      <c r="U469" s="7" t="n">
        <f aca="false">IF(T469="Valid",S469,0)</f>
        <v>0.1</v>
      </c>
      <c r="V469" s="6" t="n">
        <v>19297.49</v>
      </c>
      <c r="W469" s="6" t="n">
        <v>15451.66</v>
      </c>
      <c r="X469" s="6" t="n">
        <v>3845.83</v>
      </c>
      <c r="Y469" s="6" t="n">
        <f aca="false">P469*Q469*(1-U469)</f>
        <v>19297.485</v>
      </c>
      <c r="Z469" s="6" t="n">
        <f aca="false">Y469-W469</f>
        <v>3845.825</v>
      </c>
      <c r="AA469" s="8" t="n">
        <f aca="false">IF(Y469=0,0,Z469/Y469)</f>
        <v>0.199291513894168</v>
      </c>
      <c r="AB469" s="3" t="str">
        <f aca="false">IF(ABS(V469-Y469)&gt;1,"Mismatch","OK")</f>
        <v>OK</v>
      </c>
      <c r="AC469" s="3" t="str">
        <f aca="false">IF(ABS(X469-Z469)&gt;1,"Mismatch","OK")</f>
        <v>OK</v>
      </c>
      <c r="AD469" s="5" t="n">
        <f aca="false">IF(OR(B469="",C469=""),"",C469-B469)</f>
        <v>1</v>
      </c>
      <c r="AE469" s="3" t="str">
        <f aca="false">IF(AD469="","Unknown",IF(AD469&lt;0,"Invalid - Ship Before Order","OK"))</f>
        <v>OK</v>
      </c>
      <c r="AF469" s="5" t="n">
        <f aca="false">IF(B469="","",MONTH(B469))</f>
        <v>8</v>
      </c>
      <c r="AG469" s="5" t="n">
        <f aca="false">IF(B469="","",YEAR(B469))</f>
        <v>2024</v>
      </c>
      <c r="AH469" s="3" t="s">
        <v>129</v>
      </c>
      <c r="AI469" s="3" t="s">
        <v>93</v>
      </c>
      <c r="AJ469" s="3" t="str">
        <f aca="false">IF(AND(AI469="Completed",AH469="Failed"),"Inconsistent - Completed Order with Failed Payment","OK")</f>
        <v>OK</v>
      </c>
      <c r="AK469" s="3" t="s">
        <v>54</v>
      </c>
      <c r="AL469" s="3" t="str">
        <f aca="false">IF(OR(T469="Negative - Invalid",T469="Above Allowed Range - Invalid",AE469="Invalid - Ship Before Order",AK469&lt;&gt;"Unique",AB469="Mismatch",AC469="Mismatch",AJ469&lt;&gt;"OK"),"Invalid",IF(OR(H469="Yes",O469="Yes",T469="Missing"),"Warning","Clean"))</f>
        <v>Clean</v>
      </c>
    </row>
    <row r="470" customFormat="false" ht="15" hidden="false" customHeight="true" outlineLevel="0" collapsed="false">
      <c r="A470" s="3" t="s">
        <v>1546</v>
      </c>
      <c r="B470" s="4" t="n">
        <v>45666</v>
      </c>
      <c r="C470" s="4" t="n">
        <v>45664</v>
      </c>
      <c r="D470" s="3" t="s">
        <v>1547</v>
      </c>
      <c r="E470" s="3" t="s">
        <v>155</v>
      </c>
      <c r="F470" s="3" t="s">
        <v>121</v>
      </c>
      <c r="G470" s="3" t="s">
        <v>59</v>
      </c>
      <c r="H470" s="3" t="s">
        <v>43</v>
      </c>
      <c r="I470" s="3" t="s">
        <v>125</v>
      </c>
      <c r="J470" s="3" t="s">
        <v>126</v>
      </c>
      <c r="K470" s="3" t="s">
        <v>46</v>
      </c>
      <c r="L470" s="3" t="s">
        <v>183</v>
      </c>
      <c r="M470" s="3" t="s">
        <v>1548</v>
      </c>
      <c r="N470" s="3" t="s">
        <v>49</v>
      </c>
      <c r="O470" s="3" t="s">
        <v>43</v>
      </c>
      <c r="P470" s="5" t="n">
        <v>3</v>
      </c>
      <c r="Q470" s="6" t="n">
        <v>2188.33</v>
      </c>
      <c r="R470" s="3" t="s">
        <v>66</v>
      </c>
      <c r="S470" s="7" t="n">
        <v>0</v>
      </c>
      <c r="T470" s="3" t="s">
        <v>51</v>
      </c>
      <c r="U470" s="7" t="n">
        <f aca="false">IF(T470="Valid",S470,0)</f>
        <v>0</v>
      </c>
      <c r="V470" s="6" t="n">
        <v>6564.99</v>
      </c>
      <c r="W470" s="6" t="n">
        <v>5407.24</v>
      </c>
      <c r="X470" s="6" t="n">
        <v>1157.75</v>
      </c>
      <c r="Y470" s="6" t="n">
        <f aca="false">P470*Q470*(1-U470)</f>
        <v>6564.99</v>
      </c>
      <c r="Z470" s="6" t="n">
        <f aca="false">Y470-W470</f>
        <v>1157.75</v>
      </c>
      <c r="AA470" s="8" t="n">
        <f aca="false">IF(Y470=0,0,Z470/Y470)</f>
        <v>0.176352134580555</v>
      </c>
      <c r="AB470" s="3" t="str">
        <f aca="false">IF(ABS(V470-Y470)&gt;1,"Mismatch","OK")</f>
        <v>OK</v>
      </c>
      <c r="AC470" s="3" t="str">
        <f aca="false">IF(ABS(X470-Z470)&gt;1,"Mismatch","OK")</f>
        <v>OK</v>
      </c>
      <c r="AD470" s="5" t="n">
        <f aca="false">IF(OR(B470="",C470=""),"",C470-B470)</f>
        <v>-2</v>
      </c>
      <c r="AE470" s="3" t="str">
        <f aca="false">IF(AD470="","Unknown",IF(AD470&lt;0,"Invalid - Ship Before Order","OK"))</f>
        <v>Invalid - Ship Before Order</v>
      </c>
      <c r="AF470" s="5" t="n">
        <f aca="false">IF(B470="","",MONTH(B470))</f>
        <v>1</v>
      </c>
      <c r="AG470" s="5" t="n">
        <f aca="false">IF(B470="","",YEAR(B470))</f>
        <v>2025</v>
      </c>
      <c r="AH470" s="3" t="s">
        <v>52</v>
      </c>
      <c r="AI470" s="3" t="s">
        <v>53</v>
      </c>
      <c r="AJ470" s="3" t="str">
        <f aca="false">IF(AND(AI470="Completed",AH470="Failed"),"Inconsistent - Completed Order with Failed Payment","OK")</f>
        <v>OK</v>
      </c>
      <c r="AK470" s="3" t="s">
        <v>54</v>
      </c>
      <c r="AL470" s="3" t="str">
        <f aca="false">IF(OR(T470="Negative - Invalid",T470="Above Allowed Range - Invalid",AE470="Invalid - Ship Before Order",AK470&lt;&gt;"Unique",AB470="Mismatch",AC470="Mismatch",AJ470&lt;&gt;"OK"),"Invalid",IF(OR(H470="Yes",O470="Yes",T470="Missing"),"Warning","Clean"))</f>
        <v>Invalid</v>
      </c>
    </row>
    <row r="471" customFormat="false" ht="15" hidden="false" customHeight="true" outlineLevel="0" collapsed="false">
      <c r="A471" s="3" t="s">
        <v>1549</v>
      </c>
      <c r="B471" s="4" t="n">
        <v>45310</v>
      </c>
      <c r="C471" s="4" t="n">
        <v>45316</v>
      </c>
      <c r="D471" s="3" t="s">
        <v>1550</v>
      </c>
      <c r="E471" s="3" t="s">
        <v>115</v>
      </c>
      <c r="F471" s="3" t="s">
        <v>116</v>
      </c>
      <c r="G471" s="3" t="s">
        <v>88</v>
      </c>
      <c r="H471" s="3" t="s">
        <v>43</v>
      </c>
      <c r="I471" s="3" t="s">
        <v>221</v>
      </c>
      <c r="J471" s="3" t="s">
        <v>222</v>
      </c>
      <c r="K471" s="3" t="s">
        <v>99</v>
      </c>
      <c r="L471" s="3" t="s">
        <v>105</v>
      </c>
      <c r="M471" s="3" t="s">
        <v>1551</v>
      </c>
      <c r="N471" s="3" t="s">
        <v>72</v>
      </c>
      <c r="O471" s="3" t="s">
        <v>43</v>
      </c>
      <c r="P471" s="5" t="n">
        <v>3</v>
      </c>
      <c r="Q471" s="6" t="n">
        <v>1041.66</v>
      </c>
      <c r="R471" s="3" t="s">
        <v>203</v>
      </c>
      <c r="S471" s="7" t="n">
        <v>0.1</v>
      </c>
      <c r="T471" s="3" t="s">
        <v>51</v>
      </c>
      <c r="U471" s="7" t="n">
        <f aca="false">IF(T471="Valid",S471,0)</f>
        <v>0.1</v>
      </c>
      <c r="V471" s="6" t="n">
        <v>2812.48</v>
      </c>
      <c r="W471" s="6" t="n">
        <v>2282.12</v>
      </c>
      <c r="X471" s="6" t="n">
        <v>530.36</v>
      </c>
      <c r="Y471" s="6" t="n">
        <f aca="false">P471*Q471*(1-U471)</f>
        <v>2812.482</v>
      </c>
      <c r="Z471" s="6" t="n">
        <f aca="false">Y471-W471</f>
        <v>530.362000000001</v>
      </c>
      <c r="AA471" s="8" t="n">
        <f aca="false">IF(Y471=0,0,Z471/Y471)</f>
        <v>0.188574362431475</v>
      </c>
      <c r="AB471" s="3" t="str">
        <f aca="false">IF(ABS(V471-Y471)&gt;1,"Mismatch","OK")</f>
        <v>OK</v>
      </c>
      <c r="AC471" s="3" t="str">
        <f aca="false">IF(ABS(X471-Z471)&gt;1,"Mismatch","OK")</f>
        <v>OK</v>
      </c>
      <c r="AD471" s="5" t="n">
        <f aca="false">IF(OR(B471="",C471=""),"",C471-B471)</f>
        <v>6</v>
      </c>
      <c r="AE471" s="3" t="str">
        <f aca="false">IF(AD471="","Unknown",IF(AD471&lt;0,"Invalid - Ship Before Order","OK"))</f>
        <v>OK</v>
      </c>
      <c r="AF471" s="5" t="n">
        <f aca="false">IF(B471="","",MONTH(B471))</f>
        <v>1</v>
      </c>
      <c r="AG471" s="5" t="n">
        <f aca="false">IF(B471="","",YEAR(B471))</f>
        <v>2024</v>
      </c>
      <c r="AH471" s="3" t="s">
        <v>52</v>
      </c>
      <c r="AI471" s="3" t="s">
        <v>53</v>
      </c>
      <c r="AJ471" s="3" t="str">
        <f aca="false">IF(AND(AI471="Completed",AH471="Failed"),"Inconsistent - Completed Order with Failed Payment","OK")</f>
        <v>OK</v>
      </c>
      <c r="AK471" s="3" t="s">
        <v>54</v>
      </c>
      <c r="AL471" s="3" t="str">
        <f aca="false">IF(OR(T471="Negative - Invalid",T471="Above Allowed Range - Invalid",AE471="Invalid - Ship Before Order",AK471&lt;&gt;"Unique",AB471="Mismatch",AC471="Mismatch",AJ471&lt;&gt;"OK"),"Invalid",IF(OR(H471="Yes",O471="Yes",T471="Missing"),"Warning","Clean"))</f>
        <v>Clean</v>
      </c>
    </row>
    <row r="472" customFormat="false" ht="15" hidden="false" customHeight="true" outlineLevel="0" collapsed="false">
      <c r="A472" s="3" t="s">
        <v>1552</v>
      </c>
      <c r="B472" s="4" t="n">
        <v>45501</v>
      </c>
      <c r="C472" s="4" t="n">
        <v>45504</v>
      </c>
      <c r="D472" s="3" t="s">
        <v>1553</v>
      </c>
      <c r="E472" s="3" t="s">
        <v>115</v>
      </c>
      <c r="F472" s="3" t="s">
        <v>41</v>
      </c>
      <c r="G472" s="3" t="s">
        <v>42</v>
      </c>
      <c r="H472" s="3" t="s">
        <v>43</v>
      </c>
      <c r="I472" s="3" t="s">
        <v>44</v>
      </c>
      <c r="J472" s="3" t="s">
        <v>45</v>
      </c>
      <c r="K472" s="3" t="s">
        <v>62</v>
      </c>
      <c r="L472" s="3" t="s">
        <v>63</v>
      </c>
      <c r="M472" s="3" t="s">
        <v>1554</v>
      </c>
      <c r="N472" s="3" t="s">
        <v>65</v>
      </c>
      <c r="O472" s="3" t="s">
        <v>43</v>
      </c>
      <c r="P472" s="5" t="n">
        <v>2</v>
      </c>
      <c r="Q472" s="6" t="n">
        <v>4424.78</v>
      </c>
      <c r="R472" s="3" t="s">
        <v>50</v>
      </c>
      <c r="S472" s="7" t="n">
        <v>0.2</v>
      </c>
      <c r="T472" s="3" t="s">
        <v>51</v>
      </c>
      <c r="U472" s="7" t="n">
        <f aca="false">IF(T472="Valid",S472,0)</f>
        <v>0.2</v>
      </c>
      <c r="V472" s="6" t="n">
        <v>7079.65</v>
      </c>
      <c r="W472" s="6" t="n">
        <v>4465.91</v>
      </c>
      <c r="X472" s="6" t="n">
        <v>2613.74</v>
      </c>
      <c r="Y472" s="6" t="n">
        <f aca="false">P472*Q472*(1-U472)</f>
        <v>7079.648</v>
      </c>
      <c r="Z472" s="6" t="n">
        <f aca="false">Y472-W472</f>
        <v>2613.738</v>
      </c>
      <c r="AA472" s="8" t="n">
        <f aca="false">IF(Y472=0,0,Z472/Y472)</f>
        <v>0.369190389126691</v>
      </c>
      <c r="AB472" s="3" t="str">
        <f aca="false">IF(ABS(V472-Y472)&gt;1,"Mismatch","OK")</f>
        <v>OK</v>
      </c>
      <c r="AC472" s="3" t="str">
        <f aca="false">IF(ABS(X472-Z472)&gt;1,"Mismatch","OK")</f>
        <v>OK</v>
      </c>
      <c r="AD472" s="5" t="n">
        <f aca="false">IF(OR(B472="",C472=""),"",C472-B472)</f>
        <v>3</v>
      </c>
      <c r="AE472" s="3" t="str">
        <f aca="false">IF(AD472="","Unknown",IF(AD472&lt;0,"Invalid - Ship Before Order","OK"))</f>
        <v>OK</v>
      </c>
      <c r="AF472" s="5" t="n">
        <f aca="false">IF(B472="","",MONTH(B472))</f>
        <v>7</v>
      </c>
      <c r="AG472" s="5" t="n">
        <f aca="false">IF(B472="","",YEAR(B472))</f>
        <v>2024</v>
      </c>
      <c r="AH472" s="3" t="s">
        <v>52</v>
      </c>
      <c r="AI472" s="3" t="s">
        <v>53</v>
      </c>
      <c r="AJ472" s="3" t="str">
        <f aca="false">IF(AND(AI472="Completed",AH472="Failed"),"Inconsistent - Completed Order with Failed Payment","OK")</f>
        <v>OK</v>
      </c>
      <c r="AK472" s="3" t="s">
        <v>54</v>
      </c>
      <c r="AL472" s="3" t="str">
        <f aca="false">IF(OR(T472="Negative - Invalid",T472="Above Allowed Range - Invalid",AE472="Invalid - Ship Before Order",AK472&lt;&gt;"Unique",AB472="Mismatch",AC472="Mismatch",AJ472&lt;&gt;"OK"),"Invalid",IF(OR(H472="Yes",O472="Yes",T472="Missing"),"Warning","Clean"))</f>
        <v>Clean</v>
      </c>
    </row>
    <row r="473" customFormat="false" ht="15" hidden="false" customHeight="true" outlineLevel="0" collapsed="false">
      <c r="A473" s="3" t="s">
        <v>1555</v>
      </c>
      <c r="B473" s="4" t="n">
        <v>45333</v>
      </c>
      <c r="C473" s="4" t="n">
        <v>45337</v>
      </c>
      <c r="D473" s="3" t="s">
        <v>1556</v>
      </c>
      <c r="E473" s="3" t="s">
        <v>298</v>
      </c>
      <c r="F473" s="3" t="s">
        <v>41</v>
      </c>
      <c r="G473" s="3" t="s">
        <v>78</v>
      </c>
      <c r="H473" s="3" t="s">
        <v>43</v>
      </c>
      <c r="I473" s="3" t="s">
        <v>79</v>
      </c>
      <c r="J473" s="3" t="s">
        <v>80</v>
      </c>
      <c r="K473" s="3" t="s">
        <v>46</v>
      </c>
      <c r="L473" s="3" t="s">
        <v>183</v>
      </c>
      <c r="M473" s="3" t="s">
        <v>1557</v>
      </c>
      <c r="N473" s="3" t="s">
        <v>83</v>
      </c>
      <c r="O473" s="3" t="s">
        <v>43</v>
      </c>
      <c r="P473" s="5" t="n">
        <v>3</v>
      </c>
      <c r="Q473" s="6" t="n">
        <v>3019.14</v>
      </c>
      <c r="R473" s="3" t="s">
        <v>84</v>
      </c>
      <c r="S473" s="7" t="n">
        <v>0.25</v>
      </c>
      <c r="T473" s="3" t="s">
        <v>51</v>
      </c>
      <c r="U473" s="7" t="n">
        <f aca="false">IF(T473="Valid",S473,0)</f>
        <v>0.25</v>
      </c>
      <c r="V473" s="6" t="n">
        <v>6793.07</v>
      </c>
      <c r="W473" s="6" t="n">
        <v>4985.22</v>
      </c>
      <c r="X473" s="6" t="n">
        <v>1807.85</v>
      </c>
      <c r="Y473" s="6" t="n">
        <f aca="false">P473*Q473*(1-U473)</f>
        <v>6793.065</v>
      </c>
      <c r="Z473" s="6" t="n">
        <f aca="false">Y473-W473</f>
        <v>1807.845</v>
      </c>
      <c r="AA473" s="8" t="n">
        <f aca="false">IF(Y473=0,0,Z473/Y473)</f>
        <v>0.266130973279367</v>
      </c>
      <c r="AB473" s="3" t="str">
        <f aca="false">IF(ABS(V473-Y473)&gt;1,"Mismatch","OK")</f>
        <v>OK</v>
      </c>
      <c r="AC473" s="3" t="str">
        <f aca="false">IF(ABS(X473-Z473)&gt;1,"Mismatch","OK")</f>
        <v>OK</v>
      </c>
      <c r="AD473" s="5" t="n">
        <f aca="false">IF(OR(B473="",C473=""),"",C473-B473)</f>
        <v>4</v>
      </c>
      <c r="AE473" s="3" t="str">
        <f aca="false">IF(AD473="","Unknown",IF(AD473&lt;0,"Invalid - Ship Before Order","OK"))</f>
        <v>OK</v>
      </c>
      <c r="AF473" s="5" t="n">
        <f aca="false">IF(B473="","",MONTH(B473))</f>
        <v>2</v>
      </c>
      <c r="AG473" s="5" t="n">
        <f aca="false">IF(B473="","",YEAR(B473))</f>
        <v>2024</v>
      </c>
      <c r="AH473" s="3" t="s">
        <v>52</v>
      </c>
      <c r="AI473" s="3" t="s">
        <v>53</v>
      </c>
      <c r="AJ473" s="3" t="str">
        <f aca="false">IF(AND(AI473="Completed",AH473="Failed"),"Inconsistent - Completed Order with Failed Payment","OK")</f>
        <v>OK</v>
      </c>
      <c r="AK473" s="3" t="s">
        <v>54</v>
      </c>
      <c r="AL473" s="3" t="str">
        <f aca="false">IF(OR(T473="Negative - Invalid",T473="Above Allowed Range - Invalid",AE473="Invalid - Ship Before Order",AK473&lt;&gt;"Unique",AB473="Mismatch",AC473="Mismatch",AJ473&lt;&gt;"OK"),"Invalid",IF(OR(H473="Yes",O473="Yes",T473="Missing"),"Warning","Clean"))</f>
        <v>Clean</v>
      </c>
    </row>
    <row r="474" customFormat="false" ht="15" hidden="false" customHeight="true" outlineLevel="0" collapsed="false">
      <c r="A474" s="3" t="s">
        <v>1558</v>
      </c>
      <c r="B474" s="4" t="n">
        <v>45353</v>
      </c>
      <c r="C474" s="4" t="n">
        <v>45358</v>
      </c>
      <c r="D474" s="3" t="s">
        <v>1559</v>
      </c>
      <c r="E474" s="3" t="s">
        <v>168</v>
      </c>
      <c r="F474" s="3" t="s">
        <v>116</v>
      </c>
      <c r="G474" s="3" t="s">
        <v>59</v>
      </c>
      <c r="H474" s="3" t="s">
        <v>43</v>
      </c>
      <c r="I474" s="3" t="s">
        <v>60</v>
      </c>
      <c r="J474" s="3" t="s">
        <v>61</v>
      </c>
      <c r="K474" s="3" t="s">
        <v>46</v>
      </c>
      <c r="L474" s="3" t="s">
        <v>151</v>
      </c>
      <c r="M474" s="3" t="s">
        <v>1560</v>
      </c>
      <c r="N474" s="3" t="s">
        <v>83</v>
      </c>
      <c r="O474" s="3" t="s">
        <v>43</v>
      </c>
      <c r="P474" s="5" t="n">
        <v>7</v>
      </c>
      <c r="Q474" s="6" t="n">
        <v>263.46</v>
      </c>
      <c r="R474" s="3" t="s">
        <v>66</v>
      </c>
      <c r="S474" s="7" t="n">
        <v>0</v>
      </c>
      <c r="T474" s="3" t="s">
        <v>51</v>
      </c>
      <c r="U474" s="7" t="n">
        <f aca="false">IF(T474="Valid",S474,0)</f>
        <v>0</v>
      </c>
      <c r="V474" s="6" t="n">
        <v>1844.22</v>
      </c>
      <c r="W474" s="6" t="n">
        <v>1094.21</v>
      </c>
      <c r="X474" s="6" t="n">
        <v>750.01</v>
      </c>
      <c r="Y474" s="6" t="n">
        <f aca="false">P474*Q474*(1-U474)</f>
        <v>1844.22</v>
      </c>
      <c r="Z474" s="6" t="n">
        <f aca="false">Y474-W474</f>
        <v>750.01</v>
      </c>
      <c r="AA474" s="8" t="n">
        <f aca="false">IF(Y474=0,0,Z474/Y474)</f>
        <v>0.40668141544935</v>
      </c>
      <c r="AB474" s="3" t="str">
        <f aca="false">IF(ABS(V474-Y474)&gt;1,"Mismatch","OK")</f>
        <v>OK</v>
      </c>
      <c r="AC474" s="3" t="str">
        <f aca="false">IF(ABS(X474-Z474)&gt;1,"Mismatch","OK")</f>
        <v>OK</v>
      </c>
      <c r="AD474" s="5" t="n">
        <f aca="false">IF(OR(B474="",C474=""),"",C474-B474)</f>
        <v>5</v>
      </c>
      <c r="AE474" s="3" t="str">
        <f aca="false">IF(AD474="","Unknown",IF(AD474&lt;0,"Invalid - Ship Before Order","OK"))</f>
        <v>OK</v>
      </c>
      <c r="AF474" s="5" t="n">
        <f aca="false">IF(B474="","",MONTH(B474))</f>
        <v>3</v>
      </c>
      <c r="AG474" s="5" t="n">
        <f aca="false">IF(B474="","",YEAR(B474))</f>
        <v>2024</v>
      </c>
      <c r="AH474" s="3" t="s">
        <v>52</v>
      </c>
      <c r="AI474" s="3" t="s">
        <v>53</v>
      </c>
      <c r="AJ474" s="3" t="str">
        <f aca="false">IF(AND(AI474="Completed",AH474="Failed"),"Inconsistent - Completed Order with Failed Payment","OK")</f>
        <v>OK</v>
      </c>
      <c r="AK474" s="3" t="s">
        <v>54</v>
      </c>
      <c r="AL474" s="3" t="str">
        <f aca="false">IF(OR(T474="Negative - Invalid",T474="Above Allowed Range - Invalid",AE474="Invalid - Ship Before Order",AK474&lt;&gt;"Unique",AB474="Mismatch",AC474="Mismatch",AJ474&lt;&gt;"OK"),"Invalid",IF(OR(H474="Yes",O474="Yes",T474="Missing"),"Warning","Clean"))</f>
        <v>Clean</v>
      </c>
    </row>
    <row r="475" customFormat="false" ht="15" hidden="false" customHeight="true" outlineLevel="0" collapsed="false">
      <c r="A475" s="3" t="s">
        <v>1561</v>
      </c>
      <c r="B475" s="4" t="n">
        <v>45609</v>
      </c>
      <c r="C475" s="4" t="n">
        <v>45609</v>
      </c>
      <c r="D475" s="3" t="s">
        <v>1562</v>
      </c>
      <c r="E475" s="3" t="s">
        <v>141</v>
      </c>
      <c r="F475" s="3" t="s">
        <v>41</v>
      </c>
      <c r="G475" s="3" t="s">
        <v>88</v>
      </c>
      <c r="H475" s="3" t="s">
        <v>43</v>
      </c>
      <c r="I475" s="3" t="s">
        <v>221</v>
      </c>
      <c r="J475" s="3" t="s">
        <v>222</v>
      </c>
      <c r="K475" s="3" t="s">
        <v>99</v>
      </c>
      <c r="L475" s="3" t="s">
        <v>105</v>
      </c>
      <c r="M475" s="3" t="s">
        <v>1563</v>
      </c>
      <c r="N475" s="3" t="s">
        <v>83</v>
      </c>
      <c r="O475" s="3" t="s">
        <v>43</v>
      </c>
      <c r="P475" s="5" t="n">
        <v>6</v>
      </c>
      <c r="Q475" s="6" t="n">
        <v>191.45</v>
      </c>
      <c r="R475" s="3" t="s">
        <v>50</v>
      </c>
      <c r="S475" s="7" t="n">
        <v>0.2</v>
      </c>
      <c r="T475" s="3" t="s">
        <v>51</v>
      </c>
      <c r="U475" s="7" t="n">
        <f aca="false">IF(T475="Valid",S475,0)</f>
        <v>0.2</v>
      </c>
      <c r="V475" s="6" t="n">
        <v>918.96</v>
      </c>
      <c r="W475" s="6" t="n">
        <v>554.18</v>
      </c>
      <c r="X475" s="6" t="n">
        <v>364.78</v>
      </c>
      <c r="Y475" s="6" t="n">
        <f aca="false">P475*Q475*(1-U475)</f>
        <v>918.96</v>
      </c>
      <c r="Z475" s="6" t="n">
        <f aca="false">Y475-W475</f>
        <v>364.78</v>
      </c>
      <c r="AA475" s="8" t="n">
        <f aca="false">IF(Y475=0,0,Z475/Y475)</f>
        <v>0.396948724645251</v>
      </c>
      <c r="AB475" s="3" t="str">
        <f aca="false">IF(ABS(V475-Y475)&gt;1,"Mismatch","OK")</f>
        <v>OK</v>
      </c>
      <c r="AC475" s="3" t="str">
        <f aca="false">IF(ABS(X475-Z475)&gt;1,"Mismatch","OK")</f>
        <v>OK</v>
      </c>
      <c r="AD475" s="5" t="n">
        <f aca="false">IF(OR(B475="",C475=""),"",C475-B475)</f>
        <v>0</v>
      </c>
      <c r="AE475" s="3" t="str">
        <f aca="false">IF(AD475="","Unknown",IF(AD475&lt;0,"Invalid - Ship Before Order","OK"))</f>
        <v>OK</v>
      </c>
      <c r="AF475" s="5" t="n">
        <f aca="false">IF(B475="","",MONTH(B475))</f>
        <v>11</v>
      </c>
      <c r="AG475" s="5" t="n">
        <f aca="false">IF(B475="","",YEAR(B475))</f>
        <v>2024</v>
      </c>
      <c r="AH475" s="3" t="s">
        <v>52</v>
      </c>
      <c r="AI475" s="3" t="s">
        <v>53</v>
      </c>
      <c r="AJ475" s="3" t="str">
        <f aca="false">IF(AND(AI475="Completed",AH475="Failed"),"Inconsistent - Completed Order with Failed Payment","OK")</f>
        <v>OK</v>
      </c>
      <c r="AK475" s="3" t="s">
        <v>54</v>
      </c>
      <c r="AL475" s="3" t="str">
        <f aca="false">IF(OR(T475="Negative - Invalid",T475="Above Allowed Range - Invalid",AE475="Invalid - Ship Before Order",AK475&lt;&gt;"Unique",AB475="Mismatch",AC475="Mismatch",AJ475&lt;&gt;"OK"),"Invalid",IF(OR(H475="Yes",O475="Yes",T475="Missing"),"Warning","Clean"))</f>
        <v>Clean</v>
      </c>
    </row>
    <row r="476" customFormat="false" ht="15" hidden="false" customHeight="true" outlineLevel="0" collapsed="false">
      <c r="A476" s="3" t="s">
        <v>1564</v>
      </c>
      <c r="B476" s="4" t="n">
        <v>45446</v>
      </c>
      <c r="C476" s="4" t="n">
        <v>45453</v>
      </c>
      <c r="D476" s="3" t="s">
        <v>1565</v>
      </c>
      <c r="E476" s="3" t="s">
        <v>192</v>
      </c>
      <c r="F476" s="3" t="s">
        <v>116</v>
      </c>
      <c r="G476" s="3" t="s">
        <v>42</v>
      </c>
      <c r="H476" s="3" t="s">
        <v>43</v>
      </c>
      <c r="I476" s="3" t="s">
        <v>149</v>
      </c>
      <c r="J476" s="3" t="s">
        <v>150</v>
      </c>
      <c r="K476" s="3" t="s">
        <v>62</v>
      </c>
      <c r="L476" s="3" t="s">
        <v>81</v>
      </c>
      <c r="M476" s="3" t="s">
        <v>1566</v>
      </c>
      <c r="N476" s="3" t="s">
        <v>83</v>
      </c>
      <c r="O476" s="3" t="s">
        <v>43</v>
      </c>
      <c r="P476" s="5" t="n">
        <v>3</v>
      </c>
      <c r="Q476" s="6" t="n">
        <v>1633.57</v>
      </c>
      <c r="R476" s="3" t="s">
        <v>66</v>
      </c>
      <c r="S476" s="7" t="n">
        <v>0</v>
      </c>
      <c r="T476" s="3" t="s">
        <v>51</v>
      </c>
      <c r="U476" s="7" t="n">
        <f aca="false">IF(T476="Valid",S476,0)</f>
        <v>0</v>
      </c>
      <c r="V476" s="6" t="n">
        <v>4900.71</v>
      </c>
      <c r="W476" s="6" t="n">
        <v>2713.9</v>
      </c>
      <c r="X476" s="6" t="n">
        <v>2186.81</v>
      </c>
      <c r="Y476" s="6" t="n">
        <f aca="false">P476*Q476*(1-U476)</f>
        <v>4900.71</v>
      </c>
      <c r="Z476" s="6" t="n">
        <f aca="false">Y476-W476</f>
        <v>2186.81</v>
      </c>
      <c r="AA476" s="8" t="n">
        <f aca="false">IF(Y476=0,0,Z476/Y476)</f>
        <v>0.446223098285759</v>
      </c>
      <c r="AB476" s="3" t="str">
        <f aca="false">IF(ABS(V476-Y476)&gt;1,"Mismatch","OK")</f>
        <v>OK</v>
      </c>
      <c r="AC476" s="3" t="str">
        <f aca="false">IF(ABS(X476-Z476)&gt;1,"Mismatch","OK")</f>
        <v>OK</v>
      </c>
      <c r="AD476" s="5" t="n">
        <f aca="false">IF(OR(B476="",C476=""),"",C476-B476)</f>
        <v>7</v>
      </c>
      <c r="AE476" s="3" t="str">
        <f aca="false">IF(AD476="","Unknown",IF(AD476&lt;0,"Invalid - Ship Before Order","OK"))</f>
        <v>OK</v>
      </c>
      <c r="AF476" s="5" t="n">
        <f aca="false">IF(B476="","",MONTH(B476))</f>
        <v>6</v>
      </c>
      <c r="AG476" s="5" t="n">
        <f aca="false">IF(B476="","",YEAR(B476))</f>
        <v>2024</v>
      </c>
      <c r="AH476" s="3" t="s">
        <v>52</v>
      </c>
      <c r="AI476" s="3" t="s">
        <v>53</v>
      </c>
      <c r="AJ476" s="3" t="str">
        <f aca="false">IF(AND(AI476="Completed",AH476="Failed"),"Inconsistent - Completed Order with Failed Payment","OK")</f>
        <v>OK</v>
      </c>
      <c r="AK476" s="3" t="s">
        <v>54</v>
      </c>
      <c r="AL476" s="3" t="str">
        <f aca="false">IF(OR(T476="Negative - Invalid",T476="Above Allowed Range - Invalid",AE476="Invalid - Ship Before Order",AK476&lt;&gt;"Unique",AB476="Mismatch",AC476="Mismatch",AJ476&lt;&gt;"OK"),"Invalid",IF(OR(H476="Yes",O476="Yes",T476="Missing"),"Warning","Clean"))</f>
        <v>Clean</v>
      </c>
    </row>
    <row r="477" customFormat="false" ht="15" hidden="false" customHeight="true" outlineLevel="0" collapsed="false">
      <c r="A477" s="3" t="s">
        <v>1567</v>
      </c>
      <c r="B477" s="4" t="n">
        <v>45717</v>
      </c>
      <c r="C477" s="4" t="n">
        <v>45724</v>
      </c>
      <c r="D477" s="3" t="s">
        <v>1568</v>
      </c>
      <c r="E477" s="3" t="s">
        <v>96</v>
      </c>
      <c r="F477" s="3" t="s">
        <v>41</v>
      </c>
      <c r="G477" s="3" t="s">
        <v>59</v>
      </c>
      <c r="H477" s="3" t="s">
        <v>43</v>
      </c>
      <c r="I477" s="3" t="s">
        <v>125</v>
      </c>
      <c r="J477" s="3" t="s">
        <v>126</v>
      </c>
      <c r="K477" s="3" t="s">
        <v>62</v>
      </c>
      <c r="L477" s="3" t="s">
        <v>91</v>
      </c>
      <c r="M477" s="3" t="s">
        <v>1569</v>
      </c>
      <c r="N477" s="3" t="s">
        <v>65</v>
      </c>
      <c r="O477" s="3" t="s">
        <v>43</v>
      </c>
      <c r="P477" s="5" t="n">
        <v>8</v>
      </c>
      <c r="Q477" s="6" t="n">
        <v>3378.82</v>
      </c>
      <c r="R477" s="3" t="s">
        <v>84</v>
      </c>
      <c r="S477" s="7" t="n">
        <v>0.25</v>
      </c>
      <c r="T477" s="3" t="s">
        <v>51</v>
      </c>
      <c r="U477" s="7" t="n">
        <f aca="false">IF(T477="Valid",S477,0)</f>
        <v>0.25</v>
      </c>
      <c r="V477" s="6" t="n">
        <v>20272.92</v>
      </c>
      <c r="W477" s="6" t="n">
        <v>15873.38</v>
      </c>
      <c r="X477" s="6" t="n">
        <v>4399.54</v>
      </c>
      <c r="Y477" s="6" t="n">
        <f aca="false">P477*Q477*(1-U477)</f>
        <v>20272.92</v>
      </c>
      <c r="Z477" s="6" t="n">
        <f aca="false">Y477-W477</f>
        <v>4399.54</v>
      </c>
      <c r="AA477" s="8" t="n">
        <f aca="false">IF(Y477=0,0,Z477/Y477)</f>
        <v>0.217015605053441</v>
      </c>
      <c r="AB477" s="3" t="str">
        <f aca="false">IF(ABS(V477-Y477)&gt;1,"Mismatch","OK")</f>
        <v>OK</v>
      </c>
      <c r="AC477" s="3" t="str">
        <f aca="false">IF(ABS(X477-Z477)&gt;1,"Mismatch","OK")</f>
        <v>OK</v>
      </c>
      <c r="AD477" s="5" t="n">
        <f aca="false">IF(OR(B477="",C477=""),"",C477-B477)</f>
        <v>7</v>
      </c>
      <c r="AE477" s="3" t="str">
        <f aca="false">IF(AD477="","Unknown",IF(AD477&lt;0,"Invalid - Ship Before Order","OK"))</f>
        <v>OK</v>
      </c>
      <c r="AF477" s="5" t="n">
        <f aca="false">IF(B477="","",MONTH(B477))</f>
        <v>3</v>
      </c>
      <c r="AG477" s="5" t="n">
        <f aca="false">IF(B477="","",YEAR(B477))</f>
        <v>2025</v>
      </c>
      <c r="AH477" s="3" t="s">
        <v>138</v>
      </c>
      <c r="AI477" s="3" t="s">
        <v>130</v>
      </c>
      <c r="AJ477" s="3" t="str">
        <f aca="false">IF(AND(AI477="Completed",AH477="Failed"),"Inconsistent - Completed Order with Failed Payment","OK")</f>
        <v>OK</v>
      </c>
      <c r="AK477" s="3" t="s">
        <v>54</v>
      </c>
      <c r="AL477" s="3" t="str">
        <f aca="false">IF(OR(T477="Negative - Invalid",T477="Above Allowed Range - Invalid",AE477="Invalid - Ship Before Order",AK477&lt;&gt;"Unique",AB477="Mismatch",AC477="Mismatch",AJ477&lt;&gt;"OK"),"Invalid",IF(OR(H477="Yes",O477="Yes",T477="Missing"),"Warning","Clean"))</f>
        <v>Clean</v>
      </c>
    </row>
    <row r="478" customFormat="false" ht="15" hidden="false" customHeight="true" outlineLevel="0" collapsed="false">
      <c r="A478" s="3" t="s">
        <v>1570</v>
      </c>
      <c r="B478" s="4" t="n">
        <v>45419</v>
      </c>
      <c r="C478" s="4" t="n">
        <v>45426</v>
      </c>
      <c r="D478" s="3" t="s">
        <v>1571</v>
      </c>
      <c r="E478" s="3" t="s">
        <v>159</v>
      </c>
      <c r="F478" s="3" t="s">
        <v>58</v>
      </c>
      <c r="G478" s="3" t="s">
        <v>42</v>
      </c>
      <c r="H478" s="3" t="s">
        <v>43</v>
      </c>
      <c r="I478" s="3" t="s">
        <v>44</v>
      </c>
      <c r="J478" s="3" t="s">
        <v>45</v>
      </c>
      <c r="K478" s="3" t="s">
        <v>46</v>
      </c>
      <c r="L478" s="3" t="s">
        <v>151</v>
      </c>
      <c r="M478" s="3" t="s">
        <v>1572</v>
      </c>
      <c r="N478" s="3" t="s">
        <v>72</v>
      </c>
      <c r="O478" s="3" t="s">
        <v>43</v>
      </c>
      <c r="P478" s="5" t="n">
        <v>3</v>
      </c>
      <c r="Q478" s="6" t="n">
        <v>383.58</v>
      </c>
      <c r="R478" s="3" t="s">
        <v>203</v>
      </c>
      <c r="S478" s="7" t="n">
        <v>0.1</v>
      </c>
      <c r="T478" s="3" t="s">
        <v>51</v>
      </c>
      <c r="U478" s="7" t="n">
        <f aca="false">IF(T478="Valid",S478,0)</f>
        <v>0.1</v>
      </c>
      <c r="V478" s="6" t="n">
        <v>1035.67</v>
      </c>
      <c r="W478" s="6" t="n">
        <v>595.42</v>
      </c>
      <c r="X478" s="6" t="n">
        <v>440.25</v>
      </c>
      <c r="Y478" s="6" t="n">
        <f aca="false">P478*Q478*(1-U478)</f>
        <v>1035.666</v>
      </c>
      <c r="Z478" s="6" t="n">
        <f aca="false">Y478-W478</f>
        <v>440.246</v>
      </c>
      <c r="AA478" s="8" t="n">
        <f aca="false">IF(Y478=0,0,Z478/Y478)</f>
        <v>0.425084921200464</v>
      </c>
      <c r="AB478" s="3" t="str">
        <f aca="false">IF(ABS(V478-Y478)&gt;1,"Mismatch","OK")</f>
        <v>OK</v>
      </c>
      <c r="AC478" s="3" t="str">
        <f aca="false">IF(ABS(X478-Z478)&gt;1,"Mismatch","OK")</f>
        <v>OK</v>
      </c>
      <c r="AD478" s="5" t="n">
        <f aca="false">IF(OR(B478="",C478=""),"",C478-B478)</f>
        <v>7</v>
      </c>
      <c r="AE478" s="3" t="str">
        <f aca="false">IF(AD478="","Unknown",IF(AD478&lt;0,"Invalid - Ship Before Order","OK"))</f>
        <v>OK</v>
      </c>
      <c r="AF478" s="5" t="n">
        <f aca="false">IF(B478="","",MONTH(B478))</f>
        <v>5</v>
      </c>
      <c r="AG478" s="5" t="n">
        <f aca="false">IF(B478="","",YEAR(B478))</f>
        <v>2024</v>
      </c>
      <c r="AH478" s="3" t="s">
        <v>52</v>
      </c>
      <c r="AI478" s="3" t="s">
        <v>53</v>
      </c>
      <c r="AJ478" s="3" t="str">
        <f aca="false">IF(AND(AI478="Completed",AH478="Failed"),"Inconsistent - Completed Order with Failed Payment","OK")</f>
        <v>OK</v>
      </c>
      <c r="AK478" s="3" t="s">
        <v>54</v>
      </c>
      <c r="AL478" s="3" t="str">
        <f aca="false">IF(OR(T478="Negative - Invalid",T478="Above Allowed Range - Invalid",AE478="Invalid - Ship Before Order",AK478&lt;&gt;"Unique",AB478="Mismatch",AC478="Mismatch",AJ478&lt;&gt;"OK"),"Invalid",IF(OR(H478="Yes",O478="Yes",T478="Missing"),"Warning","Clean"))</f>
        <v>Clean</v>
      </c>
    </row>
    <row r="479" customFormat="false" ht="15" hidden="false" customHeight="true" outlineLevel="0" collapsed="false">
      <c r="A479" s="3" t="s">
        <v>1573</v>
      </c>
      <c r="B479" s="4" t="n">
        <v>45892</v>
      </c>
      <c r="C479" s="4" t="n">
        <v>45897</v>
      </c>
      <c r="D479" s="3" t="s">
        <v>1574</v>
      </c>
      <c r="E479" s="3" t="s">
        <v>96</v>
      </c>
      <c r="F479" s="3" t="s">
        <v>116</v>
      </c>
      <c r="G479" s="3" t="s">
        <v>88</v>
      </c>
      <c r="H479" s="3" t="s">
        <v>43</v>
      </c>
      <c r="I479" s="3" t="s">
        <v>211</v>
      </c>
      <c r="J479" s="3" t="s">
        <v>212</v>
      </c>
      <c r="K479" s="3" t="s">
        <v>62</v>
      </c>
      <c r="L479" s="3" t="s">
        <v>91</v>
      </c>
      <c r="M479" s="3" t="s">
        <v>1575</v>
      </c>
      <c r="N479" s="3" t="s">
        <v>83</v>
      </c>
      <c r="O479" s="3" t="s">
        <v>43</v>
      </c>
      <c r="P479" s="5" t="n">
        <v>6</v>
      </c>
      <c r="Q479" s="6" t="n">
        <v>2193.23</v>
      </c>
      <c r="R479" s="3" t="s">
        <v>203</v>
      </c>
      <c r="S479" s="7" t="n">
        <v>0.1</v>
      </c>
      <c r="T479" s="3" t="s">
        <v>51</v>
      </c>
      <c r="U479" s="7" t="n">
        <f aca="false">IF(T479="Valid",S479,0)</f>
        <v>0.1</v>
      </c>
      <c r="V479" s="6" t="n">
        <v>11843.44</v>
      </c>
      <c r="W479" s="6" t="n">
        <v>9356.88</v>
      </c>
      <c r="X479" s="6" t="n">
        <v>2486.56</v>
      </c>
      <c r="Y479" s="6" t="n">
        <f aca="false">P479*Q479*(1-U479)</f>
        <v>11843.442</v>
      </c>
      <c r="Z479" s="6" t="n">
        <f aca="false">Y479-W479</f>
        <v>2486.562</v>
      </c>
      <c r="AA479" s="8" t="n">
        <f aca="false">IF(Y479=0,0,Z479/Y479)</f>
        <v>0.20995264721185</v>
      </c>
      <c r="AB479" s="3" t="str">
        <f aca="false">IF(ABS(V479-Y479)&gt;1,"Mismatch","OK")</f>
        <v>OK</v>
      </c>
      <c r="AC479" s="3" t="str">
        <f aca="false">IF(ABS(X479-Z479)&gt;1,"Mismatch","OK")</f>
        <v>OK</v>
      </c>
      <c r="AD479" s="5" t="n">
        <f aca="false">IF(OR(B479="",C479=""),"",C479-B479)</f>
        <v>5</v>
      </c>
      <c r="AE479" s="3" t="str">
        <f aca="false">IF(AD479="","Unknown",IF(AD479&lt;0,"Invalid - Ship Before Order","OK"))</f>
        <v>OK</v>
      </c>
      <c r="AF479" s="5" t="n">
        <f aca="false">IF(B479="","",MONTH(B479))</f>
        <v>8</v>
      </c>
      <c r="AG479" s="5" t="n">
        <f aca="false">IF(B479="","",YEAR(B479))</f>
        <v>2025</v>
      </c>
      <c r="AH479" s="3" t="s">
        <v>52</v>
      </c>
      <c r="AI479" s="3" t="s">
        <v>93</v>
      </c>
      <c r="AJ479" s="3" t="str">
        <f aca="false">IF(AND(AI479="Completed",AH479="Failed"),"Inconsistent - Completed Order with Failed Payment","OK")</f>
        <v>OK</v>
      </c>
      <c r="AK479" s="3" t="s">
        <v>54</v>
      </c>
      <c r="AL479" s="3" t="str">
        <f aca="false">IF(OR(T479="Negative - Invalid",T479="Above Allowed Range - Invalid",AE479="Invalid - Ship Before Order",AK479&lt;&gt;"Unique",AB479="Mismatch",AC479="Mismatch",AJ479&lt;&gt;"OK"),"Invalid",IF(OR(H479="Yes",O479="Yes",T479="Missing"),"Warning","Clean"))</f>
        <v>Clean</v>
      </c>
    </row>
    <row r="480" customFormat="false" ht="15" hidden="false" customHeight="true" outlineLevel="0" collapsed="false">
      <c r="A480" s="3" t="s">
        <v>1576</v>
      </c>
      <c r="B480" s="4" t="n">
        <v>45452</v>
      </c>
      <c r="C480" s="4" t="n">
        <v>45456</v>
      </c>
      <c r="D480" s="3" t="s">
        <v>1577</v>
      </c>
      <c r="E480" s="3" t="s">
        <v>57</v>
      </c>
      <c r="F480" s="3" t="s">
        <v>121</v>
      </c>
      <c r="G480" s="3" t="s">
        <v>237</v>
      </c>
      <c r="H480" s="3" t="s">
        <v>238</v>
      </c>
      <c r="I480" s="3" t="s">
        <v>163</v>
      </c>
      <c r="J480" s="3" t="s">
        <v>164</v>
      </c>
      <c r="K480" s="3" t="s">
        <v>99</v>
      </c>
      <c r="L480" s="3" t="s">
        <v>308</v>
      </c>
      <c r="M480" s="3" t="s">
        <v>1578</v>
      </c>
      <c r="N480" s="3" t="s">
        <v>65</v>
      </c>
      <c r="O480" s="3" t="s">
        <v>43</v>
      </c>
      <c r="P480" s="5" t="n">
        <v>7</v>
      </c>
      <c r="Q480" s="6" t="n">
        <v>4079.71</v>
      </c>
      <c r="R480" s="3" t="s">
        <v>203</v>
      </c>
      <c r="S480" s="7" t="n">
        <v>0.1</v>
      </c>
      <c r="T480" s="3" t="s">
        <v>51</v>
      </c>
      <c r="U480" s="7" t="n">
        <f aca="false">IF(T480="Valid",S480,0)</f>
        <v>0.1</v>
      </c>
      <c r="V480" s="6" t="n">
        <v>25702.17</v>
      </c>
      <c r="W480" s="6" t="n">
        <v>14571.48</v>
      </c>
      <c r="X480" s="6" t="n">
        <v>11130.69</v>
      </c>
      <c r="Y480" s="6" t="n">
        <f aca="false">P480*Q480*(1-U480)</f>
        <v>25702.173</v>
      </c>
      <c r="Z480" s="6" t="n">
        <f aca="false">Y480-W480</f>
        <v>11130.693</v>
      </c>
      <c r="AA480" s="8" t="n">
        <f aca="false">IF(Y480=0,0,Z480/Y480)</f>
        <v>0.433064278261609</v>
      </c>
      <c r="AB480" s="3" t="str">
        <f aca="false">IF(ABS(V480-Y480)&gt;1,"Mismatch","OK")</f>
        <v>OK</v>
      </c>
      <c r="AC480" s="3" t="str">
        <f aca="false">IF(ABS(X480-Z480)&gt;1,"Mismatch","OK")</f>
        <v>OK</v>
      </c>
      <c r="AD480" s="5" t="n">
        <f aca="false">IF(OR(B480="",C480=""),"",C480-B480)</f>
        <v>4</v>
      </c>
      <c r="AE480" s="3" t="str">
        <f aca="false">IF(AD480="","Unknown",IF(AD480&lt;0,"Invalid - Ship Before Order","OK"))</f>
        <v>OK</v>
      </c>
      <c r="AF480" s="5" t="n">
        <f aca="false">IF(B480="","",MONTH(B480))</f>
        <v>6</v>
      </c>
      <c r="AG480" s="5" t="n">
        <f aca="false">IF(B480="","",YEAR(B480))</f>
        <v>2024</v>
      </c>
      <c r="AH480" s="3" t="s">
        <v>129</v>
      </c>
      <c r="AI480" s="3" t="s">
        <v>130</v>
      </c>
      <c r="AJ480" s="3" t="str">
        <f aca="false">IF(AND(AI480="Completed",AH480="Failed"),"Inconsistent - Completed Order with Failed Payment","OK")</f>
        <v>OK</v>
      </c>
      <c r="AK480" s="3" t="s">
        <v>54</v>
      </c>
      <c r="AL480" s="3" t="str">
        <f aca="false">IF(OR(T480="Negative - Invalid",T480="Above Allowed Range - Invalid",AE480="Invalid - Ship Before Order",AK480&lt;&gt;"Unique",AB480="Mismatch",AC480="Mismatch",AJ480&lt;&gt;"OK"),"Invalid",IF(OR(H480="Yes",O480="Yes",T480="Missing"),"Warning","Clean"))</f>
        <v>Warning</v>
      </c>
    </row>
    <row r="481" customFormat="false" ht="15" hidden="false" customHeight="true" outlineLevel="0" collapsed="false">
      <c r="A481" s="3" t="s">
        <v>1579</v>
      </c>
      <c r="B481" s="4" t="n">
        <v>45345</v>
      </c>
      <c r="C481" s="4" t="n">
        <v>45342</v>
      </c>
      <c r="D481" s="3" t="s">
        <v>1580</v>
      </c>
      <c r="E481" s="3" t="s">
        <v>77</v>
      </c>
      <c r="F481" s="3" t="s">
        <v>116</v>
      </c>
      <c r="G481" s="3" t="s">
        <v>59</v>
      </c>
      <c r="H481" s="3" t="s">
        <v>43</v>
      </c>
      <c r="I481" s="3" t="s">
        <v>60</v>
      </c>
      <c r="J481" s="3" t="s">
        <v>61</v>
      </c>
      <c r="K481" s="3" t="s">
        <v>62</v>
      </c>
      <c r="L481" s="3" t="s">
        <v>91</v>
      </c>
      <c r="M481" s="3" t="s">
        <v>1581</v>
      </c>
      <c r="N481" s="3" t="s">
        <v>49</v>
      </c>
      <c r="O481" s="3" t="s">
        <v>43</v>
      </c>
      <c r="P481" s="5" t="n">
        <v>1</v>
      </c>
      <c r="Q481" s="6" t="n">
        <v>2202.55</v>
      </c>
      <c r="R481" s="3"/>
      <c r="S481" s="7"/>
      <c r="T481" s="3" t="s">
        <v>230</v>
      </c>
      <c r="U481" s="7" t="n">
        <f aca="false">IF(T481="Valid",S481,0)</f>
        <v>0</v>
      </c>
      <c r="V481" s="6" t="n">
        <v>1651.91</v>
      </c>
      <c r="W481" s="6" t="n">
        <v>1034.57</v>
      </c>
      <c r="X481" s="6" t="n">
        <v>617.34</v>
      </c>
      <c r="Y481" s="6" t="n">
        <f aca="false">P481*Q481*(1-U481)</f>
        <v>2202.55</v>
      </c>
      <c r="Z481" s="6" t="n">
        <f aca="false">Y481-W481</f>
        <v>1167.98</v>
      </c>
      <c r="AA481" s="8" t="n">
        <f aca="false">IF(Y481=0,0,Z481/Y481)</f>
        <v>0.53028535107035</v>
      </c>
      <c r="AB481" s="3" t="str">
        <f aca="false">IF(ABS(V481-Y481)&gt;1,"Mismatch","OK")</f>
        <v>Mismatch</v>
      </c>
      <c r="AC481" s="3" t="str">
        <f aca="false">IF(ABS(X481-Z481)&gt;1,"Mismatch","OK")</f>
        <v>Mismatch</v>
      </c>
      <c r="AD481" s="5" t="n">
        <f aca="false">IF(OR(B481="",C481=""),"",C481-B481)</f>
        <v>-3</v>
      </c>
      <c r="AE481" s="3" t="str">
        <f aca="false">IF(AD481="","Unknown",IF(AD481&lt;0,"Invalid - Ship Before Order","OK"))</f>
        <v>Invalid - Ship Before Order</v>
      </c>
      <c r="AF481" s="5" t="n">
        <f aca="false">IF(B481="","",MONTH(B481))</f>
        <v>2</v>
      </c>
      <c r="AG481" s="5" t="n">
        <f aca="false">IF(B481="","",YEAR(B481))</f>
        <v>2024</v>
      </c>
      <c r="AH481" s="3" t="s">
        <v>52</v>
      </c>
      <c r="AI481" s="3" t="s">
        <v>53</v>
      </c>
      <c r="AJ481" s="3" t="str">
        <f aca="false">IF(AND(AI481="Completed",AH481="Failed"),"Inconsistent - Completed Order with Failed Payment","OK")</f>
        <v>OK</v>
      </c>
      <c r="AK481" s="3" t="s">
        <v>54</v>
      </c>
      <c r="AL481" s="3" t="str">
        <f aca="false">IF(OR(T481="Negative - Invalid",T481="Above Allowed Range - Invalid",AE481="Invalid - Ship Before Order",AK481&lt;&gt;"Unique",AB481="Mismatch",AC481="Mismatch",AJ481&lt;&gt;"OK"),"Invalid",IF(OR(H481="Yes",O481="Yes",T481="Missing"),"Warning","Clean"))</f>
        <v>Invalid</v>
      </c>
    </row>
    <row r="482" customFormat="false" ht="15" hidden="false" customHeight="true" outlineLevel="0" collapsed="false">
      <c r="A482" s="3" t="s">
        <v>1582</v>
      </c>
      <c r="B482" s="4" t="n">
        <v>45662</v>
      </c>
      <c r="C482" s="4" t="n">
        <v>45666</v>
      </c>
      <c r="D482" s="3" t="s">
        <v>1583</v>
      </c>
      <c r="E482" s="3" t="s">
        <v>104</v>
      </c>
      <c r="F482" s="3" t="s">
        <v>58</v>
      </c>
      <c r="G482" s="3" t="s">
        <v>78</v>
      </c>
      <c r="H482" s="3" t="s">
        <v>43</v>
      </c>
      <c r="I482" s="3" t="s">
        <v>281</v>
      </c>
      <c r="J482" s="3" t="s">
        <v>282</v>
      </c>
      <c r="K482" s="3" t="s">
        <v>46</v>
      </c>
      <c r="L482" s="3" t="s">
        <v>151</v>
      </c>
      <c r="M482" s="3" t="s">
        <v>1584</v>
      </c>
      <c r="N482" s="3" t="s">
        <v>237</v>
      </c>
      <c r="O482" s="3" t="s">
        <v>238</v>
      </c>
      <c r="P482" s="5" t="n">
        <v>5</v>
      </c>
      <c r="Q482" s="6" t="n">
        <v>905.16</v>
      </c>
      <c r="R482" s="3" t="s">
        <v>66</v>
      </c>
      <c r="S482" s="7" t="n">
        <v>0</v>
      </c>
      <c r="T482" s="3" t="s">
        <v>51</v>
      </c>
      <c r="U482" s="7" t="n">
        <f aca="false">IF(T482="Valid",S482,0)</f>
        <v>0</v>
      </c>
      <c r="V482" s="6" t="n">
        <v>4525.8</v>
      </c>
      <c r="W482" s="6" t="n">
        <v>2714.51</v>
      </c>
      <c r="X482" s="6" t="n">
        <v>1811.29</v>
      </c>
      <c r="Y482" s="6" t="n">
        <f aca="false">P482*Q482*(1-U482)</f>
        <v>4525.8</v>
      </c>
      <c r="Z482" s="6" t="n">
        <f aca="false">Y482-W482</f>
        <v>1811.29</v>
      </c>
      <c r="AA482" s="8" t="n">
        <f aca="false">IF(Y482=0,0,Z482/Y482)</f>
        <v>0.400214326748862</v>
      </c>
      <c r="AB482" s="3" t="str">
        <f aca="false">IF(ABS(V482-Y482)&gt;1,"Mismatch","OK")</f>
        <v>OK</v>
      </c>
      <c r="AC482" s="3" t="str">
        <f aca="false">IF(ABS(X482-Z482)&gt;1,"Mismatch","OK")</f>
        <v>OK</v>
      </c>
      <c r="AD482" s="5" t="n">
        <f aca="false">IF(OR(B482="",C482=""),"",C482-B482)</f>
        <v>4</v>
      </c>
      <c r="AE482" s="3" t="str">
        <f aca="false">IF(AD482="","Unknown",IF(AD482&lt;0,"Invalid - Ship Before Order","OK"))</f>
        <v>OK</v>
      </c>
      <c r="AF482" s="5" t="n">
        <f aca="false">IF(B482="","",MONTH(B482))</f>
        <v>1</v>
      </c>
      <c r="AG482" s="5" t="n">
        <f aca="false">IF(B482="","",YEAR(B482))</f>
        <v>2025</v>
      </c>
      <c r="AH482" s="3" t="s">
        <v>52</v>
      </c>
      <c r="AI482" s="3" t="s">
        <v>53</v>
      </c>
      <c r="AJ482" s="3" t="str">
        <f aca="false">IF(AND(AI482="Completed",AH482="Failed"),"Inconsistent - Completed Order with Failed Payment","OK")</f>
        <v>OK</v>
      </c>
      <c r="AK482" s="3" t="s">
        <v>54</v>
      </c>
      <c r="AL482" s="3" t="str">
        <f aca="false">IF(OR(T482="Negative - Invalid",T482="Above Allowed Range - Invalid",AE482="Invalid - Ship Before Order",AK482&lt;&gt;"Unique",AB482="Mismatch",AC482="Mismatch",AJ482&lt;&gt;"OK"),"Invalid",IF(OR(H482="Yes",O482="Yes",T482="Missing"),"Warning","Clean"))</f>
        <v>Warning</v>
      </c>
    </row>
    <row r="483" customFormat="false" ht="15" hidden="false" customHeight="true" outlineLevel="0" collapsed="false">
      <c r="A483" s="3" t="s">
        <v>1585</v>
      </c>
      <c r="B483" s="4" t="n">
        <v>45813</v>
      </c>
      <c r="C483" s="4" t="n">
        <v>45821</v>
      </c>
      <c r="D483" s="3" t="s">
        <v>1586</v>
      </c>
      <c r="E483" s="3" t="s">
        <v>69</v>
      </c>
      <c r="F483" s="3" t="s">
        <v>41</v>
      </c>
      <c r="G483" s="3" t="s">
        <v>42</v>
      </c>
      <c r="H483" s="3" t="s">
        <v>43</v>
      </c>
      <c r="I483" s="3" t="s">
        <v>163</v>
      </c>
      <c r="J483" s="3" t="s">
        <v>164</v>
      </c>
      <c r="K483" s="3" t="s">
        <v>99</v>
      </c>
      <c r="L483" s="3" t="s">
        <v>308</v>
      </c>
      <c r="M483" s="3" t="s">
        <v>1587</v>
      </c>
      <c r="N483" s="3" t="s">
        <v>65</v>
      </c>
      <c r="O483" s="3" t="s">
        <v>43</v>
      </c>
      <c r="P483" s="5" t="n">
        <v>4</v>
      </c>
      <c r="Q483" s="6" t="n">
        <v>2793.88</v>
      </c>
      <c r="R483" s="3" t="s">
        <v>806</v>
      </c>
      <c r="S483" s="7" t="n">
        <v>0.85</v>
      </c>
      <c r="T483" s="3" t="s">
        <v>74</v>
      </c>
      <c r="U483" s="7" t="n">
        <f aca="false">IF(T483="Valid",S483,0)</f>
        <v>0</v>
      </c>
      <c r="V483" s="6" t="n">
        <v>10616.74</v>
      </c>
      <c r="W483" s="6" t="n">
        <v>6353.59</v>
      </c>
      <c r="X483" s="6" t="n">
        <v>4263.15</v>
      </c>
      <c r="Y483" s="6" t="n">
        <f aca="false">P483*Q483*(1-U483)</f>
        <v>11175.52</v>
      </c>
      <c r="Z483" s="6" t="n">
        <f aca="false">Y483-W483</f>
        <v>4821.93</v>
      </c>
      <c r="AA483" s="8" t="n">
        <f aca="false">IF(Y483=0,0,Z483/Y483)</f>
        <v>0.431472539980243</v>
      </c>
      <c r="AB483" s="3" t="str">
        <f aca="false">IF(ABS(V483-Y483)&gt;1,"Mismatch","OK")</f>
        <v>Mismatch</v>
      </c>
      <c r="AC483" s="3" t="str">
        <f aca="false">IF(ABS(X483-Z483)&gt;1,"Mismatch","OK")</f>
        <v>Mismatch</v>
      </c>
      <c r="AD483" s="5" t="n">
        <f aca="false">IF(OR(B483="",C483=""),"",C483-B483)</f>
        <v>8</v>
      </c>
      <c r="AE483" s="3" t="str">
        <f aca="false">IF(AD483="","Unknown",IF(AD483&lt;0,"Invalid - Ship Before Order","OK"))</f>
        <v>OK</v>
      </c>
      <c r="AF483" s="5" t="n">
        <f aca="false">IF(B483="","",MONTH(B483))</f>
        <v>6</v>
      </c>
      <c r="AG483" s="5" t="n">
        <f aca="false">IF(B483="","",YEAR(B483))</f>
        <v>2025</v>
      </c>
      <c r="AH483" s="3" t="s">
        <v>52</v>
      </c>
      <c r="AI483" s="3" t="s">
        <v>53</v>
      </c>
      <c r="AJ483" s="3" t="str">
        <f aca="false">IF(AND(AI483="Completed",AH483="Failed"),"Inconsistent - Completed Order with Failed Payment","OK")</f>
        <v>OK</v>
      </c>
      <c r="AK483" s="3" t="s">
        <v>54</v>
      </c>
      <c r="AL483" s="3" t="str">
        <f aca="false">IF(OR(T483="Negative - Invalid",T483="Above Allowed Range - Invalid",AE483="Invalid - Ship Before Order",AK483&lt;&gt;"Unique",AB483="Mismatch",AC483="Mismatch",AJ483&lt;&gt;"OK"),"Invalid",IF(OR(H483="Yes",O483="Yes",T483="Missing"),"Warning","Clean"))</f>
        <v>Invalid</v>
      </c>
    </row>
    <row r="484" customFormat="false" ht="15" hidden="false" customHeight="true" outlineLevel="0" collapsed="false">
      <c r="A484" s="3" t="s">
        <v>1588</v>
      </c>
      <c r="B484" s="4" t="n">
        <v>45495</v>
      </c>
      <c r="C484" s="4" t="n">
        <v>45495</v>
      </c>
      <c r="D484" s="3" t="s">
        <v>1589</v>
      </c>
      <c r="E484" s="3" t="s">
        <v>141</v>
      </c>
      <c r="F484" s="3" t="s">
        <v>41</v>
      </c>
      <c r="G484" s="3" t="s">
        <v>78</v>
      </c>
      <c r="H484" s="3" t="s">
        <v>43</v>
      </c>
      <c r="I484" s="3" t="s">
        <v>206</v>
      </c>
      <c r="J484" s="3" t="s">
        <v>207</v>
      </c>
      <c r="K484" s="3" t="s">
        <v>99</v>
      </c>
      <c r="L484" s="3" t="s">
        <v>100</v>
      </c>
      <c r="M484" s="3" t="s">
        <v>1590</v>
      </c>
      <c r="N484" s="3" t="s">
        <v>49</v>
      </c>
      <c r="O484" s="3" t="s">
        <v>43</v>
      </c>
      <c r="P484" s="5" t="n">
        <v>3</v>
      </c>
      <c r="Q484" s="6" t="n">
        <v>1286.22</v>
      </c>
      <c r="R484" s="3" t="s">
        <v>84</v>
      </c>
      <c r="S484" s="7" t="n">
        <v>0.25</v>
      </c>
      <c r="T484" s="3" t="s">
        <v>51</v>
      </c>
      <c r="U484" s="7" t="n">
        <f aca="false">IF(T484="Valid",S484,0)</f>
        <v>0.25</v>
      </c>
      <c r="V484" s="6" t="n">
        <v>2893.99</v>
      </c>
      <c r="W484" s="6" t="n">
        <v>1856.03</v>
      </c>
      <c r="X484" s="6" t="n">
        <v>1037.96</v>
      </c>
      <c r="Y484" s="6" t="n">
        <f aca="false">P484*Q484*(1-U484)</f>
        <v>2893.995</v>
      </c>
      <c r="Z484" s="6" t="n">
        <f aca="false">Y484-W484</f>
        <v>1037.965</v>
      </c>
      <c r="AA484" s="8" t="n">
        <f aca="false">IF(Y484=0,0,Z484/Y484)</f>
        <v>0.358661642470011</v>
      </c>
      <c r="AB484" s="3" t="str">
        <f aca="false">IF(ABS(V484-Y484)&gt;1,"Mismatch","OK")</f>
        <v>OK</v>
      </c>
      <c r="AC484" s="3" t="str">
        <f aca="false">IF(ABS(X484-Z484)&gt;1,"Mismatch","OK")</f>
        <v>OK</v>
      </c>
      <c r="AD484" s="5" t="n">
        <f aca="false">IF(OR(B484="",C484=""),"",C484-B484)</f>
        <v>0</v>
      </c>
      <c r="AE484" s="3" t="str">
        <f aca="false">IF(AD484="","Unknown",IF(AD484&lt;0,"Invalid - Ship Before Order","OK"))</f>
        <v>OK</v>
      </c>
      <c r="AF484" s="5" t="n">
        <f aca="false">IF(B484="","",MONTH(B484))</f>
        <v>7</v>
      </c>
      <c r="AG484" s="5" t="n">
        <f aca="false">IF(B484="","",YEAR(B484))</f>
        <v>2024</v>
      </c>
      <c r="AH484" s="3" t="s">
        <v>52</v>
      </c>
      <c r="AI484" s="3" t="s">
        <v>53</v>
      </c>
      <c r="AJ484" s="3" t="str">
        <f aca="false">IF(AND(AI484="Completed",AH484="Failed"),"Inconsistent - Completed Order with Failed Payment","OK")</f>
        <v>OK</v>
      </c>
      <c r="AK484" s="3" t="s">
        <v>54</v>
      </c>
      <c r="AL484" s="3" t="str">
        <f aca="false">IF(OR(T484="Negative - Invalid",T484="Above Allowed Range - Invalid",AE484="Invalid - Ship Before Order",AK484&lt;&gt;"Unique",AB484="Mismatch",AC484="Mismatch",AJ484&lt;&gt;"OK"),"Invalid",IF(OR(H484="Yes",O484="Yes",T484="Missing"),"Warning","Clean"))</f>
        <v>Clean</v>
      </c>
    </row>
    <row r="485" customFormat="false" ht="15" hidden="false" customHeight="true" outlineLevel="0" collapsed="false">
      <c r="A485" s="3" t="s">
        <v>1591</v>
      </c>
      <c r="B485" s="4" t="n">
        <v>45651</v>
      </c>
      <c r="C485" s="4" t="n">
        <v>45651</v>
      </c>
      <c r="D485" s="3" t="s">
        <v>1592</v>
      </c>
      <c r="E485" s="3" t="s">
        <v>57</v>
      </c>
      <c r="F485" s="3" t="s">
        <v>116</v>
      </c>
      <c r="G485" s="3" t="s">
        <v>59</v>
      </c>
      <c r="H485" s="3" t="s">
        <v>43</v>
      </c>
      <c r="I485" s="3" t="s">
        <v>174</v>
      </c>
      <c r="J485" s="3" t="s">
        <v>175</v>
      </c>
      <c r="K485" s="3" t="s">
        <v>99</v>
      </c>
      <c r="L485" s="3" t="s">
        <v>105</v>
      </c>
      <c r="M485" s="3" t="s">
        <v>1593</v>
      </c>
      <c r="N485" s="3" t="s">
        <v>83</v>
      </c>
      <c r="O485" s="3" t="s">
        <v>43</v>
      </c>
      <c r="P485" s="5" t="n">
        <v>1</v>
      </c>
      <c r="Q485" s="6" t="n">
        <v>829.66</v>
      </c>
      <c r="R485" s="3" t="s">
        <v>107</v>
      </c>
      <c r="S485" s="7" t="n">
        <v>0.15</v>
      </c>
      <c r="T485" s="3" t="s">
        <v>51</v>
      </c>
      <c r="U485" s="7" t="n">
        <f aca="false">IF(T485="Valid",S485,0)</f>
        <v>0.15</v>
      </c>
      <c r="V485" s="6" t="n">
        <v>705.21</v>
      </c>
      <c r="W485" s="6" t="n">
        <v>438.32</v>
      </c>
      <c r="X485" s="6" t="n">
        <v>266.89</v>
      </c>
      <c r="Y485" s="6" t="n">
        <f aca="false">P485*Q485*(1-U485)</f>
        <v>705.211</v>
      </c>
      <c r="Z485" s="6" t="n">
        <f aca="false">Y485-W485</f>
        <v>266.891</v>
      </c>
      <c r="AA485" s="8" t="n">
        <f aca="false">IF(Y485=0,0,Z485/Y485)</f>
        <v>0.378455526076593</v>
      </c>
      <c r="AB485" s="3" t="str">
        <f aca="false">IF(ABS(V485-Y485)&gt;1,"Mismatch","OK")</f>
        <v>OK</v>
      </c>
      <c r="AC485" s="3" t="str">
        <f aca="false">IF(ABS(X485-Z485)&gt;1,"Mismatch","OK")</f>
        <v>OK</v>
      </c>
      <c r="AD485" s="5" t="n">
        <f aca="false">IF(OR(B485="",C485=""),"",C485-B485)</f>
        <v>0</v>
      </c>
      <c r="AE485" s="3" t="str">
        <f aca="false">IF(AD485="","Unknown",IF(AD485&lt;0,"Invalid - Ship Before Order","OK"))</f>
        <v>OK</v>
      </c>
      <c r="AF485" s="5" t="n">
        <f aca="false">IF(B485="","",MONTH(B485))</f>
        <v>12</v>
      </c>
      <c r="AG485" s="5" t="n">
        <f aca="false">IF(B485="","",YEAR(B485))</f>
        <v>2024</v>
      </c>
      <c r="AH485" s="3" t="s">
        <v>52</v>
      </c>
      <c r="AI485" s="3" t="s">
        <v>53</v>
      </c>
      <c r="AJ485" s="3" t="str">
        <f aca="false">IF(AND(AI485="Completed",AH485="Failed"),"Inconsistent - Completed Order with Failed Payment","OK")</f>
        <v>OK</v>
      </c>
      <c r="AK485" s="3" t="s">
        <v>54</v>
      </c>
      <c r="AL485" s="3" t="str">
        <f aca="false">IF(OR(T485="Negative - Invalid",T485="Above Allowed Range - Invalid",AE485="Invalid - Ship Before Order",AK485&lt;&gt;"Unique",AB485="Mismatch",AC485="Mismatch",AJ485&lt;&gt;"OK"),"Invalid",IF(OR(H485="Yes",O485="Yes",T485="Missing"),"Warning","Clean"))</f>
        <v>Clean</v>
      </c>
    </row>
    <row r="486" customFormat="false" ht="15" hidden="false" customHeight="true" outlineLevel="0" collapsed="false">
      <c r="A486" s="3" t="s">
        <v>1594</v>
      </c>
      <c r="B486" s="4" t="n">
        <v>45654</v>
      </c>
      <c r="C486" s="4" t="n">
        <v>45657</v>
      </c>
      <c r="D486" s="3" t="s">
        <v>1595</v>
      </c>
      <c r="E486" s="3" t="s">
        <v>57</v>
      </c>
      <c r="F486" s="3" t="s">
        <v>58</v>
      </c>
      <c r="G486" s="3" t="s">
        <v>78</v>
      </c>
      <c r="H486" s="3" t="s">
        <v>43</v>
      </c>
      <c r="I486" s="3" t="s">
        <v>110</v>
      </c>
      <c r="J486" s="3" t="s">
        <v>111</v>
      </c>
      <c r="K486" s="3" t="s">
        <v>62</v>
      </c>
      <c r="L486" s="3" t="s">
        <v>81</v>
      </c>
      <c r="M486" s="3" t="s">
        <v>1596</v>
      </c>
      <c r="N486" s="3" t="s">
        <v>72</v>
      </c>
      <c r="O486" s="3" t="s">
        <v>43</v>
      </c>
      <c r="P486" s="5" t="n">
        <v>6</v>
      </c>
      <c r="Q486" s="6" t="n">
        <v>3641.22</v>
      </c>
      <c r="R486" s="3" t="s">
        <v>84</v>
      </c>
      <c r="S486" s="7" t="n">
        <v>0.25</v>
      </c>
      <c r="T486" s="3" t="s">
        <v>51</v>
      </c>
      <c r="U486" s="7" t="n">
        <f aca="false">IF(T486="Valid",S486,0)</f>
        <v>0.25</v>
      </c>
      <c r="V486" s="6" t="n">
        <v>16385.49</v>
      </c>
      <c r="W486" s="6" t="n">
        <v>13679.24</v>
      </c>
      <c r="X486" s="6" t="n">
        <v>2706.25</v>
      </c>
      <c r="Y486" s="6" t="n">
        <f aca="false">P486*Q486*(1-U486)</f>
        <v>16385.49</v>
      </c>
      <c r="Z486" s="6" t="n">
        <f aca="false">Y486-W486</f>
        <v>2706.25</v>
      </c>
      <c r="AA486" s="8" t="n">
        <f aca="false">IF(Y486=0,0,Z486/Y486)</f>
        <v>0.165161371432896</v>
      </c>
      <c r="AB486" s="3" t="str">
        <f aca="false">IF(ABS(V486-Y486)&gt;1,"Mismatch","OK")</f>
        <v>OK</v>
      </c>
      <c r="AC486" s="3" t="str">
        <f aca="false">IF(ABS(X486-Z486)&gt;1,"Mismatch","OK")</f>
        <v>OK</v>
      </c>
      <c r="AD486" s="5" t="n">
        <f aca="false">IF(OR(B486="",C486=""),"",C486-B486)</f>
        <v>3</v>
      </c>
      <c r="AE486" s="3" t="str">
        <f aca="false">IF(AD486="","Unknown",IF(AD486&lt;0,"Invalid - Ship Before Order","OK"))</f>
        <v>OK</v>
      </c>
      <c r="AF486" s="5" t="n">
        <f aca="false">IF(B486="","",MONTH(B486))</f>
        <v>12</v>
      </c>
      <c r="AG486" s="5" t="n">
        <f aca="false">IF(B486="","",YEAR(B486))</f>
        <v>2024</v>
      </c>
      <c r="AH486" s="3" t="s">
        <v>52</v>
      </c>
      <c r="AI486" s="3" t="s">
        <v>53</v>
      </c>
      <c r="AJ486" s="3" t="str">
        <f aca="false">IF(AND(AI486="Completed",AH486="Failed"),"Inconsistent - Completed Order with Failed Payment","OK")</f>
        <v>OK</v>
      </c>
      <c r="AK486" s="3" t="s">
        <v>54</v>
      </c>
      <c r="AL486" s="3" t="str">
        <f aca="false">IF(OR(T486="Negative - Invalid",T486="Above Allowed Range - Invalid",AE486="Invalid - Ship Before Order",AK486&lt;&gt;"Unique",AB486="Mismatch",AC486="Mismatch",AJ486&lt;&gt;"OK"),"Invalid",IF(OR(H486="Yes",O486="Yes",T486="Missing"),"Warning","Clean"))</f>
        <v>Clean</v>
      </c>
    </row>
    <row r="487" customFormat="false" ht="15" hidden="false" customHeight="true" outlineLevel="0" collapsed="false">
      <c r="A487" s="3" t="s">
        <v>1597</v>
      </c>
      <c r="B487" s="4" t="n">
        <v>45679</v>
      </c>
      <c r="C487" s="4" t="n">
        <v>45680</v>
      </c>
      <c r="D487" s="3" t="s">
        <v>1598</v>
      </c>
      <c r="E487" s="3" t="s">
        <v>145</v>
      </c>
      <c r="F487" s="3" t="s">
        <v>116</v>
      </c>
      <c r="G487" s="3" t="s">
        <v>88</v>
      </c>
      <c r="H487" s="3" t="s">
        <v>43</v>
      </c>
      <c r="I487" s="3" t="s">
        <v>221</v>
      </c>
      <c r="J487" s="3" t="s">
        <v>222</v>
      </c>
      <c r="K487" s="3" t="s">
        <v>62</v>
      </c>
      <c r="L487" s="3" t="s">
        <v>188</v>
      </c>
      <c r="M487" s="3" t="s">
        <v>1599</v>
      </c>
      <c r="N487" s="3" t="s">
        <v>83</v>
      </c>
      <c r="O487" s="3" t="s">
        <v>43</v>
      </c>
      <c r="P487" s="5" t="n">
        <v>4</v>
      </c>
      <c r="Q487" s="6" t="n">
        <v>2555.19</v>
      </c>
      <c r="R487" s="3" t="s">
        <v>84</v>
      </c>
      <c r="S487" s="7" t="n">
        <v>0.25</v>
      </c>
      <c r="T487" s="3" t="s">
        <v>51</v>
      </c>
      <c r="U487" s="7" t="n">
        <f aca="false">IF(T487="Valid",S487,0)</f>
        <v>0.25</v>
      </c>
      <c r="V487" s="6" t="n">
        <v>7665.57</v>
      </c>
      <c r="W487" s="6" t="n">
        <v>5595.6</v>
      </c>
      <c r="X487" s="6" t="n">
        <v>2069.97</v>
      </c>
      <c r="Y487" s="6" t="n">
        <f aca="false">P487*Q487*(1-U487)</f>
        <v>7665.57</v>
      </c>
      <c r="Z487" s="6" t="n">
        <f aca="false">Y487-W487</f>
        <v>2069.97</v>
      </c>
      <c r="AA487" s="8" t="n">
        <f aca="false">IF(Y487=0,0,Z487/Y487)</f>
        <v>0.270034713661215</v>
      </c>
      <c r="AB487" s="3" t="str">
        <f aca="false">IF(ABS(V487-Y487)&gt;1,"Mismatch","OK")</f>
        <v>OK</v>
      </c>
      <c r="AC487" s="3" t="str">
        <f aca="false">IF(ABS(X487-Z487)&gt;1,"Mismatch","OK")</f>
        <v>OK</v>
      </c>
      <c r="AD487" s="5" t="n">
        <f aca="false">IF(OR(B487="",C487=""),"",C487-B487)</f>
        <v>1</v>
      </c>
      <c r="AE487" s="3" t="str">
        <f aca="false">IF(AD487="","Unknown",IF(AD487&lt;0,"Invalid - Ship Before Order","OK"))</f>
        <v>OK</v>
      </c>
      <c r="AF487" s="5" t="n">
        <f aca="false">IF(B487="","",MONTH(B487))</f>
        <v>1</v>
      </c>
      <c r="AG487" s="5" t="n">
        <f aca="false">IF(B487="","",YEAR(B487))</f>
        <v>2025</v>
      </c>
      <c r="AH487" s="3" t="s">
        <v>52</v>
      </c>
      <c r="AI487" s="3" t="s">
        <v>53</v>
      </c>
      <c r="AJ487" s="3" t="str">
        <f aca="false">IF(AND(AI487="Completed",AH487="Failed"),"Inconsistent - Completed Order with Failed Payment","OK")</f>
        <v>OK</v>
      </c>
      <c r="AK487" s="3" t="s">
        <v>54</v>
      </c>
      <c r="AL487" s="3" t="str">
        <f aca="false">IF(OR(T487="Negative - Invalid",T487="Above Allowed Range - Invalid",AE487="Invalid - Ship Before Order",AK487&lt;&gt;"Unique",AB487="Mismatch",AC487="Mismatch",AJ487&lt;&gt;"OK"),"Invalid",IF(OR(H487="Yes",O487="Yes",T487="Missing"),"Warning","Clean"))</f>
        <v>Clean</v>
      </c>
    </row>
    <row r="488" customFormat="false" ht="15" hidden="false" customHeight="true" outlineLevel="0" collapsed="false">
      <c r="A488" s="3" t="s">
        <v>1600</v>
      </c>
      <c r="B488" s="4" t="n">
        <v>45830</v>
      </c>
      <c r="C488" s="4" t="n">
        <v>45834</v>
      </c>
      <c r="D488" s="3" t="s">
        <v>1601</v>
      </c>
      <c r="E488" s="3" t="s">
        <v>145</v>
      </c>
      <c r="F488" s="3" t="s">
        <v>116</v>
      </c>
      <c r="G488" s="3" t="s">
        <v>88</v>
      </c>
      <c r="H488" s="3" t="s">
        <v>43</v>
      </c>
      <c r="I488" s="3" t="s">
        <v>221</v>
      </c>
      <c r="J488" s="3" t="s">
        <v>222</v>
      </c>
      <c r="K488" s="3" t="s">
        <v>62</v>
      </c>
      <c r="L488" s="3" t="s">
        <v>63</v>
      </c>
      <c r="M488" s="3" t="s">
        <v>1602</v>
      </c>
      <c r="N488" s="3" t="s">
        <v>83</v>
      </c>
      <c r="O488" s="3" t="s">
        <v>43</v>
      </c>
      <c r="P488" s="5" t="n">
        <v>3</v>
      </c>
      <c r="Q488" s="6" t="n">
        <v>1946.18</v>
      </c>
      <c r="R488" s="3" t="s">
        <v>50</v>
      </c>
      <c r="S488" s="7" t="n">
        <v>0.2</v>
      </c>
      <c r="T488" s="3" t="s">
        <v>51</v>
      </c>
      <c r="U488" s="7" t="n">
        <f aca="false">IF(T488="Valid",S488,0)</f>
        <v>0.2</v>
      </c>
      <c r="V488" s="6" t="n">
        <v>4670.83</v>
      </c>
      <c r="W488" s="6" t="n">
        <v>3166.49</v>
      </c>
      <c r="X488" s="6" t="n">
        <v>1504.34</v>
      </c>
      <c r="Y488" s="6" t="n">
        <f aca="false">P488*Q488*(1-U488)</f>
        <v>4670.832</v>
      </c>
      <c r="Z488" s="6" t="n">
        <f aca="false">Y488-W488</f>
        <v>1504.342</v>
      </c>
      <c r="AA488" s="8" t="n">
        <f aca="false">IF(Y488=0,0,Z488/Y488)</f>
        <v>0.322071528156012</v>
      </c>
      <c r="AB488" s="3" t="str">
        <f aca="false">IF(ABS(V488-Y488)&gt;1,"Mismatch","OK")</f>
        <v>OK</v>
      </c>
      <c r="AC488" s="3" t="str">
        <f aca="false">IF(ABS(X488-Z488)&gt;1,"Mismatch","OK")</f>
        <v>OK</v>
      </c>
      <c r="AD488" s="5" t="n">
        <f aca="false">IF(OR(B488="",C488=""),"",C488-B488)</f>
        <v>4</v>
      </c>
      <c r="AE488" s="3" t="str">
        <f aca="false">IF(AD488="","Unknown",IF(AD488&lt;0,"Invalid - Ship Before Order","OK"))</f>
        <v>OK</v>
      </c>
      <c r="AF488" s="5" t="n">
        <f aca="false">IF(B488="","",MONTH(B488))</f>
        <v>6</v>
      </c>
      <c r="AG488" s="5" t="n">
        <f aca="false">IF(B488="","",YEAR(B488))</f>
        <v>2025</v>
      </c>
      <c r="AH488" s="3" t="s">
        <v>52</v>
      </c>
      <c r="AI488" s="3" t="s">
        <v>53</v>
      </c>
      <c r="AJ488" s="3" t="str">
        <f aca="false">IF(AND(AI488="Completed",AH488="Failed"),"Inconsistent - Completed Order with Failed Payment","OK")</f>
        <v>OK</v>
      </c>
      <c r="AK488" s="3" t="s">
        <v>54</v>
      </c>
      <c r="AL488" s="3" t="str">
        <f aca="false">IF(OR(T488="Negative - Invalid",T488="Above Allowed Range - Invalid",AE488="Invalid - Ship Before Order",AK488&lt;&gt;"Unique",AB488="Mismatch",AC488="Mismatch",AJ488&lt;&gt;"OK"),"Invalid",IF(OR(H488="Yes",O488="Yes",T488="Missing"),"Warning","Clean"))</f>
        <v>Clean</v>
      </c>
    </row>
    <row r="489" customFormat="false" ht="15" hidden="false" customHeight="true" outlineLevel="0" collapsed="false">
      <c r="A489" s="3" t="s">
        <v>1603</v>
      </c>
      <c r="B489" s="4" t="n">
        <v>45818</v>
      </c>
      <c r="C489" s="4" t="n">
        <v>45825</v>
      </c>
      <c r="D489" s="3" t="s">
        <v>1604</v>
      </c>
      <c r="E489" s="3" t="s">
        <v>145</v>
      </c>
      <c r="F489" s="3" t="s">
        <v>116</v>
      </c>
      <c r="G489" s="3" t="s">
        <v>78</v>
      </c>
      <c r="H489" s="3" t="s">
        <v>43</v>
      </c>
      <c r="I489" s="3" t="s">
        <v>79</v>
      </c>
      <c r="J489" s="3" t="s">
        <v>80</v>
      </c>
      <c r="K489" s="3" t="s">
        <v>62</v>
      </c>
      <c r="L489" s="3" t="s">
        <v>81</v>
      </c>
      <c r="M489" s="3" t="s">
        <v>1605</v>
      </c>
      <c r="N489" s="3" t="s">
        <v>83</v>
      </c>
      <c r="O489" s="3" t="s">
        <v>43</v>
      </c>
      <c r="P489" s="5" t="n">
        <v>5</v>
      </c>
      <c r="Q489" s="6" t="n">
        <v>1231.1</v>
      </c>
      <c r="R489" s="3" t="s">
        <v>66</v>
      </c>
      <c r="S489" s="7" t="n">
        <v>0</v>
      </c>
      <c r="T489" s="3" t="s">
        <v>51</v>
      </c>
      <c r="U489" s="7" t="n">
        <f aca="false">IF(T489="Valid",S489,0)</f>
        <v>0</v>
      </c>
      <c r="V489" s="6" t="n">
        <v>6155.5</v>
      </c>
      <c r="W489" s="6" t="n">
        <v>4282.09</v>
      </c>
      <c r="X489" s="6" t="n">
        <v>1873.41</v>
      </c>
      <c r="Y489" s="6" t="n">
        <f aca="false">P489*Q489*(1-U489)</f>
        <v>6155.5</v>
      </c>
      <c r="Z489" s="6" t="n">
        <f aca="false">Y489-W489</f>
        <v>1873.41</v>
      </c>
      <c r="AA489" s="8" t="n">
        <f aca="false">IF(Y489=0,0,Z489/Y489)</f>
        <v>0.304347331654618</v>
      </c>
      <c r="AB489" s="3" t="str">
        <f aca="false">IF(ABS(V489-Y489)&gt;1,"Mismatch","OK")</f>
        <v>OK</v>
      </c>
      <c r="AC489" s="3" t="str">
        <f aca="false">IF(ABS(X489-Z489)&gt;1,"Mismatch","OK")</f>
        <v>OK</v>
      </c>
      <c r="AD489" s="5" t="n">
        <f aca="false">IF(OR(B489="",C489=""),"",C489-B489)</f>
        <v>7</v>
      </c>
      <c r="AE489" s="3" t="str">
        <f aca="false">IF(AD489="","Unknown",IF(AD489&lt;0,"Invalid - Ship Before Order","OK"))</f>
        <v>OK</v>
      </c>
      <c r="AF489" s="5" t="n">
        <f aca="false">IF(B489="","",MONTH(B489))</f>
        <v>6</v>
      </c>
      <c r="AG489" s="5" t="n">
        <f aca="false">IF(B489="","",YEAR(B489))</f>
        <v>2025</v>
      </c>
      <c r="AH489" s="3" t="s">
        <v>129</v>
      </c>
      <c r="AI489" s="3" t="s">
        <v>130</v>
      </c>
      <c r="AJ489" s="3" t="str">
        <f aca="false">IF(AND(AI489="Completed",AH489="Failed"),"Inconsistent - Completed Order with Failed Payment","OK")</f>
        <v>OK</v>
      </c>
      <c r="AK489" s="3" t="s">
        <v>54</v>
      </c>
      <c r="AL489" s="3" t="str">
        <f aca="false">IF(OR(T489="Negative - Invalid",T489="Above Allowed Range - Invalid",AE489="Invalid - Ship Before Order",AK489&lt;&gt;"Unique",AB489="Mismatch",AC489="Mismatch",AJ489&lt;&gt;"OK"),"Invalid",IF(OR(H489="Yes",O489="Yes",T489="Missing"),"Warning","Clean"))</f>
        <v>Clean</v>
      </c>
    </row>
    <row r="490" customFormat="false" ht="15" hidden="false" customHeight="true" outlineLevel="0" collapsed="false">
      <c r="A490" s="3" t="s">
        <v>1606</v>
      </c>
      <c r="B490" s="4" t="n">
        <v>45579</v>
      </c>
      <c r="C490" s="4" t="n">
        <v>45585</v>
      </c>
      <c r="D490" s="3" t="s">
        <v>1607</v>
      </c>
      <c r="E490" s="3" t="s">
        <v>115</v>
      </c>
      <c r="F490" s="3" t="s">
        <v>58</v>
      </c>
      <c r="G490" s="3" t="s">
        <v>42</v>
      </c>
      <c r="H490" s="3" t="s">
        <v>43</v>
      </c>
      <c r="I490" s="3" t="s">
        <v>44</v>
      </c>
      <c r="J490" s="3" t="s">
        <v>45</v>
      </c>
      <c r="K490" s="3" t="s">
        <v>62</v>
      </c>
      <c r="L490" s="3" t="s">
        <v>63</v>
      </c>
      <c r="M490" s="3" t="s">
        <v>1608</v>
      </c>
      <c r="N490" s="3" t="s">
        <v>65</v>
      </c>
      <c r="O490" s="3" t="s">
        <v>43</v>
      </c>
      <c r="P490" s="5" t="n">
        <v>7</v>
      </c>
      <c r="Q490" s="6" t="n">
        <v>1547.6</v>
      </c>
      <c r="R490" s="3" t="s">
        <v>50</v>
      </c>
      <c r="S490" s="7" t="n">
        <v>0.2</v>
      </c>
      <c r="T490" s="3" t="s">
        <v>51</v>
      </c>
      <c r="U490" s="7" t="n">
        <f aca="false">IF(T490="Valid",S490,0)</f>
        <v>0.2</v>
      </c>
      <c r="V490" s="6" t="n">
        <v>8666.56</v>
      </c>
      <c r="W490" s="6" t="n">
        <v>5967.44</v>
      </c>
      <c r="X490" s="6" t="n">
        <v>2699.12</v>
      </c>
      <c r="Y490" s="6" t="n">
        <f aca="false">P490*Q490*(1-U490)</f>
        <v>8666.56</v>
      </c>
      <c r="Z490" s="6" t="n">
        <f aca="false">Y490-W490</f>
        <v>2699.12</v>
      </c>
      <c r="AA490" s="8" t="n">
        <f aca="false">IF(Y490=0,0,Z490/Y490)</f>
        <v>0.311440756193922</v>
      </c>
      <c r="AB490" s="3" t="str">
        <f aca="false">IF(ABS(V490-Y490)&gt;1,"Mismatch","OK")</f>
        <v>OK</v>
      </c>
      <c r="AC490" s="3" t="str">
        <f aca="false">IF(ABS(X490-Z490)&gt;1,"Mismatch","OK")</f>
        <v>OK</v>
      </c>
      <c r="AD490" s="5" t="n">
        <f aca="false">IF(OR(B490="",C490=""),"",C490-B490)</f>
        <v>6</v>
      </c>
      <c r="AE490" s="3" t="str">
        <f aca="false">IF(AD490="","Unknown",IF(AD490&lt;0,"Invalid - Ship Before Order","OK"))</f>
        <v>OK</v>
      </c>
      <c r="AF490" s="5" t="n">
        <f aca="false">IF(B490="","",MONTH(B490))</f>
        <v>10</v>
      </c>
      <c r="AG490" s="5" t="n">
        <f aca="false">IF(B490="","",YEAR(B490))</f>
        <v>2024</v>
      </c>
      <c r="AH490" s="3" t="s">
        <v>52</v>
      </c>
      <c r="AI490" s="3" t="s">
        <v>53</v>
      </c>
      <c r="AJ490" s="3" t="str">
        <f aca="false">IF(AND(AI490="Completed",AH490="Failed"),"Inconsistent - Completed Order with Failed Payment","OK")</f>
        <v>OK</v>
      </c>
      <c r="AK490" s="3" t="s">
        <v>54</v>
      </c>
      <c r="AL490" s="3" t="str">
        <f aca="false">IF(OR(T490="Negative - Invalid",T490="Above Allowed Range - Invalid",AE490="Invalid - Ship Before Order",AK490&lt;&gt;"Unique",AB490="Mismatch",AC490="Mismatch",AJ490&lt;&gt;"OK"),"Invalid",IF(OR(H490="Yes",O490="Yes",T490="Missing"),"Warning","Clean"))</f>
        <v>Clean</v>
      </c>
    </row>
    <row r="491" customFormat="false" ht="15" hidden="false" customHeight="true" outlineLevel="0" collapsed="false">
      <c r="A491" s="3" t="s">
        <v>1609</v>
      </c>
      <c r="B491" s="4" t="n">
        <v>45329</v>
      </c>
      <c r="C491" s="4" t="n">
        <v>45334</v>
      </c>
      <c r="D491" s="3" t="s">
        <v>1610</v>
      </c>
      <c r="E491" s="3" t="s">
        <v>77</v>
      </c>
      <c r="F491" s="3" t="s">
        <v>121</v>
      </c>
      <c r="G491" s="3" t="s">
        <v>59</v>
      </c>
      <c r="H491" s="3" t="s">
        <v>43</v>
      </c>
      <c r="I491" s="3" t="s">
        <v>125</v>
      </c>
      <c r="J491" s="3" t="s">
        <v>126</v>
      </c>
      <c r="K491" s="3" t="s">
        <v>99</v>
      </c>
      <c r="L491" s="3" t="s">
        <v>100</v>
      </c>
      <c r="M491" s="3" t="s">
        <v>1611</v>
      </c>
      <c r="N491" s="3" t="s">
        <v>49</v>
      </c>
      <c r="O491" s="3" t="s">
        <v>43</v>
      </c>
      <c r="P491" s="5" t="n">
        <v>1</v>
      </c>
      <c r="Q491" s="6" t="n">
        <v>452.19</v>
      </c>
      <c r="R491" s="3" t="s">
        <v>50</v>
      </c>
      <c r="S491" s="7" t="n">
        <v>0.2</v>
      </c>
      <c r="T491" s="3" t="s">
        <v>51</v>
      </c>
      <c r="U491" s="7" t="n">
        <f aca="false">IF(T491="Valid",S491,0)</f>
        <v>0.2</v>
      </c>
      <c r="V491" s="6" t="n">
        <v>361.75</v>
      </c>
      <c r="W491" s="6" t="n">
        <v>262.53</v>
      </c>
      <c r="X491" s="6" t="n">
        <v>99.22</v>
      </c>
      <c r="Y491" s="6" t="n">
        <f aca="false">P491*Q491*(1-U491)</f>
        <v>361.752</v>
      </c>
      <c r="Z491" s="6" t="n">
        <f aca="false">Y491-W491</f>
        <v>99.222</v>
      </c>
      <c r="AA491" s="8" t="n">
        <f aca="false">IF(Y491=0,0,Z491/Y491)</f>
        <v>0.27428182843495</v>
      </c>
      <c r="AB491" s="3" t="str">
        <f aca="false">IF(ABS(V491-Y491)&gt;1,"Mismatch","OK")</f>
        <v>OK</v>
      </c>
      <c r="AC491" s="3" t="str">
        <f aca="false">IF(ABS(X491-Z491)&gt;1,"Mismatch","OK")</f>
        <v>OK</v>
      </c>
      <c r="AD491" s="5" t="n">
        <f aca="false">IF(OR(B491="",C491=""),"",C491-B491)</f>
        <v>5</v>
      </c>
      <c r="AE491" s="3" t="str">
        <f aca="false">IF(AD491="","Unknown",IF(AD491&lt;0,"Invalid - Ship Before Order","OK"))</f>
        <v>OK</v>
      </c>
      <c r="AF491" s="5" t="n">
        <f aca="false">IF(B491="","",MONTH(B491))</f>
        <v>2</v>
      </c>
      <c r="AG491" s="5" t="n">
        <f aca="false">IF(B491="","",YEAR(B491))</f>
        <v>2024</v>
      </c>
      <c r="AH491" s="3" t="s">
        <v>52</v>
      </c>
      <c r="AI491" s="3" t="s">
        <v>53</v>
      </c>
      <c r="AJ491" s="3" t="str">
        <f aca="false">IF(AND(AI491="Completed",AH491="Failed"),"Inconsistent - Completed Order with Failed Payment","OK")</f>
        <v>OK</v>
      </c>
      <c r="AK491" s="3" t="s">
        <v>54</v>
      </c>
      <c r="AL491" s="3" t="str">
        <f aca="false">IF(OR(T491="Negative - Invalid",T491="Above Allowed Range - Invalid",AE491="Invalid - Ship Before Order",AK491&lt;&gt;"Unique",AB491="Mismatch",AC491="Mismatch",AJ491&lt;&gt;"OK"),"Invalid",IF(OR(H491="Yes",O491="Yes",T491="Missing"),"Warning","Clean"))</f>
        <v>Clean</v>
      </c>
    </row>
    <row r="492" customFormat="false" ht="15" hidden="false" customHeight="true" outlineLevel="0" collapsed="false">
      <c r="A492" s="3" t="s">
        <v>1612</v>
      </c>
      <c r="B492" s="4" t="n">
        <v>45551</v>
      </c>
      <c r="C492" s="4" t="n">
        <v>45554</v>
      </c>
      <c r="D492" s="3" t="s">
        <v>1613</v>
      </c>
      <c r="E492" s="3" t="s">
        <v>115</v>
      </c>
      <c r="F492" s="3" t="s">
        <v>41</v>
      </c>
      <c r="G492" s="3" t="s">
        <v>88</v>
      </c>
      <c r="H492" s="3" t="s">
        <v>43</v>
      </c>
      <c r="I492" s="3" t="s">
        <v>44</v>
      </c>
      <c r="J492" s="3" t="s">
        <v>136</v>
      </c>
      <c r="K492" s="3" t="s">
        <v>46</v>
      </c>
      <c r="L492" s="3" t="s">
        <v>183</v>
      </c>
      <c r="M492" s="3" t="s">
        <v>1614</v>
      </c>
      <c r="N492" s="3" t="s">
        <v>72</v>
      </c>
      <c r="O492" s="3" t="s">
        <v>43</v>
      </c>
      <c r="P492" s="5" t="n">
        <v>7</v>
      </c>
      <c r="Q492" s="6" t="n">
        <v>406.42</v>
      </c>
      <c r="R492" s="3" t="s">
        <v>107</v>
      </c>
      <c r="S492" s="7" t="n">
        <v>0.15</v>
      </c>
      <c r="T492" s="3" t="s">
        <v>51</v>
      </c>
      <c r="U492" s="7" t="n">
        <f aca="false">IF(T492="Valid",S492,0)</f>
        <v>0.15</v>
      </c>
      <c r="V492" s="6" t="n">
        <v>2418.2</v>
      </c>
      <c r="W492" s="6" t="n">
        <v>1613.82</v>
      </c>
      <c r="X492" s="6" t="n">
        <v>804.38</v>
      </c>
      <c r="Y492" s="6" t="n">
        <f aca="false">P492*Q492*(1-U492)</f>
        <v>2418.199</v>
      </c>
      <c r="Z492" s="6" t="n">
        <f aca="false">Y492-W492</f>
        <v>804.379</v>
      </c>
      <c r="AA492" s="8" t="n">
        <f aca="false">IF(Y492=0,0,Z492/Y492)</f>
        <v>0.332635568867575</v>
      </c>
      <c r="AB492" s="3" t="str">
        <f aca="false">IF(ABS(V492-Y492)&gt;1,"Mismatch","OK")</f>
        <v>OK</v>
      </c>
      <c r="AC492" s="3" t="str">
        <f aca="false">IF(ABS(X492-Z492)&gt;1,"Mismatch","OK")</f>
        <v>OK</v>
      </c>
      <c r="AD492" s="5" t="n">
        <f aca="false">IF(OR(B492="",C492=""),"",C492-B492)</f>
        <v>3</v>
      </c>
      <c r="AE492" s="3" t="str">
        <f aca="false">IF(AD492="","Unknown",IF(AD492&lt;0,"Invalid - Ship Before Order","OK"))</f>
        <v>OK</v>
      </c>
      <c r="AF492" s="5" t="n">
        <f aca="false">IF(B492="","",MONTH(B492))</f>
        <v>9</v>
      </c>
      <c r="AG492" s="5" t="n">
        <f aca="false">IF(B492="","",YEAR(B492))</f>
        <v>2024</v>
      </c>
      <c r="AH492" s="3" t="s">
        <v>52</v>
      </c>
      <c r="AI492" s="3" t="s">
        <v>53</v>
      </c>
      <c r="AJ492" s="3" t="str">
        <f aca="false">IF(AND(AI492="Completed",AH492="Failed"),"Inconsistent - Completed Order with Failed Payment","OK")</f>
        <v>OK</v>
      </c>
      <c r="AK492" s="3" t="s">
        <v>54</v>
      </c>
      <c r="AL492" s="3" t="str">
        <f aca="false">IF(OR(T492="Negative - Invalid",T492="Above Allowed Range - Invalid",AE492="Invalid - Ship Before Order",AK492&lt;&gt;"Unique",AB492="Mismatch",AC492="Mismatch",AJ492&lt;&gt;"OK"),"Invalid",IF(OR(H492="Yes",O492="Yes",T492="Missing"),"Warning","Clean"))</f>
        <v>Clean</v>
      </c>
    </row>
    <row r="493" customFormat="false" ht="15" hidden="false" customHeight="true" outlineLevel="0" collapsed="false">
      <c r="A493" s="3" t="s">
        <v>1615</v>
      </c>
      <c r="B493" s="4" t="n">
        <v>45776</v>
      </c>
      <c r="C493" s="4" t="n">
        <v>45777</v>
      </c>
      <c r="D493" s="3" t="s">
        <v>1616</v>
      </c>
      <c r="E493" s="3" t="s">
        <v>57</v>
      </c>
      <c r="F493" s="3" t="s">
        <v>116</v>
      </c>
      <c r="G493" s="3" t="s">
        <v>78</v>
      </c>
      <c r="H493" s="3" t="s">
        <v>43</v>
      </c>
      <c r="I493" s="3" t="s">
        <v>216</v>
      </c>
      <c r="J493" s="3" t="s">
        <v>217</v>
      </c>
      <c r="K493" s="3" t="s">
        <v>99</v>
      </c>
      <c r="L493" s="3" t="s">
        <v>100</v>
      </c>
      <c r="M493" s="3" t="s">
        <v>1617</v>
      </c>
      <c r="N493" s="3" t="s">
        <v>83</v>
      </c>
      <c r="O493" s="3" t="s">
        <v>43</v>
      </c>
      <c r="P493" s="5" t="n">
        <v>4</v>
      </c>
      <c r="Q493" s="6" t="n">
        <v>606.58</v>
      </c>
      <c r="R493" s="3" t="s">
        <v>50</v>
      </c>
      <c r="S493" s="7" t="n">
        <v>0.2</v>
      </c>
      <c r="T493" s="3" t="s">
        <v>51</v>
      </c>
      <c r="U493" s="7" t="n">
        <f aca="false">IF(T493="Valid",S493,0)</f>
        <v>0.2</v>
      </c>
      <c r="V493" s="6" t="n">
        <v>1941.06</v>
      </c>
      <c r="W493" s="6" t="n">
        <v>1207.42</v>
      </c>
      <c r="X493" s="6" t="n">
        <v>733.64</v>
      </c>
      <c r="Y493" s="6" t="n">
        <f aca="false">P493*Q493*(1-U493)</f>
        <v>1941.056</v>
      </c>
      <c r="Z493" s="6" t="n">
        <f aca="false">Y493-W493</f>
        <v>733.636</v>
      </c>
      <c r="AA493" s="8" t="n">
        <f aca="false">IF(Y493=0,0,Z493/Y493)</f>
        <v>0.377957153219691</v>
      </c>
      <c r="AB493" s="3" t="str">
        <f aca="false">IF(ABS(V493-Y493)&gt;1,"Mismatch","OK")</f>
        <v>OK</v>
      </c>
      <c r="AC493" s="3" t="str">
        <f aca="false">IF(ABS(X493-Z493)&gt;1,"Mismatch","OK")</f>
        <v>OK</v>
      </c>
      <c r="AD493" s="5" t="n">
        <f aca="false">IF(OR(B493="",C493=""),"",C493-B493)</f>
        <v>1</v>
      </c>
      <c r="AE493" s="3" t="str">
        <f aca="false">IF(AD493="","Unknown",IF(AD493&lt;0,"Invalid - Ship Before Order","OK"))</f>
        <v>OK</v>
      </c>
      <c r="AF493" s="5" t="n">
        <f aca="false">IF(B493="","",MONTH(B493))</f>
        <v>4</v>
      </c>
      <c r="AG493" s="5" t="n">
        <f aca="false">IF(B493="","",YEAR(B493))</f>
        <v>2025</v>
      </c>
      <c r="AH493" s="3" t="s">
        <v>52</v>
      </c>
      <c r="AI493" s="3" t="s">
        <v>53</v>
      </c>
      <c r="AJ493" s="3" t="str">
        <f aca="false">IF(AND(AI493="Completed",AH493="Failed"),"Inconsistent - Completed Order with Failed Payment","OK")</f>
        <v>OK</v>
      </c>
      <c r="AK493" s="3" t="s">
        <v>54</v>
      </c>
      <c r="AL493" s="3" t="str">
        <f aca="false">IF(OR(T493="Negative - Invalid",T493="Above Allowed Range - Invalid",AE493="Invalid - Ship Before Order",AK493&lt;&gt;"Unique",AB493="Mismatch",AC493="Mismatch",AJ493&lt;&gt;"OK"),"Invalid",IF(OR(H493="Yes",O493="Yes",T493="Missing"),"Warning","Clean"))</f>
        <v>Clean</v>
      </c>
    </row>
    <row r="494" customFormat="false" ht="15" hidden="false" customHeight="true" outlineLevel="0" collapsed="false">
      <c r="A494" s="3" t="s">
        <v>1618</v>
      </c>
      <c r="B494" s="4" t="n">
        <v>45836</v>
      </c>
      <c r="C494" s="4" t="n">
        <v>45840</v>
      </c>
      <c r="D494" s="3" t="s">
        <v>1619</v>
      </c>
      <c r="E494" s="3" t="s">
        <v>87</v>
      </c>
      <c r="F494" s="3" t="s">
        <v>116</v>
      </c>
      <c r="G494" s="3" t="s">
        <v>78</v>
      </c>
      <c r="H494" s="3" t="s">
        <v>43</v>
      </c>
      <c r="I494" s="3" t="s">
        <v>110</v>
      </c>
      <c r="J494" s="3" t="s">
        <v>111</v>
      </c>
      <c r="K494" s="3" t="s">
        <v>46</v>
      </c>
      <c r="L494" s="3" t="s">
        <v>151</v>
      </c>
      <c r="M494" s="3" t="s">
        <v>1620</v>
      </c>
      <c r="N494" s="3" t="s">
        <v>49</v>
      </c>
      <c r="O494" s="3" t="s">
        <v>43</v>
      </c>
      <c r="P494" s="5" t="n">
        <v>2</v>
      </c>
      <c r="Q494" s="6" t="n">
        <v>2725.44</v>
      </c>
      <c r="R494" s="3" t="s">
        <v>84</v>
      </c>
      <c r="S494" s="7" t="n">
        <v>0.25</v>
      </c>
      <c r="T494" s="3" t="s">
        <v>51</v>
      </c>
      <c r="U494" s="7" t="n">
        <f aca="false">IF(T494="Valid",S494,0)</f>
        <v>0.25</v>
      </c>
      <c r="V494" s="6" t="n">
        <v>4088.16</v>
      </c>
      <c r="W494" s="6" t="n">
        <v>3205.68</v>
      </c>
      <c r="X494" s="6" t="n">
        <v>882.48</v>
      </c>
      <c r="Y494" s="6" t="n">
        <f aca="false">P494*Q494*(1-U494)</f>
        <v>4088.16</v>
      </c>
      <c r="Z494" s="6" t="n">
        <f aca="false">Y494-W494</f>
        <v>882.48</v>
      </c>
      <c r="AA494" s="8" t="n">
        <f aca="false">IF(Y494=0,0,Z494/Y494)</f>
        <v>0.215862392861336</v>
      </c>
      <c r="AB494" s="3" t="str">
        <f aca="false">IF(ABS(V494-Y494)&gt;1,"Mismatch","OK")</f>
        <v>OK</v>
      </c>
      <c r="AC494" s="3" t="str">
        <f aca="false">IF(ABS(X494-Z494)&gt;1,"Mismatch","OK")</f>
        <v>OK</v>
      </c>
      <c r="AD494" s="5" t="n">
        <f aca="false">IF(OR(B494="",C494=""),"",C494-B494)</f>
        <v>4</v>
      </c>
      <c r="AE494" s="3" t="str">
        <f aca="false">IF(AD494="","Unknown",IF(AD494&lt;0,"Invalid - Ship Before Order","OK"))</f>
        <v>OK</v>
      </c>
      <c r="AF494" s="5" t="n">
        <f aca="false">IF(B494="","",MONTH(B494))</f>
        <v>6</v>
      </c>
      <c r="AG494" s="5" t="n">
        <f aca="false">IF(B494="","",YEAR(B494))</f>
        <v>2025</v>
      </c>
      <c r="AH494" s="3" t="s">
        <v>52</v>
      </c>
      <c r="AI494" s="3" t="s">
        <v>53</v>
      </c>
      <c r="AJ494" s="3" t="str">
        <f aca="false">IF(AND(AI494="Completed",AH494="Failed"),"Inconsistent - Completed Order with Failed Payment","OK")</f>
        <v>OK</v>
      </c>
      <c r="AK494" s="3" t="s">
        <v>54</v>
      </c>
      <c r="AL494" s="3" t="str">
        <f aca="false">IF(OR(T494="Negative - Invalid",T494="Above Allowed Range - Invalid",AE494="Invalid - Ship Before Order",AK494&lt;&gt;"Unique",AB494="Mismatch",AC494="Mismatch",AJ494&lt;&gt;"OK"),"Invalid",IF(OR(H494="Yes",O494="Yes",T494="Missing"),"Warning","Clean"))</f>
        <v>Clean</v>
      </c>
    </row>
    <row r="495" customFormat="false" ht="15" hidden="false" customHeight="true" outlineLevel="0" collapsed="false">
      <c r="A495" s="3" t="s">
        <v>1621</v>
      </c>
      <c r="B495" s="4" t="n">
        <v>45701</v>
      </c>
      <c r="C495" s="4" t="n">
        <v>45701</v>
      </c>
      <c r="D495" s="3" t="s">
        <v>1622</v>
      </c>
      <c r="E495" s="3" t="s">
        <v>298</v>
      </c>
      <c r="F495" s="3" t="s">
        <v>116</v>
      </c>
      <c r="G495" s="3" t="s">
        <v>59</v>
      </c>
      <c r="H495" s="3" t="s">
        <v>43</v>
      </c>
      <c r="I495" s="3" t="s">
        <v>60</v>
      </c>
      <c r="J495" s="3" t="s">
        <v>61</v>
      </c>
      <c r="K495" s="3" t="s">
        <v>46</v>
      </c>
      <c r="L495" s="3" t="s">
        <v>47</v>
      </c>
      <c r="M495" s="3" t="s">
        <v>1623</v>
      </c>
      <c r="N495" s="3" t="s">
        <v>49</v>
      </c>
      <c r="O495" s="3" t="s">
        <v>43</v>
      </c>
      <c r="P495" s="5" t="n">
        <v>7</v>
      </c>
      <c r="Q495" s="6" t="n">
        <v>2296.7</v>
      </c>
      <c r="R495" s="3" t="s">
        <v>128</v>
      </c>
      <c r="S495" s="7" t="n">
        <v>0.05</v>
      </c>
      <c r="T495" s="3" t="s">
        <v>51</v>
      </c>
      <c r="U495" s="7" t="n">
        <f aca="false">IF(T495="Valid",S495,0)</f>
        <v>0.05</v>
      </c>
      <c r="V495" s="6" t="n">
        <v>15273.05</v>
      </c>
      <c r="W495" s="6" t="n">
        <v>11088.76</v>
      </c>
      <c r="X495" s="6" t="n">
        <v>4184.29</v>
      </c>
      <c r="Y495" s="6" t="n">
        <f aca="false">P495*Q495*(1-U495)</f>
        <v>15273.055</v>
      </c>
      <c r="Z495" s="6" t="n">
        <f aca="false">Y495-W495</f>
        <v>4184.295</v>
      </c>
      <c r="AA495" s="8" t="n">
        <f aca="false">IF(Y495=0,0,Z495/Y495)</f>
        <v>0.273965817578736</v>
      </c>
      <c r="AB495" s="3" t="str">
        <f aca="false">IF(ABS(V495-Y495)&gt;1,"Mismatch","OK")</f>
        <v>OK</v>
      </c>
      <c r="AC495" s="3" t="str">
        <f aca="false">IF(ABS(X495-Z495)&gt;1,"Mismatch","OK")</f>
        <v>OK</v>
      </c>
      <c r="AD495" s="5" t="n">
        <f aca="false">IF(OR(B495="",C495=""),"",C495-B495)</f>
        <v>0</v>
      </c>
      <c r="AE495" s="3" t="str">
        <f aca="false">IF(AD495="","Unknown",IF(AD495&lt;0,"Invalid - Ship Before Order","OK"))</f>
        <v>OK</v>
      </c>
      <c r="AF495" s="5" t="n">
        <f aca="false">IF(B495="","",MONTH(B495))</f>
        <v>2</v>
      </c>
      <c r="AG495" s="5" t="n">
        <f aca="false">IF(B495="","",YEAR(B495))</f>
        <v>2025</v>
      </c>
      <c r="AH495" s="3" t="s">
        <v>52</v>
      </c>
      <c r="AI495" s="3" t="s">
        <v>53</v>
      </c>
      <c r="AJ495" s="3" t="str">
        <f aca="false">IF(AND(AI495="Completed",AH495="Failed"),"Inconsistent - Completed Order with Failed Payment","OK")</f>
        <v>OK</v>
      </c>
      <c r="AK495" s="3" t="s">
        <v>54</v>
      </c>
      <c r="AL495" s="3" t="str">
        <f aca="false">IF(OR(T495="Negative - Invalid",T495="Above Allowed Range - Invalid",AE495="Invalid - Ship Before Order",AK495&lt;&gt;"Unique",AB495="Mismatch",AC495="Mismatch",AJ495&lt;&gt;"OK"),"Invalid",IF(OR(H495="Yes",O495="Yes",T495="Missing"),"Warning","Clean"))</f>
        <v>Clean</v>
      </c>
    </row>
    <row r="496" customFormat="false" ht="15" hidden="false" customHeight="true" outlineLevel="0" collapsed="false">
      <c r="A496" s="3" t="s">
        <v>1624</v>
      </c>
      <c r="B496" s="4" t="n">
        <v>45610</v>
      </c>
      <c r="C496" s="4" t="n">
        <v>45618</v>
      </c>
      <c r="D496" s="3" t="s">
        <v>1625</v>
      </c>
      <c r="E496" s="3" t="s">
        <v>69</v>
      </c>
      <c r="F496" s="3" t="s">
        <v>41</v>
      </c>
      <c r="G496" s="3" t="s">
        <v>88</v>
      </c>
      <c r="H496" s="3" t="s">
        <v>43</v>
      </c>
      <c r="I496" s="3" t="s">
        <v>97</v>
      </c>
      <c r="J496" s="3" t="s">
        <v>98</v>
      </c>
      <c r="K496" s="3" t="s">
        <v>99</v>
      </c>
      <c r="L496" s="3" t="s">
        <v>201</v>
      </c>
      <c r="M496" s="3" t="s">
        <v>1626</v>
      </c>
      <c r="N496" s="3" t="s">
        <v>83</v>
      </c>
      <c r="O496" s="3" t="s">
        <v>43</v>
      </c>
      <c r="P496" s="5" t="n">
        <v>3</v>
      </c>
      <c r="Q496" s="6" t="n">
        <v>671.68</v>
      </c>
      <c r="R496" s="3" t="s">
        <v>1627</v>
      </c>
      <c r="S496" s="7" t="n">
        <v>-0.13</v>
      </c>
      <c r="T496" s="3" t="s">
        <v>171</v>
      </c>
      <c r="U496" s="7" t="n">
        <f aca="false">IF(T496="Valid",S496,0)</f>
        <v>0</v>
      </c>
      <c r="V496" s="6" t="n">
        <v>1712.78</v>
      </c>
      <c r="W496" s="6" t="n">
        <v>1569.38</v>
      </c>
      <c r="X496" s="6" t="n">
        <v>360.66</v>
      </c>
      <c r="Y496" s="6" t="n">
        <f aca="false">P496*Q496*(1-U496)</f>
        <v>2015.04</v>
      </c>
      <c r="Z496" s="6" t="n">
        <f aca="false">Y496-W496</f>
        <v>445.66</v>
      </c>
      <c r="AA496" s="8" t="n">
        <f aca="false">IF(Y496=0,0,Z496/Y496)</f>
        <v>0.221166825472447</v>
      </c>
      <c r="AB496" s="3" t="str">
        <f aca="false">IF(ABS(V496-Y496)&gt;1,"Mismatch","OK")</f>
        <v>Mismatch</v>
      </c>
      <c r="AC496" s="3" t="str">
        <f aca="false">IF(ABS(X496-Z496)&gt;1,"Mismatch","OK")</f>
        <v>Mismatch</v>
      </c>
      <c r="AD496" s="5" t="n">
        <f aca="false">IF(OR(B496="",C496=""),"",C496-B496)</f>
        <v>8</v>
      </c>
      <c r="AE496" s="3" t="str">
        <f aca="false">IF(AD496="","Unknown",IF(AD496&lt;0,"Invalid - Ship Before Order","OK"))</f>
        <v>OK</v>
      </c>
      <c r="AF496" s="5" t="n">
        <f aca="false">IF(B496="","",MONTH(B496))</f>
        <v>11</v>
      </c>
      <c r="AG496" s="5" t="n">
        <f aca="false">IF(B496="","",YEAR(B496))</f>
        <v>2024</v>
      </c>
      <c r="AH496" s="3" t="s">
        <v>185</v>
      </c>
      <c r="AI496" s="3" t="s">
        <v>93</v>
      </c>
      <c r="AJ496" s="3" t="str">
        <f aca="false">IF(AND(AI496="Completed",AH496="Failed"),"Inconsistent - Completed Order with Failed Payment","OK")</f>
        <v>OK</v>
      </c>
      <c r="AK496" s="3" t="s">
        <v>54</v>
      </c>
      <c r="AL496" s="3" t="str">
        <f aca="false">IF(OR(T496="Negative - Invalid",T496="Above Allowed Range - Invalid",AE496="Invalid - Ship Before Order",AK496&lt;&gt;"Unique",AB496="Mismatch",AC496="Mismatch",AJ496&lt;&gt;"OK"),"Invalid",IF(OR(H496="Yes",O496="Yes",T496="Missing"),"Warning","Clean"))</f>
        <v>Invalid</v>
      </c>
    </row>
    <row r="497" customFormat="false" ht="15" hidden="false" customHeight="true" outlineLevel="0" collapsed="false">
      <c r="A497" s="3" t="s">
        <v>1628</v>
      </c>
      <c r="B497" s="4" t="n">
        <v>45421</v>
      </c>
      <c r="C497" s="4" t="n">
        <v>45427</v>
      </c>
      <c r="D497" s="3" t="s">
        <v>1629</v>
      </c>
      <c r="E497" s="3" t="s">
        <v>57</v>
      </c>
      <c r="F497" s="3" t="s">
        <v>58</v>
      </c>
      <c r="G497" s="3" t="s">
        <v>59</v>
      </c>
      <c r="H497" s="3" t="s">
        <v>43</v>
      </c>
      <c r="I497" s="3" t="s">
        <v>196</v>
      </c>
      <c r="J497" s="3" t="s">
        <v>197</v>
      </c>
      <c r="K497" s="3" t="s">
        <v>99</v>
      </c>
      <c r="L497" s="3" t="s">
        <v>201</v>
      </c>
      <c r="M497" s="3" t="s">
        <v>1630</v>
      </c>
      <c r="N497" s="3" t="s">
        <v>49</v>
      </c>
      <c r="O497" s="3" t="s">
        <v>43</v>
      </c>
      <c r="P497" s="5" t="n">
        <v>4</v>
      </c>
      <c r="Q497" s="6" t="n">
        <v>995.98</v>
      </c>
      <c r="R497" s="3" t="s">
        <v>128</v>
      </c>
      <c r="S497" s="7" t="n">
        <v>0.05</v>
      </c>
      <c r="T497" s="3" t="s">
        <v>51</v>
      </c>
      <c r="U497" s="7" t="n">
        <f aca="false">IF(T497="Valid",S497,0)</f>
        <v>0.05</v>
      </c>
      <c r="V497" s="6" t="n">
        <v>3784.72</v>
      </c>
      <c r="W497" s="6" t="n">
        <v>2419.24</v>
      </c>
      <c r="X497" s="6" t="n">
        <v>1365.48</v>
      </c>
      <c r="Y497" s="6" t="n">
        <f aca="false">P497*Q497*(1-U497)</f>
        <v>3784.724</v>
      </c>
      <c r="Z497" s="6" t="n">
        <f aca="false">Y497-W497</f>
        <v>1365.484</v>
      </c>
      <c r="AA497" s="8" t="n">
        <f aca="false">IF(Y497=0,0,Z497/Y497)</f>
        <v>0.360788263556339</v>
      </c>
      <c r="AB497" s="3" t="str">
        <f aca="false">IF(ABS(V497-Y497)&gt;1,"Mismatch","OK")</f>
        <v>OK</v>
      </c>
      <c r="AC497" s="3" t="str">
        <f aca="false">IF(ABS(X497-Z497)&gt;1,"Mismatch","OK")</f>
        <v>OK</v>
      </c>
      <c r="AD497" s="5" t="n">
        <f aca="false">IF(OR(B497="",C497=""),"",C497-B497)</f>
        <v>6</v>
      </c>
      <c r="AE497" s="3" t="str">
        <f aca="false">IF(AD497="","Unknown",IF(AD497&lt;0,"Invalid - Ship Before Order","OK"))</f>
        <v>OK</v>
      </c>
      <c r="AF497" s="5" t="n">
        <f aca="false">IF(B497="","",MONTH(B497))</f>
        <v>5</v>
      </c>
      <c r="AG497" s="5" t="n">
        <f aca="false">IF(B497="","",YEAR(B497))</f>
        <v>2024</v>
      </c>
      <c r="AH497" s="3" t="s">
        <v>129</v>
      </c>
      <c r="AI497" s="3" t="s">
        <v>130</v>
      </c>
      <c r="AJ497" s="3" t="str">
        <f aca="false">IF(AND(AI497="Completed",AH497="Failed"),"Inconsistent - Completed Order with Failed Payment","OK")</f>
        <v>OK</v>
      </c>
      <c r="AK497" s="3" t="s">
        <v>54</v>
      </c>
      <c r="AL497" s="3" t="str">
        <f aca="false">IF(OR(T497="Negative - Invalid",T497="Above Allowed Range - Invalid",AE497="Invalid - Ship Before Order",AK497&lt;&gt;"Unique",AB497="Mismatch",AC497="Mismatch",AJ497&lt;&gt;"OK"),"Invalid",IF(OR(H497="Yes",O497="Yes",T497="Missing"),"Warning","Clean"))</f>
        <v>Clean</v>
      </c>
    </row>
    <row r="498" customFormat="false" ht="15" hidden="false" customHeight="true" outlineLevel="0" collapsed="false">
      <c r="A498" s="3" t="s">
        <v>1631</v>
      </c>
      <c r="B498" s="4" t="n">
        <v>45842</v>
      </c>
      <c r="C498" s="4" t="n">
        <v>45844</v>
      </c>
      <c r="D498" s="3" t="s">
        <v>1632</v>
      </c>
      <c r="E498" s="3" t="s">
        <v>298</v>
      </c>
      <c r="F498" s="3" t="s">
        <v>58</v>
      </c>
      <c r="G498" s="3" t="s">
        <v>59</v>
      </c>
      <c r="H498" s="3" t="s">
        <v>43</v>
      </c>
      <c r="I498" s="3" t="s">
        <v>262</v>
      </c>
      <c r="J498" s="3" t="s">
        <v>263</v>
      </c>
      <c r="K498" s="3" t="s">
        <v>62</v>
      </c>
      <c r="L498" s="3" t="s">
        <v>91</v>
      </c>
      <c r="M498" s="3" t="s">
        <v>1633</v>
      </c>
      <c r="N498" s="3" t="s">
        <v>49</v>
      </c>
      <c r="O498" s="3" t="s">
        <v>43</v>
      </c>
      <c r="P498" s="5" t="n">
        <v>2</v>
      </c>
      <c r="Q498" s="6" t="n">
        <v>3686.42</v>
      </c>
      <c r="R498" s="3" t="s">
        <v>203</v>
      </c>
      <c r="S498" s="7" t="n">
        <v>0.1</v>
      </c>
      <c r="T498" s="3" t="s">
        <v>51</v>
      </c>
      <c r="U498" s="7" t="n">
        <f aca="false">IF(T498="Valid",S498,0)</f>
        <v>0.1</v>
      </c>
      <c r="V498" s="6" t="n">
        <v>6635.56</v>
      </c>
      <c r="W498" s="6" t="n">
        <v>3652.91</v>
      </c>
      <c r="X498" s="6" t="n">
        <v>2982.65</v>
      </c>
      <c r="Y498" s="6" t="n">
        <f aca="false">P498*Q498*(1-U498)</f>
        <v>6635.556</v>
      </c>
      <c r="Z498" s="6" t="n">
        <f aca="false">Y498-W498</f>
        <v>2982.646</v>
      </c>
      <c r="AA498" s="8" t="n">
        <f aca="false">IF(Y498=0,0,Z498/Y498)</f>
        <v>0.449494511085431</v>
      </c>
      <c r="AB498" s="3" t="str">
        <f aca="false">IF(ABS(V498-Y498)&gt;1,"Mismatch","OK")</f>
        <v>OK</v>
      </c>
      <c r="AC498" s="3" t="str">
        <f aca="false">IF(ABS(X498-Z498)&gt;1,"Mismatch","OK")</f>
        <v>OK</v>
      </c>
      <c r="AD498" s="5" t="n">
        <f aca="false">IF(OR(B498="",C498=""),"",C498-B498)</f>
        <v>2</v>
      </c>
      <c r="AE498" s="3" t="str">
        <f aca="false">IF(AD498="","Unknown",IF(AD498&lt;0,"Invalid - Ship Before Order","OK"))</f>
        <v>OK</v>
      </c>
      <c r="AF498" s="5" t="n">
        <f aca="false">IF(B498="","",MONTH(B498))</f>
        <v>7</v>
      </c>
      <c r="AG498" s="5" t="n">
        <f aca="false">IF(B498="","",YEAR(B498))</f>
        <v>2025</v>
      </c>
      <c r="AH498" s="3" t="s">
        <v>52</v>
      </c>
      <c r="AI498" s="3" t="s">
        <v>53</v>
      </c>
      <c r="AJ498" s="3" t="str">
        <f aca="false">IF(AND(AI498="Completed",AH498="Failed"),"Inconsistent - Completed Order with Failed Payment","OK")</f>
        <v>OK</v>
      </c>
      <c r="AK498" s="3" t="s">
        <v>54</v>
      </c>
      <c r="AL498" s="3" t="str">
        <f aca="false">IF(OR(T498="Negative - Invalid",T498="Above Allowed Range - Invalid",AE498="Invalid - Ship Before Order",AK498&lt;&gt;"Unique",AB498="Mismatch",AC498="Mismatch",AJ498&lt;&gt;"OK"),"Invalid",IF(OR(H498="Yes",O498="Yes",T498="Missing"),"Warning","Clean"))</f>
        <v>Clean</v>
      </c>
    </row>
    <row r="499" customFormat="false" ht="15" hidden="false" customHeight="true" outlineLevel="0" collapsed="false">
      <c r="A499" s="3" t="s">
        <v>1634</v>
      </c>
      <c r="B499" s="4" t="n">
        <v>45533</v>
      </c>
      <c r="C499" s="4" t="n">
        <v>45533</v>
      </c>
      <c r="D499" s="3" t="s">
        <v>1635</v>
      </c>
      <c r="E499" s="3" t="s">
        <v>159</v>
      </c>
      <c r="F499" s="3" t="s">
        <v>58</v>
      </c>
      <c r="G499" s="3" t="s">
        <v>42</v>
      </c>
      <c r="H499" s="3" t="s">
        <v>43</v>
      </c>
      <c r="I499" s="3" t="s">
        <v>163</v>
      </c>
      <c r="J499" s="3" t="s">
        <v>164</v>
      </c>
      <c r="K499" s="3" t="s">
        <v>99</v>
      </c>
      <c r="L499" s="3" t="s">
        <v>100</v>
      </c>
      <c r="M499" s="3" t="s">
        <v>1636</v>
      </c>
      <c r="N499" s="3" t="s">
        <v>49</v>
      </c>
      <c r="O499" s="3" t="s">
        <v>43</v>
      </c>
      <c r="P499" s="5" t="n">
        <v>1</v>
      </c>
      <c r="Q499" s="6" t="n">
        <v>3106.88</v>
      </c>
      <c r="R499" s="3" t="s">
        <v>50</v>
      </c>
      <c r="S499" s="7" t="n">
        <v>0.2</v>
      </c>
      <c r="T499" s="3" t="s">
        <v>51</v>
      </c>
      <c r="U499" s="7" t="n">
        <f aca="false">IF(T499="Valid",S499,0)</f>
        <v>0.2</v>
      </c>
      <c r="V499" s="6" t="n">
        <v>2485.5</v>
      </c>
      <c r="W499" s="6" t="n">
        <v>2028.43</v>
      </c>
      <c r="X499" s="6" t="n">
        <v>457.07</v>
      </c>
      <c r="Y499" s="6" t="n">
        <f aca="false">P499*Q499*(1-U499)</f>
        <v>2485.504</v>
      </c>
      <c r="Z499" s="6" t="n">
        <f aca="false">Y499-W499</f>
        <v>457.074</v>
      </c>
      <c r="AA499" s="8" t="n">
        <f aca="false">IF(Y499=0,0,Z499/Y499)</f>
        <v>0.183895901998146</v>
      </c>
      <c r="AB499" s="3" t="str">
        <f aca="false">IF(ABS(V499-Y499)&gt;1,"Mismatch","OK")</f>
        <v>OK</v>
      </c>
      <c r="AC499" s="3" t="str">
        <f aca="false">IF(ABS(X499-Z499)&gt;1,"Mismatch","OK")</f>
        <v>OK</v>
      </c>
      <c r="AD499" s="5" t="n">
        <f aca="false">IF(OR(B499="",C499=""),"",C499-B499)</f>
        <v>0</v>
      </c>
      <c r="AE499" s="3" t="str">
        <f aca="false">IF(AD499="","Unknown",IF(AD499&lt;0,"Invalid - Ship Before Order","OK"))</f>
        <v>OK</v>
      </c>
      <c r="AF499" s="5" t="n">
        <f aca="false">IF(B499="","",MONTH(B499))</f>
        <v>8</v>
      </c>
      <c r="AG499" s="5" t="n">
        <f aca="false">IF(B499="","",YEAR(B499))</f>
        <v>2024</v>
      </c>
      <c r="AH499" s="3" t="s">
        <v>52</v>
      </c>
      <c r="AI499" s="3" t="s">
        <v>93</v>
      </c>
      <c r="AJ499" s="3" t="str">
        <f aca="false">IF(AND(AI499="Completed",AH499="Failed"),"Inconsistent - Completed Order with Failed Payment","OK")</f>
        <v>OK</v>
      </c>
      <c r="AK499" s="3" t="s">
        <v>54</v>
      </c>
      <c r="AL499" s="3" t="str">
        <f aca="false">IF(OR(T499="Negative - Invalid",T499="Above Allowed Range - Invalid",AE499="Invalid - Ship Before Order",AK499&lt;&gt;"Unique",AB499="Mismatch",AC499="Mismatch",AJ499&lt;&gt;"OK"),"Invalid",IF(OR(H499="Yes",O499="Yes",T499="Missing"),"Warning","Clean"))</f>
        <v>Clean</v>
      </c>
    </row>
    <row r="500" customFormat="false" ht="15" hidden="false" customHeight="true" outlineLevel="0" collapsed="false">
      <c r="A500" s="3" t="s">
        <v>1637</v>
      </c>
      <c r="B500" s="4" t="n">
        <v>45907</v>
      </c>
      <c r="C500" s="4" t="n">
        <v>45910</v>
      </c>
      <c r="D500" s="3" t="s">
        <v>1638</v>
      </c>
      <c r="E500" s="3" t="s">
        <v>40</v>
      </c>
      <c r="F500" s="3" t="s">
        <v>41</v>
      </c>
      <c r="G500" s="3" t="s">
        <v>42</v>
      </c>
      <c r="H500" s="3" t="s">
        <v>43</v>
      </c>
      <c r="I500" s="3" t="s">
        <v>149</v>
      </c>
      <c r="J500" s="3" t="s">
        <v>150</v>
      </c>
      <c r="K500" s="3" t="s">
        <v>62</v>
      </c>
      <c r="L500" s="3" t="s">
        <v>91</v>
      </c>
      <c r="M500" s="3" t="s">
        <v>1639</v>
      </c>
      <c r="N500" s="3" t="s">
        <v>65</v>
      </c>
      <c r="O500" s="3" t="s">
        <v>43</v>
      </c>
      <c r="P500" s="5" t="n">
        <v>2</v>
      </c>
      <c r="Q500" s="6" t="n">
        <v>447.55</v>
      </c>
      <c r="R500" s="3" t="s">
        <v>128</v>
      </c>
      <c r="S500" s="7" t="n">
        <v>0.05</v>
      </c>
      <c r="T500" s="3" t="s">
        <v>51</v>
      </c>
      <c r="U500" s="7" t="n">
        <f aca="false">IF(T500="Valid",S500,0)</f>
        <v>0.05</v>
      </c>
      <c r="V500" s="6" t="n">
        <v>850.35</v>
      </c>
      <c r="W500" s="6" t="n">
        <v>600.98</v>
      </c>
      <c r="X500" s="6" t="n">
        <v>249.37</v>
      </c>
      <c r="Y500" s="6" t="n">
        <f aca="false">P500*Q500*(1-U500)</f>
        <v>850.345</v>
      </c>
      <c r="Z500" s="6" t="n">
        <f aca="false">Y500-W500</f>
        <v>249.365</v>
      </c>
      <c r="AA500" s="8" t="n">
        <f aca="false">IF(Y500=0,0,Z500/Y500)</f>
        <v>0.293251562601062</v>
      </c>
      <c r="AB500" s="3" t="str">
        <f aca="false">IF(ABS(V500-Y500)&gt;1,"Mismatch","OK")</f>
        <v>OK</v>
      </c>
      <c r="AC500" s="3" t="str">
        <f aca="false">IF(ABS(X500-Z500)&gt;1,"Mismatch","OK")</f>
        <v>OK</v>
      </c>
      <c r="AD500" s="5" t="n">
        <f aca="false">IF(OR(B500="",C500=""),"",C500-B500)</f>
        <v>3</v>
      </c>
      <c r="AE500" s="3" t="str">
        <f aca="false">IF(AD500="","Unknown",IF(AD500&lt;0,"Invalid - Ship Before Order","OK"))</f>
        <v>OK</v>
      </c>
      <c r="AF500" s="5" t="n">
        <f aca="false">IF(B500="","",MONTH(B500))</f>
        <v>9</v>
      </c>
      <c r="AG500" s="5" t="n">
        <f aca="false">IF(B500="","",YEAR(B500))</f>
        <v>2025</v>
      </c>
      <c r="AH500" s="3" t="s">
        <v>129</v>
      </c>
      <c r="AI500" s="3" t="s">
        <v>93</v>
      </c>
      <c r="AJ500" s="3" t="str">
        <f aca="false">IF(AND(AI500="Completed",AH500="Failed"),"Inconsistent - Completed Order with Failed Payment","OK")</f>
        <v>OK</v>
      </c>
      <c r="AK500" s="3" t="s">
        <v>54</v>
      </c>
      <c r="AL500" s="3" t="str">
        <f aca="false">IF(OR(T500="Negative - Invalid",T500="Above Allowed Range - Invalid",AE500="Invalid - Ship Before Order",AK500&lt;&gt;"Unique",AB500="Mismatch",AC500="Mismatch",AJ500&lt;&gt;"OK"),"Invalid",IF(OR(H500="Yes",O500="Yes",T500="Missing"),"Warning","Clean"))</f>
        <v>Clean</v>
      </c>
    </row>
    <row r="501" customFormat="false" ht="15" hidden="false" customHeight="true" outlineLevel="0" collapsed="false">
      <c r="A501" s="3" t="s">
        <v>1640</v>
      </c>
      <c r="B501" s="4" t="n">
        <v>45648</v>
      </c>
      <c r="C501" s="4" t="n">
        <v>45652</v>
      </c>
      <c r="D501" s="3" t="s">
        <v>1641</v>
      </c>
      <c r="E501" s="3" t="s">
        <v>145</v>
      </c>
      <c r="F501" s="3" t="s">
        <v>121</v>
      </c>
      <c r="G501" s="3" t="s">
        <v>42</v>
      </c>
      <c r="H501" s="3" t="s">
        <v>43</v>
      </c>
      <c r="I501" s="3" t="s">
        <v>163</v>
      </c>
      <c r="J501" s="3" t="s">
        <v>164</v>
      </c>
      <c r="K501" s="3" t="s">
        <v>62</v>
      </c>
      <c r="L501" s="3" t="s">
        <v>91</v>
      </c>
      <c r="M501" s="3" t="s">
        <v>1642</v>
      </c>
      <c r="N501" s="3" t="s">
        <v>83</v>
      </c>
      <c r="O501" s="3" t="s">
        <v>43</v>
      </c>
      <c r="P501" s="5" t="n">
        <v>9</v>
      </c>
      <c r="Q501" s="6" t="n">
        <v>1110.87</v>
      </c>
      <c r="R501" s="3"/>
      <c r="S501" s="7"/>
      <c r="T501" s="3" t="s">
        <v>230</v>
      </c>
      <c r="U501" s="7" t="n">
        <f aca="false">IF(T501="Valid",S501,0)</f>
        <v>0</v>
      </c>
      <c r="V501" s="6" t="n">
        <v>7498.37</v>
      </c>
      <c r="W501" s="6" t="n">
        <v>6059.07</v>
      </c>
      <c r="X501" s="6" t="n">
        <v>1439.3</v>
      </c>
      <c r="Y501" s="6" t="n">
        <f aca="false">P501*Q501*(1-U501)</f>
        <v>9997.83</v>
      </c>
      <c r="Z501" s="6" t="n">
        <f aca="false">Y501-W501</f>
        <v>3938.76</v>
      </c>
      <c r="AA501" s="8" t="n">
        <f aca="false">IF(Y501=0,0,Z501/Y501)</f>
        <v>0.393961489643253</v>
      </c>
      <c r="AB501" s="3" t="str">
        <f aca="false">IF(ABS(V501-Y501)&gt;1,"Mismatch","OK")</f>
        <v>Mismatch</v>
      </c>
      <c r="AC501" s="3" t="str">
        <f aca="false">IF(ABS(X501-Z501)&gt;1,"Mismatch","OK")</f>
        <v>Mismatch</v>
      </c>
      <c r="AD501" s="5" t="n">
        <f aca="false">IF(OR(B501="",C501=""),"",C501-B501)</f>
        <v>4</v>
      </c>
      <c r="AE501" s="3" t="str">
        <f aca="false">IF(AD501="","Unknown",IF(AD501&lt;0,"Invalid - Ship Before Order","OK"))</f>
        <v>OK</v>
      </c>
      <c r="AF501" s="5" t="n">
        <f aca="false">IF(B501="","",MONTH(B501))</f>
        <v>12</v>
      </c>
      <c r="AG501" s="5" t="n">
        <f aca="false">IF(B501="","",YEAR(B501))</f>
        <v>2024</v>
      </c>
      <c r="AH501" s="3" t="s">
        <v>52</v>
      </c>
      <c r="AI501" s="3" t="s">
        <v>93</v>
      </c>
      <c r="AJ501" s="3" t="str">
        <f aca="false">IF(AND(AI501="Completed",AH501="Failed"),"Inconsistent - Completed Order with Failed Payment","OK")</f>
        <v>OK</v>
      </c>
      <c r="AK501" s="3" t="s">
        <v>54</v>
      </c>
      <c r="AL501" s="3" t="str">
        <f aca="false">IF(OR(T501="Negative - Invalid",T501="Above Allowed Range - Invalid",AE501="Invalid - Ship Before Order",AK501&lt;&gt;"Unique",AB501="Mismatch",AC501="Mismatch",AJ501&lt;&gt;"OK"),"Invalid",IF(OR(H501="Yes",O501="Yes",T501="Missing"),"Warning","Clean"))</f>
        <v>Invalid</v>
      </c>
    </row>
    <row r="502" customFormat="false" ht="15" hidden="false" customHeight="true" outlineLevel="0" collapsed="false">
      <c r="A502" s="3" t="s">
        <v>1643</v>
      </c>
      <c r="B502" s="4" t="n">
        <v>45429</v>
      </c>
      <c r="C502" s="4" t="n">
        <v>45434</v>
      </c>
      <c r="D502" s="3" t="s">
        <v>1644</v>
      </c>
      <c r="E502" s="3" t="s">
        <v>159</v>
      </c>
      <c r="F502" s="3" t="s">
        <v>41</v>
      </c>
      <c r="G502" s="3" t="s">
        <v>78</v>
      </c>
      <c r="H502" s="3" t="s">
        <v>43</v>
      </c>
      <c r="I502" s="3" t="s">
        <v>216</v>
      </c>
      <c r="J502" s="3" t="s">
        <v>217</v>
      </c>
      <c r="K502" s="3" t="s">
        <v>99</v>
      </c>
      <c r="L502" s="3" t="s">
        <v>201</v>
      </c>
      <c r="M502" s="3" t="s">
        <v>1645</v>
      </c>
      <c r="N502" s="3" t="s">
        <v>65</v>
      </c>
      <c r="O502" s="3" t="s">
        <v>43</v>
      </c>
      <c r="P502" s="5" t="n">
        <v>9</v>
      </c>
      <c r="Q502" s="6" t="n">
        <v>3795.99</v>
      </c>
      <c r="R502" s="3" t="s">
        <v>806</v>
      </c>
      <c r="S502" s="7" t="n">
        <v>0.85</v>
      </c>
      <c r="T502" s="3" t="s">
        <v>74</v>
      </c>
      <c r="U502" s="7" t="n">
        <f aca="false">IF(T502="Valid",S502,0)</f>
        <v>0</v>
      </c>
      <c r="V502" s="6" t="n">
        <v>34163.91</v>
      </c>
      <c r="W502" s="6" t="n">
        <v>28577.15</v>
      </c>
      <c r="X502" s="6" t="n">
        <v>5586.76</v>
      </c>
      <c r="Y502" s="6" t="n">
        <f aca="false">P502*Q502*(1-U502)</f>
        <v>34163.91</v>
      </c>
      <c r="Z502" s="6" t="n">
        <f aca="false">Y502-W502</f>
        <v>5586.76</v>
      </c>
      <c r="AA502" s="8" t="n">
        <f aca="false">IF(Y502=0,0,Z502/Y502)</f>
        <v>0.16352812075667</v>
      </c>
      <c r="AB502" s="3" t="str">
        <f aca="false">IF(ABS(V502-Y502)&gt;1,"Mismatch","OK")</f>
        <v>OK</v>
      </c>
      <c r="AC502" s="3" t="str">
        <f aca="false">IF(ABS(X502-Z502)&gt;1,"Mismatch","OK")</f>
        <v>OK</v>
      </c>
      <c r="AD502" s="5" t="n">
        <f aca="false">IF(OR(B502="",C502=""),"",C502-B502)</f>
        <v>5</v>
      </c>
      <c r="AE502" s="3" t="str">
        <f aca="false">IF(AD502="","Unknown",IF(AD502&lt;0,"Invalid - Ship Before Order","OK"))</f>
        <v>OK</v>
      </c>
      <c r="AF502" s="5" t="n">
        <f aca="false">IF(B502="","",MONTH(B502))</f>
        <v>5</v>
      </c>
      <c r="AG502" s="5" t="n">
        <f aca="false">IF(B502="","",YEAR(B502))</f>
        <v>2024</v>
      </c>
      <c r="AH502" s="3" t="s">
        <v>52</v>
      </c>
      <c r="AI502" s="3" t="s">
        <v>53</v>
      </c>
      <c r="AJ502" s="3" t="str">
        <f aca="false">IF(AND(AI502="Completed",AH502="Failed"),"Inconsistent - Completed Order with Failed Payment","OK")</f>
        <v>OK</v>
      </c>
      <c r="AK502" s="3" t="s">
        <v>54</v>
      </c>
      <c r="AL502" s="3" t="str">
        <f aca="false">IF(OR(T502="Negative - Invalid",T502="Above Allowed Range - Invalid",AE502="Invalid - Ship Before Order",AK502&lt;&gt;"Unique",AB502="Mismatch",AC502="Mismatch",AJ502&lt;&gt;"OK"),"Invalid",IF(OR(H502="Yes",O502="Yes",T502="Missing"),"Warning","Clean"))</f>
        <v>Invalid</v>
      </c>
    </row>
    <row r="503" customFormat="false" ht="15" hidden="false" customHeight="true" outlineLevel="0" collapsed="false">
      <c r="A503" s="3" t="s">
        <v>1646</v>
      </c>
      <c r="B503" s="4" t="n">
        <v>45515</v>
      </c>
      <c r="C503" s="4" t="n">
        <v>45521</v>
      </c>
      <c r="D503" s="3" t="s">
        <v>847</v>
      </c>
      <c r="E503" s="3" t="s">
        <v>104</v>
      </c>
      <c r="F503" s="3" t="s">
        <v>41</v>
      </c>
      <c r="G503" s="3" t="s">
        <v>59</v>
      </c>
      <c r="H503" s="3" t="s">
        <v>43</v>
      </c>
      <c r="I503" s="3" t="s">
        <v>262</v>
      </c>
      <c r="J503" s="3" t="s">
        <v>263</v>
      </c>
      <c r="K503" s="3" t="s">
        <v>46</v>
      </c>
      <c r="L503" s="3" t="s">
        <v>70</v>
      </c>
      <c r="M503" s="3" t="s">
        <v>1647</v>
      </c>
      <c r="N503" s="3" t="s">
        <v>49</v>
      </c>
      <c r="O503" s="3" t="s">
        <v>43</v>
      </c>
      <c r="P503" s="5" t="n">
        <v>6</v>
      </c>
      <c r="Q503" s="6" t="n">
        <v>3497.54</v>
      </c>
      <c r="R503" s="3" t="s">
        <v>107</v>
      </c>
      <c r="S503" s="7" t="n">
        <v>0.15</v>
      </c>
      <c r="T503" s="3" t="s">
        <v>51</v>
      </c>
      <c r="U503" s="7" t="n">
        <f aca="false">IF(T503="Valid",S503,0)</f>
        <v>0.15</v>
      </c>
      <c r="V503" s="6" t="n">
        <v>17837.45</v>
      </c>
      <c r="W503" s="6" t="n">
        <v>13627.02</v>
      </c>
      <c r="X503" s="6" t="n">
        <v>4210.43</v>
      </c>
      <c r="Y503" s="6" t="n">
        <f aca="false">P503*Q503*(1-U503)</f>
        <v>17837.454</v>
      </c>
      <c r="Z503" s="6" t="n">
        <f aca="false">Y503-W503</f>
        <v>4210.434</v>
      </c>
      <c r="AA503" s="8" t="n">
        <f aca="false">IF(Y503=0,0,Z503/Y503)</f>
        <v>0.236044561067964</v>
      </c>
      <c r="AB503" s="3" t="str">
        <f aca="false">IF(ABS(V503-Y503)&gt;1,"Mismatch","OK")</f>
        <v>OK</v>
      </c>
      <c r="AC503" s="3" t="str">
        <f aca="false">IF(ABS(X503-Z503)&gt;1,"Mismatch","OK")</f>
        <v>OK</v>
      </c>
      <c r="AD503" s="5" t="n">
        <f aca="false">IF(OR(B503="",C503=""),"",C503-B503)</f>
        <v>6</v>
      </c>
      <c r="AE503" s="3" t="str">
        <f aca="false">IF(AD503="","Unknown",IF(AD503&lt;0,"Invalid - Ship Before Order","OK"))</f>
        <v>OK</v>
      </c>
      <c r="AF503" s="5" t="n">
        <f aca="false">IF(B503="","",MONTH(B503))</f>
        <v>8</v>
      </c>
      <c r="AG503" s="5" t="n">
        <f aca="false">IF(B503="","",YEAR(B503))</f>
        <v>2024</v>
      </c>
      <c r="AH503" s="3" t="s">
        <v>52</v>
      </c>
      <c r="AI503" s="3" t="s">
        <v>53</v>
      </c>
      <c r="AJ503" s="3" t="str">
        <f aca="false">IF(AND(AI503="Completed",AH503="Failed"),"Inconsistent - Completed Order with Failed Payment","OK")</f>
        <v>OK</v>
      </c>
      <c r="AK503" s="3" t="s">
        <v>54</v>
      </c>
      <c r="AL503" s="3" t="str">
        <f aca="false">IF(OR(T503="Negative - Invalid",T503="Above Allowed Range - Invalid",AE503="Invalid - Ship Before Order",AK503&lt;&gt;"Unique",AB503="Mismatch",AC503="Mismatch",AJ503&lt;&gt;"OK"),"Invalid",IF(OR(H503="Yes",O503="Yes",T503="Missing"),"Warning","Clean"))</f>
        <v>Clean</v>
      </c>
    </row>
    <row r="504" customFormat="false" ht="15" hidden="false" customHeight="true" outlineLevel="0" collapsed="false">
      <c r="A504" s="3" t="s">
        <v>1648</v>
      </c>
      <c r="B504" s="4" t="n">
        <v>45383</v>
      </c>
      <c r="C504" s="4" t="n">
        <v>45391</v>
      </c>
      <c r="D504" s="3" t="s">
        <v>1649</v>
      </c>
      <c r="E504" s="3" t="s">
        <v>141</v>
      </c>
      <c r="F504" s="3" t="s">
        <v>58</v>
      </c>
      <c r="G504" s="3" t="s">
        <v>59</v>
      </c>
      <c r="H504" s="3" t="s">
        <v>43</v>
      </c>
      <c r="I504" s="3" t="s">
        <v>60</v>
      </c>
      <c r="J504" s="3" t="s">
        <v>61</v>
      </c>
      <c r="K504" s="3" t="s">
        <v>99</v>
      </c>
      <c r="L504" s="3" t="s">
        <v>105</v>
      </c>
      <c r="M504" s="3" t="s">
        <v>1650</v>
      </c>
      <c r="N504" s="3" t="s">
        <v>49</v>
      </c>
      <c r="O504" s="3" t="s">
        <v>43</v>
      </c>
      <c r="P504" s="5" t="n">
        <v>6</v>
      </c>
      <c r="Q504" s="6" t="n">
        <v>826.93</v>
      </c>
      <c r="R504" s="3" t="s">
        <v>203</v>
      </c>
      <c r="S504" s="7" t="n">
        <v>0.1</v>
      </c>
      <c r="T504" s="3" t="s">
        <v>51</v>
      </c>
      <c r="U504" s="7" t="n">
        <f aca="false">IF(T504="Valid",S504,0)</f>
        <v>0.1</v>
      </c>
      <c r="V504" s="6" t="n">
        <v>4465.42</v>
      </c>
      <c r="W504" s="6" t="n">
        <v>3377.1</v>
      </c>
      <c r="X504" s="6" t="n">
        <v>1088.32</v>
      </c>
      <c r="Y504" s="6" t="n">
        <f aca="false">P504*Q504*(1-U504)</f>
        <v>4465.422</v>
      </c>
      <c r="Z504" s="6" t="n">
        <f aca="false">Y504-W504</f>
        <v>1088.322</v>
      </c>
      <c r="AA504" s="8" t="n">
        <f aca="false">IF(Y504=0,0,Z504/Y504)</f>
        <v>0.243722093902883</v>
      </c>
      <c r="AB504" s="3" t="str">
        <f aca="false">IF(ABS(V504-Y504)&gt;1,"Mismatch","OK")</f>
        <v>OK</v>
      </c>
      <c r="AC504" s="3" t="str">
        <f aca="false">IF(ABS(X504-Z504)&gt;1,"Mismatch","OK")</f>
        <v>OK</v>
      </c>
      <c r="AD504" s="5" t="n">
        <f aca="false">IF(OR(B504="",C504=""),"",C504-B504)</f>
        <v>8</v>
      </c>
      <c r="AE504" s="3" t="str">
        <f aca="false">IF(AD504="","Unknown",IF(AD504&lt;0,"Invalid - Ship Before Order","OK"))</f>
        <v>OK</v>
      </c>
      <c r="AF504" s="5" t="n">
        <f aca="false">IF(B504="","",MONTH(B504))</f>
        <v>4</v>
      </c>
      <c r="AG504" s="5" t="n">
        <f aca="false">IF(B504="","",YEAR(B504))</f>
        <v>2024</v>
      </c>
      <c r="AH504" s="3" t="s">
        <v>52</v>
      </c>
      <c r="AI504" s="3" t="s">
        <v>53</v>
      </c>
      <c r="AJ504" s="3" t="str">
        <f aca="false">IF(AND(AI504="Completed",AH504="Failed"),"Inconsistent - Completed Order with Failed Payment","OK")</f>
        <v>OK</v>
      </c>
      <c r="AK504" s="3" t="s">
        <v>54</v>
      </c>
      <c r="AL504" s="3" t="str">
        <f aca="false">IF(OR(T504="Negative - Invalid",T504="Above Allowed Range - Invalid",AE504="Invalid - Ship Before Order",AK504&lt;&gt;"Unique",AB504="Mismatch",AC504="Mismatch",AJ504&lt;&gt;"OK"),"Invalid",IF(OR(H504="Yes",O504="Yes",T504="Missing"),"Warning","Clean"))</f>
        <v>Clean</v>
      </c>
    </row>
    <row r="505" customFormat="false" ht="15" hidden="false" customHeight="true" outlineLevel="0" collapsed="false">
      <c r="A505" s="3" t="s">
        <v>1651</v>
      </c>
      <c r="B505" s="4" t="n">
        <v>45563</v>
      </c>
      <c r="C505" s="4" t="n">
        <v>45570</v>
      </c>
      <c r="D505" s="3" t="s">
        <v>1652</v>
      </c>
      <c r="E505" s="3" t="s">
        <v>155</v>
      </c>
      <c r="F505" s="3" t="s">
        <v>41</v>
      </c>
      <c r="G505" s="3" t="s">
        <v>78</v>
      </c>
      <c r="H505" s="3" t="s">
        <v>43</v>
      </c>
      <c r="I505" s="3" t="s">
        <v>281</v>
      </c>
      <c r="J505" s="3" t="s">
        <v>282</v>
      </c>
      <c r="K505" s="3" t="s">
        <v>99</v>
      </c>
      <c r="L505" s="3" t="s">
        <v>201</v>
      </c>
      <c r="M505" s="3" t="s">
        <v>1653</v>
      </c>
      <c r="N505" s="3" t="s">
        <v>83</v>
      </c>
      <c r="O505" s="3" t="s">
        <v>43</v>
      </c>
      <c r="P505" s="5" t="n">
        <v>7</v>
      </c>
      <c r="Q505" s="6" t="n">
        <v>1681.6</v>
      </c>
      <c r="R505" s="3" t="s">
        <v>203</v>
      </c>
      <c r="S505" s="7" t="n">
        <v>0.1</v>
      </c>
      <c r="T505" s="3" t="s">
        <v>51</v>
      </c>
      <c r="U505" s="7" t="n">
        <f aca="false">IF(T505="Valid",S505,0)</f>
        <v>0.1</v>
      </c>
      <c r="V505" s="6" t="n">
        <v>10594.08</v>
      </c>
      <c r="W505" s="6" t="n">
        <v>7160.31</v>
      </c>
      <c r="X505" s="6" t="n">
        <v>3433.77</v>
      </c>
      <c r="Y505" s="6" t="n">
        <f aca="false">P505*Q505*(1-U505)</f>
        <v>10594.08</v>
      </c>
      <c r="Z505" s="6" t="n">
        <f aca="false">Y505-W505</f>
        <v>3433.77</v>
      </c>
      <c r="AA505" s="8" t="n">
        <f aca="false">IF(Y505=0,0,Z505/Y505)</f>
        <v>0.324121584885143</v>
      </c>
      <c r="AB505" s="3" t="str">
        <f aca="false">IF(ABS(V505-Y505)&gt;1,"Mismatch","OK")</f>
        <v>OK</v>
      </c>
      <c r="AC505" s="3" t="str">
        <f aca="false">IF(ABS(X505-Z505)&gt;1,"Mismatch","OK")</f>
        <v>OK</v>
      </c>
      <c r="AD505" s="5" t="n">
        <f aca="false">IF(OR(B505="",C505=""),"",C505-B505)</f>
        <v>7</v>
      </c>
      <c r="AE505" s="3" t="str">
        <f aca="false">IF(AD505="","Unknown",IF(AD505&lt;0,"Invalid - Ship Before Order","OK"))</f>
        <v>OK</v>
      </c>
      <c r="AF505" s="5" t="n">
        <f aca="false">IF(B505="","",MONTH(B505))</f>
        <v>9</v>
      </c>
      <c r="AG505" s="5" t="n">
        <f aca="false">IF(B505="","",YEAR(B505))</f>
        <v>2024</v>
      </c>
      <c r="AH505" s="3" t="s">
        <v>52</v>
      </c>
      <c r="AI505" s="3" t="s">
        <v>53</v>
      </c>
      <c r="AJ505" s="3" t="str">
        <f aca="false">IF(AND(AI505="Completed",AH505="Failed"),"Inconsistent - Completed Order with Failed Payment","OK")</f>
        <v>OK</v>
      </c>
      <c r="AK505" s="3" t="s">
        <v>54</v>
      </c>
      <c r="AL505" s="3" t="str">
        <f aca="false">IF(OR(T505="Negative - Invalid",T505="Above Allowed Range - Invalid",AE505="Invalid - Ship Before Order",AK505&lt;&gt;"Unique",AB505="Mismatch",AC505="Mismatch",AJ505&lt;&gt;"OK"),"Invalid",IF(OR(H505="Yes",O505="Yes",T505="Missing"),"Warning","Clean"))</f>
        <v>Clean</v>
      </c>
    </row>
    <row r="506" customFormat="false" ht="15" hidden="false" customHeight="true" outlineLevel="0" collapsed="false">
      <c r="A506" s="3" t="s">
        <v>1654</v>
      </c>
      <c r="B506" s="4" t="n">
        <v>45700</v>
      </c>
      <c r="C506" s="4" t="n">
        <v>45705</v>
      </c>
      <c r="D506" s="3" t="s">
        <v>1655</v>
      </c>
      <c r="E506" s="3" t="s">
        <v>77</v>
      </c>
      <c r="F506" s="3" t="s">
        <v>116</v>
      </c>
      <c r="G506" s="3" t="s">
        <v>88</v>
      </c>
      <c r="H506" s="3" t="s">
        <v>43</v>
      </c>
      <c r="I506" s="3" t="s">
        <v>211</v>
      </c>
      <c r="J506" s="3" t="s">
        <v>212</v>
      </c>
      <c r="K506" s="3" t="s">
        <v>46</v>
      </c>
      <c r="L506" s="3" t="s">
        <v>70</v>
      </c>
      <c r="M506" s="3" t="s">
        <v>1656</v>
      </c>
      <c r="N506" s="3" t="s">
        <v>83</v>
      </c>
      <c r="O506" s="3" t="s">
        <v>43</v>
      </c>
      <c r="P506" s="5" t="n">
        <v>4</v>
      </c>
      <c r="Q506" s="6" t="n">
        <v>4328.12</v>
      </c>
      <c r="R506" s="3" t="s">
        <v>66</v>
      </c>
      <c r="S506" s="7" t="n">
        <v>0</v>
      </c>
      <c r="T506" s="3" t="s">
        <v>51</v>
      </c>
      <c r="U506" s="7" t="n">
        <f aca="false">IF(T506="Valid",S506,0)</f>
        <v>0</v>
      </c>
      <c r="V506" s="6" t="n">
        <v>17312.48</v>
      </c>
      <c r="W506" s="6" t="n">
        <v>14424.22</v>
      </c>
      <c r="X506" s="6" t="n">
        <v>2888.26</v>
      </c>
      <c r="Y506" s="6" t="n">
        <f aca="false">P506*Q506*(1-U506)</f>
        <v>17312.48</v>
      </c>
      <c r="Z506" s="6" t="n">
        <f aca="false">Y506-W506</f>
        <v>2888.26</v>
      </c>
      <c r="AA506" s="8" t="n">
        <f aca="false">IF(Y506=0,0,Z506/Y506)</f>
        <v>0.166831095256139</v>
      </c>
      <c r="AB506" s="3" t="str">
        <f aca="false">IF(ABS(V506-Y506)&gt;1,"Mismatch","OK")</f>
        <v>OK</v>
      </c>
      <c r="AC506" s="3" t="str">
        <f aca="false">IF(ABS(X506-Z506)&gt;1,"Mismatch","OK")</f>
        <v>OK</v>
      </c>
      <c r="AD506" s="5" t="n">
        <f aca="false">IF(OR(B506="",C506=""),"",C506-B506)</f>
        <v>5</v>
      </c>
      <c r="AE506" s="3" t="str">
        <f aca="false">IF(AD506="","Unknown",IF(AD506&lt;0,"Invalid - Ship Before Order","OK"))</f>
        <v>OK</v>
      </c>
      <c r="AF506" s="5" t="n">
        <f aca="false">IF(B506="","",MONTH(B506))</f>
        <v>2</v>
      </c>
      <c r="AG506" s="5" t="n">
        <f aca="false">IF(B506="","",YEAR(B506))</f>
        <v>2025</v>
      </c>
      <c r="AH506" s="3" t="s">
        <v>52</v>
      </c>
      <c r="AI506" s="3" t="s">
        <v>53</v>
      </c>
      <c r="AJ506" s="3" t="str">
        <f aca="false">IF(AND(AI506="Completed",AH506="Failed"),"Inconsistent - Completed Order with Failed Payment","OK")</f>
        <v>OK</v>
      </c>
      <c r="AK506" s="3" t="s">
        <v>54</v>
      </c>
      <c r="AL506" s="3" t="str">
        <f aca="false">IF(OR(T506="Negative - Invalid",T506="Above Allowed Range - Invalid",AE506="Invalid - Ship Before Order",AK506&lt;&gt;"Unique",AB506="Mismatch",AC506="Mismatch",AJ506&lt;&gt;"OK"),"Invalid",IF(OR(H506="Yes",O506="Yes",T506="Missing"),"Warning","Clean"))</f>
        <v>Clean</v>
      </c>
    </row>
    <row r="507" customFormat="false" ht="15" hidden="false" customHeight="true" outlineLevel="0" collapsed="false">
      <c r="A507" s="3" t="s">
        <v>1657</v>
      </c>
      <c r="B507" s="4" t="n">
        <v>45605</v>
      </c>
      <c r="C507" s="4" t="n">
        <v>45610</v>
      </c>
      <c r="D507" s="3" t="s">
        <v>1658</v>
      </c>
      <c r="E507" s="3" t="s">
        <v>104</v>
      </c>
      <c r="F507" s="3" t="s">
        <v>116</v>
      </c>
      <c r="G507" s="3" t="s">
        <v>88</v>
      </c>
      <c r="H507" s="3" t="s">
        <v>43</v>
      </c>
      <c r="I507" s="3" t="s">
        <v>97</v>
      </c>
      <c r="J507" s="3" t="s">
        <v>98</v>
      </c>
      <c r="K507" s="3" t="s">
        <v>46</v>
      </c>
      <c r="L507" s="3" t="s">
        <v>70</v>
      </c>
      <c r="M507" s="3" t="s">
        <v>1659</v>
      </c>
      <c r="N507" s="3" t="s">
        <v>72</v>
      </c>
      <c r="O507" s="3" t="s">
        <v>43</v>
      </c>
      <c r="P507" s="5" t="n">
        <v>9</v>
      </c>
      <c r="Q507" s="6" t="n">
        <v>2438.29</v>
      </c>
      <c r="R507" s="3" t="s">
        <v>50</v>
      </c>
      <c r="S507" s="7" t="n">
        <v>0.2</v>
      </c>
      <c r="T507" s="3" t="s">
        <v>51</v>
      </c>
      <c r="U507" s="7" t="n">
        <f aca="false">IF(T507="Valid",S507,0)</f>
        <v>0.2</v>
      </c>
      <c r="V507" s="6" t="n">
        <v>17555.69</v>
      </c>
      <c r="W507" s="6" t="n">
        <v>13293.2</v>
      </c>
      <c r="X507" s="6" t="n">
        <v>4262.49</v>
      </c>
      <c r="Y507" s="6" t="n">
        <f aca="false">P507*Q507*(1-U507)</f>
        <v>17555.688</v>
      </c>
      <c r="Z507" s="6" t="n">
        <f aca="false">Y507-W507</f>
        <v>4262.488</v>
      </c>
      <c r="AA507" s="8" t="n">
        <f aca="false">IF(Y507=0,0,Z507/Y507)</f>
        <v>0.242798117624328</v>
      </c>
      <c r="AB507" s="3" t="str">
        <f aca="false">IF(ABS(V507-Y507)&gt;1,"Mismatch","OK")</f>
        <v>OK</v>
      </c>
      <c r="AC507" s="3" t="str">
        <f aca="false">IF(ABS(X507-Z507)&gt;1,"Mismatch","OK")</f>
        <v>OK</v>
      </c>
      <c r="AD507" s="5" t="n">
        <f aca="false">IF(OR(B507="",C507=""),"",C507-B507)</f>
        <v>5</v>
      </c>
      <c r="AE507" s="3" t="str">
        <f aca="false">IF(AD507="","Unknown",IF(AD507&lt;0,"Invalid - Ship Before Order","OK"))</f>
        <v>OK</v>
      </c>
      <c r="AF507" s="5" t="n">
        <f aca="false">IF(B507="","",MONTH(B507))</f>
        <v>11</v>
      </c>
      <c r="AG507" s="5" t="n">
        <f aca="false">IF(B507="","",YEAR(B507))</f>
        <v>2024</v>
      </c>
      <c r="AH507" s="3" t="s">
        <v>52</v>
      </c>
      <c r="AI507" s="3" t="s">
        <v>93</v>
      </c>
      <c r="AJ507" s="3" t="str">
        <f aca="false">IF(AND(AI507="Completed",AH507="Failed"),"Inconsistent - Completed Order with Failed Payment","OK")</f>
        <v>OK</v>
      </c>
      <c r="AK507" s="3" t="s">
        <v>54</v>
      </c>
      <c r="AL507" s="3" t="str">
        <f aca="false">IF(OR(T507="Negative - Invalid",T507="Above Allowed Range - Invalid",AE507="Invalid - Ship Before Order",AK507&lt;&gt;"Unique",AB507="Mismatch",AC507="Mismatch",AJ507&lt;&gt;"OK"),"Invalid",IF(OR(H507="Yes",O507="Yes",T507="Missing"),"Warning","Clean"))</f>
        <v>Clean</v>
      </c>
    </row>
    <row r="508" customFormat="false" ht="15" hidden="false" customHeight="true" outlineLevel="0" collapsed="false">
      <c r="A508" s="3" t="s">
        <v>1660</v>
      </c>
      <c r="B508" s="4" t="n">
        <v>45641</v>
      </c>
      <c r="C508" s="4" t="n">
        <v>45641</v>
      </c>
      <c r="D508" s="3" t="s">
        <v>1661</v>
      </c>
      <c r="E508" s="3" t="s">
        <v>155</v>
      </c>
      <c r="F508" s="3" t="s">
        <v>58</v>
      </c>
      <c r="G508" s="3" t="s">
        <v>42</v>
      </c>
      <c r="H508" s="3" t="s">
        <v>43</v>
      </c>
      <c r="I508" s="3" t="s">
        <v>149</v>
      </c>
      <c r="J508" s="3" t="s">
        <v>150</v>
      </c>
      <c r="K508" s="3" t="s">
        <v>62</v>
      </c>
      <c r="L508" s="3" t="s">
        <v>81</v>
      </c>
      <c r="M508" s="3" t="s">
        <v>1662</v>
      </c>
      <c r="N508" s="3" t="s">
        <v>72</v>
      </c>
      <c r="O508" s="3" t="s">
        <v>43</v>
      </c>
      <c r="P508" s="5" t="n">
        <v>2</v>
      </c>
      <c r="Q508" s="6" t="n">
        <v>669.8</v>
      </c>
      <c r="R508" s="3" t="s">
        <v>203</v>
      </c>
      <c r="S508" s="7" t="n">
        <v>0.1</v>
      </c>
      <c r="T508" s="3" t="s">
        <v>51</v>
      </c>
      <c r="U508" s="7" t="n">
        <f aca="false">IF(T508="Valid",S508,0)</f>
        <v>0.1</v>
      </c>
      <c r="V508" s="6" t="n">
        <v>1205.64</v>
      </c>
      <c r="W508" s="6" t="n">
        <v>842.07</v>
      </c>
      <c r="X508" s="6" t="n">
        <v>363.57</v>
      </c>
      <c r="Y508" s="6" t="n">
        <f aca="false">P508*Q508*(1-U508)</f>
        <v>1205.64</v>
      </c>
      <c r="Z508" s="6" t="n">
        <f aca="false">Y508-W508</f>
        <v>363.57</v>
      </c>
      <c r="AA508" s="8" t="n">
        <f aca="false">IF(Y508=0,0,Z508/Y508)</f>
        <v>0.301557678909127</v>
      </c>
      <c r="AB508" s="3" t="str">
        <f aca="false">IF(ABS(V508-Y508)&gt;1,"Mismatch","OK")</f>
        <v>OK</v>
      </c>
      <c r="AC508" s="3" t="str">
        <f aca="false">IF(ABS(X508-Z508)&gt;1,"Mismatch","OK")</f>
        <v>OK</v>
      </c>
      <c r="AD508" s="5" t="n">
        <f aca="false">IF(OR(B508="",C508=""),"",C508-B508)</f>
        <v>0</v>
      </c>
      <c r="AE508" s="3" t="str">
        <f aca="false">IF(AD508="","Unknown",IF(AD508&lt;0,"Invalid - Ship Before Order","OK"))</f>
        <v>OK</v>
      </c>
      <c r="AF508" s="5" t="n">
        <f aca="false">IF(B508="","",MONTH(B508))</f>
        <v>12</v>
      </c>
      <c r="AG508" s="5" t="n">
        <f aca="false">IF(B508="","",YEAR(B508))</f>
        <v>2024</v>
      </c>
      <c r="AH508" s="3" t="s">
        <v>129</v>
      </c>
      <c r="AI508" s="3" t="s">
        <v>130</v>
      </c>
      <c r="AJ508" s="3" t="str">
        <f aca="false">IF(AND(AI508="Completed",AH508="Failed"),"Inconsistent - Completed Order with Failed Payment","OK")</f>
        <v>OK</v>
      </c>
      <c r="AK508" s="3" t="s">
        <v>54</v>
      </c>
      <c r="AL508" s="3" t="str">
        <f aca="false">IF(OR(T508="Negative - Invalid",T508="Above Allowed Range - Invalid",AE508="Invalid - Ship Before Order",AK508&lt;&gt;"Unique",AB508="Mismatch",AC508="Mismatch",AJ508&lt;&gt;"OK"),"Invalid",IF(OR(H508="Yes",O508="Yes",T508="Missing"),"Warning","Clean"))</f>
        <v>Clean</v>
      </c>
    </row>
    <row r="509" customFormat="false" ht="15" hidden="false" customHeight="true" outlineLevel="0" collapsed="false">
      <c r="A509" s="3" t="s">
        <v>1663</v>
      </c>
      <c r="B509" s="4" t="n">
        <v>45762</v>
      </c>
      <c r="C509" s="4" t="n">
        <v>45769</v>
      </c>
      <c r="D509" s="3" t="s">
        <v>1664</v>
      </c>
      <c r="E509" s="3" t="s">
        <v>69</v>
      </c>
      <c r="F509" s="3" t="s">
        <v>58</v>
      </c>
      <c r="G509" s="3" t="s">
        <v>42</v>
      </c>
      <c r="H509" s="3" t="s">
        <v>43</v>
      </c>
      <c r="I509" s="3" t="s">
        <v>270</v>
      </c>
      <c r="J509" s="3" t="s">
        <v>271</v>
      </c>
      <c r="K509" s="3" t="s">
        <v>46</v>
      </c>
      <c r="L509" s="3" t="s">
        <v>183</v>
      </c>
      <c r="M509" s="3" t="s">
        <v>1665</v>
      </c>
      <c r="N509" s="3" t="s">
        <v>65</v>
      </c>
      <c r="O509" s="3" t="s">
        <v>43</v>
      </c>
      <c r="P509" s="5" t="n">
        <v>4</v>
      </c>
      <c r="Q509" s="6" t="n">
        <v>2990.42</v>
      </c>
      <c r="R509" s="3" t="s">
        <v>84</v>
      </c>
      <c r="S509" s="7" t="n">
        <v>0.25</v>
      </c>
      <c r="T509" s="3" t="s">
        <v>51</v>
      </c>
      <c r="U509" s="7" t="n">
        <f aca="false">IF(T509="Valid",S509,0)</f>
        <v>0.25</v>
      </c>
      <c r="V509" s="6" t="n">
        <v>8971.26</v>
      </c>
      <c r="W509" s="6" t="n">
        <v>6814.35</v>
      </c>
      <c r="X509" s="6" t="n">
        <v>2156.91</v>
      </c>
      <c r="Y509" s="6" t="n">
        <f aca="false">P509*Q509*(1-U509)</f>
        <v>8971.26</v>
      </c>
      <c r="Z509" s="6" t="n">
        <f aca="false">Y509-W509</f>
        <v>2156.91</v>
      </c>
      <c r="AA509" s="8" t="n">
        <f aca="false">IF(Y509=0,0,Z509/Y509)</f>
        <v>0.240424421987547</v>
      </c>
      <c r="AB509" s="3" t="str">
        <f aca="false">IF(ABS(V509-Y509)&gt;1,"Mismatch","OK")</f>
        <v>OK</v>
      </c>
      <c r="AC509" s="3" t="str">
        <f aca="false">IF(ABS(X509-Z509)&gt;1,"Mismatch","OK")</f>
        <v>OK</v>
      </c>
      <c r="AD509" s="5" t="n">
        <f aca="false">IF(OR(B509="",C509=""),"",C509-B509)</f>
        <v>7</v>
      </c>
      <c r="AE509" s="3" t="str">
        <f aca="false">IF(AD509="","Unknown",IF(AD509&lt;0,"Invalid - Ship Before Order","OK"))</f>
        <v>OK</v>
      </c>
      <c r="AF509" s="5" t="n">
        <f aca="false">IF(B509="","",MONTH(B509))</f>
        <v>4</v>
      </c>
      <c r="AG509" s="5" t="n">
        <f aca="false">IF(B509="","",YEAR(B509))</f>
        <v>2025</v>
      </c>
      <c r="AH509" s="3" t="s">
        <v>52</v>
      </c>
      <c r="AI509" s="3" t="s">
        <v>53</v>
      </c>
      <c r="AJ509" s="3" t="str">
        <f aca="false">IF(AND(AI509="Completed",AH509="Failed"),"Inconsistent - Completed Order with Failed Payment","OK")</f>
        <v>OK</v>
      </c>
      <c r="AK509" s="3" t="s">
        <v>54</v>
      </c>
      <c r="AL509" s="3" t="str">
        <f aca="false">IF(OR(T509="Negative - Invalid",T509="Above Allowed Range - Invalid",AE509="Invalid - Ship Before Order",AK509&lt;&gt;"Unique",AB509="Mismatch",AC509="Mismatch",AJ509&lt;&gt;"OK"),"Invalid",IF(OR(H509="Yes",O509="Yes",T509="Missing"),"Warning","Clean"))</f>
        <v>Clean</v>
      </c>
    </row>
    <row r="510" customFormat="false" ht="15" hidden="false" customHeight="true" outlineLevel="0" collapsed="false">
      <c r="A510" s="3" t="s">
        <v>1666</v>
      </c>
      <c r="B510" s="4" t="n">
        <v>45382</v>
      </c>
      <c r="C510" s="4" t="n">
        <v>45389</v>
      </c>
      <c r="D510" s="3" t="s">
        <v>1667</v>
      </c>
      <c r="E510" s="3" t="s">
        <v>69</v>
      </c>
      <c r="F510" s="3" t="s">
        <v>58</v>
      </c>
      <c r="G510" s="3" t="s">
        <v>42</v>
      </c>
      <c r="H510" s="3" t="s">
        <v>43</v>
      </c>
      <c r="I510" s="3" t="s">
        <v>270</v>
      </c>
      <c r="J510" s="3" t="s">
        <v>271</v>
      </c>
      <c r="K510" s="3" t="s">
        <v>99</v>
      </c>
      <c r="L510" s="3" t="s">
        <v>308</v>
      </c>
      <c r="M510" s="3" t="s">
        <v>1668</v>
      </c>
      <c r="N510" s="3" t="s">
        <v>49</v>
      </c>
      <c r="O510" s="3" t="s">
        <v>43</v>
      </c>
      <c r="P510" s="5" t="n">
        <v>4</v>
      </c>
      <c r="Q510" s="6" t="n">
        <v>1831</v>
      </c>
      <c r="R510" s="3" t="s">
        <v>66</v>
      </c>
      <c r="S510" s="7" t="n">
        <v>0</v>
      </c>
      <c r="T510" s="3" t="s">
        <v>51</v>
      </c>
      <c r="U510" s="7" t="n">
        <f aca="false">IF(T510="Valid",S510,0)</f>
        <v>0</v>
      </c>
      <c r="V510" s="6" t="n">
        <v>7324</v>
      </c>
      <c r="W510" s="6" t="n">
        <v>4179.63</v>
      </c>
      <c r="X510" s="6" t="n">
        <v>3144.37</v>
      </c>
      <c r="Y510" s="6" t="n">
        <f aca="false">P510*Q510*(1-U510)</f>
        <v>7324</v>
      </c>
      <c r="Z510" s="6" t="n">
        <f aca="false">Y510-W510</f>
        <v>3144.37</v>
      </c>
      <c r="AA510" s="8" t="n">
        <f aca="false">IF(Y510=0,0,Z510/Y510)</f>
        <v>0.429324139814309</v>
      </c>
      <c r="AB510" s="3" t="str">
        <f aca="false">IF(ABS(V510-Y510)&gt;1,"Mismatch","OK")</f>
        <v>OK</v>
      </c>
      <c r="AC510" s="3" t="str">
        <f aca="false">IF(ABS(X510-Z510)&gt;1,"Mismatch","OK")</f>
        <v>OK</v>
      </c>
      <c r="AD510" s="5" t="n">
        <f aca="false">IF(OR(B510="",C510=""),"",C510-B510)</f>
        <v>7</v>
      </c>
      <c r="AE510" s="3" t="str">
        <f aca="false">IF(AD510="","Unknown",IF(AD510&lt;0,"Invalid - Ship Before Order","OK"))</f>
        <v>OK</v>
      </c>
      <c r="AF510" s="5" t="n">
        <f aca="false">IF(B510="","",MONTH(B510))</f>
        <v>3</v>
      </c>
      <c r="AG510" s="5" t="n">
        <f aca="false">IF(B510="","",YEAR(B510))</f>
        <v>2024</v>
      </c>
      <c r="AH510" s="3" t="s">
        <v>52</v>
      </c>
      <c r="AI510" s="3" t="s">
        <v>53</v>
      </c>
      <c r="AJ510" s="3" t="str">
        <f aca="false">IF(AND(AI510="Completed",AH510="Failed"),"Inconsistent - Completed Order with Failed Payment","OK")</f>
        <v>OK</v>
      </c>
      <c r="AK510" s="3" t="s">
        <v>54</v>
      </c>
      <c r="AL510" s="3" t="str">
        <f aca="false">IF(OR(T510="Negative - Invalid",T510="Above Allowed Range - Invalid",AE510="Invalid - Ship Before Order",AK510&lt;&gt;"Unique",AB510="Mismatch",AC510="Mismatch",AJ510&lt;&gt;"OK"),"Invalid",IF(OR(H510="Yes",O510="Yes",T510="Missing"),"Warning","Clean"))</f>
        <v>Clean</v>
      </c>
    </row>
    <row r="511" customFormat="false" ht="15" hidden="false" customHeight="true" outlineLevel="0" collapsed="false">
      <c r="A511" s="3" t="s">
        <v>1669</v>
      </c>
      <c r="B511" s="4" t="n">
        <v>45789</v>
      </c>
      <c r="C511" s="4" t="n">
        <v>45791</v>
      </c>
      <c r="D511" s="3" t="s">
        <v>1670</v>
      </c>
      <c r="E511" s="3" t="s">
        <v>104</v>
      </c>
      <c r="F511" s="3" t="s">
        <v>41</v>
      </c>
      <c r="G511" s="3" t="s">
        <v>88</v>
      </c>
      <c r="H511" s="3" t="s">
        <v>43</v>
      </c>
      <c r="I511" s="3" t="s">
        <v>211</v>
      </c>
      <c r="J511" s="3" t="s">
        <v>212</v>
      </c>
      <c r="K511" s="3" t="s">
        <v>99</v>
      </c>
      <c r="L511" s="3" t="s">
        <v>308</v>
      </c>
      <c r="M511" s="3" t="s">
        <v>1671</v>
      </c>
      <c r="N511" s="3" t="s">
        <v>65</v>
      </c>
      <c r="O511" s="3" t="s">
        <v>43</v>
      </c>
      <c r="P511" s="5" t="n">
        <v>8</v>
      </c>
      <c r="Q511" s="6" t="n">
        <v>3631.44</v>
      </c>
      <c r="R511" s="3" t="s">
        <v>50</v>
      </c>
      <c r="S511" s="7" t="n">
        <v>0.2</v>
      </c>
      <c r="T511" s="3" t="s">
        <v>51</v>
      </c>
      <c r="U511" s="7" t="n">
        <f aca="false">IF(T511="Valid",S511,0)</f>
        <v>0.2</v>
      </c>
      <c r="V511" s="6" t="n">
        <v>23241.22</v>
      </c>
      <c r="W511" s="6" t="n">
        <v>17220.9</v>
      </c>
      <c r="X511" s="6" t="n">
        <v>6020.32</v>
      </c>
      <c r="Y511" s="6" t="n">
        <f aca="false">P511*Q511*(1-U511)</f>
        <v>23241.216</v>
      </c>
      <c r="Z511" s="6" t="n">
        <f aca="false">Y511-W511</f>
        <v>6020.316</v>
      </c>
      <c r="AA511" s="8" t="n">
        <f aca="false">IF(Y511=0,0,Z511/Y511)</f>
        <v>0.25903618812372</v>
      </c>
      <c r="AB511" s="3" t="str">
        <f aca="false">IF(ABS(V511-Y511)&gt;1,"Mismatch","OK")</f>
        <v>OK</v>
      </c>
      <c r="AC511" s="3" t="str">
        <f aca="false">IF(ABS(X511-Z511)&gt;1,"Mismatch","OK")</f>
        <v>OK</v>
      </c>
      <c r="AD511" s="5" t="n">
        <f aca="false">IF(OR(B511="",C511=""),"",C511-B511)</f>
        <v>2</v>
      </c>
      <c r="AE511" s="3" t="str">
        <f aca="false">IF(AD511="","Unknown",IF(AD511&lt;0,"Invalid - Ship Before Order","OK"))</f>
        <v>OK</v>
      </c>
      <c r="AF511" s="5" t="n">
        <f aca="false">IF(B511="","",MONTH(B511))</f>
        <v>5</v>
      </c>
      <c r="AG511" s="5" t="n">
        <f aca="false">IF(B511="","",YEAR(B511))</f>
        <v>2025</v>
      </c>
      <c r="AH511" s="3" t="s">
        <v>52</v>
      </c>
      <c r="AI511" s="3" t="s">
        <v>53</v>
      </c>
      <c r="AJ511" s="3" t="str">
        <f aca="false">IF(AND(AI511="Completed",AH511="Failed"),"Inconsistent - Completed Order with Failed Payment","OK")</f>
        <v>OK</v>
      </c>
      <c r="AK511" s="3" t="s">
        <v>54</v>
      </c>
      <c r="AL511" s="3" t="str">
        <f aca="false">IF(OR(T511="Negative - Invalid",T511="Above Allowed Range - Invalid",AE511="Invalid - Ship Before Order",AK511&lt;&gt;"Unique",AB511="Mismatch",AC511="Mismatch",AJ511&lt;&gt;"OK"),"Invalid",IF(OR(H511="Yes",O511="Yes",T511="Missing"),"Warning","Clean"))</f>
        <v>Clean</v>
      </c>
    </row>
    <row r="512" customFormat="false" ht="15" hidden="false" customHeight="true" outlineLevel="0" collapsed="false">
      <c r="A512" s="3" t="s">
        <v>1672</v>
      </c>
      <c r="B512" s="4" t="n">
        <v>45583</v>
      </c>
      <c r="C512" s="4" t="n">
        <v>45586</v>
      </c>
      <c r="D512" s="3" t="s">
        <v>1673</v>
      </c>
      <c r="E512" s="3" t="s">
        <v>155</v>
      </c>
      <c r="F512" s="3" t="s">
        <v>41</v>
      </c>
      <c r="G512" s="3" t="s">
        <v>78</v>
      </c>
      <c r="H512" s="3" t="s">
        <v>43</v>
      </c>
      <c r="I512" s="3" t="s">
        <v>206</v>
      </c>
      <c r="J512" s="3" t="s">
        <v>207</v>
      </c>
      <c r="K512" s="3" t="s">
        <v>46</v>
      </c>
      <c r="L512" s="3" t="s">
        <v>151</v>
      </c>
      <c r="M512" s="3" t="s">
        <v>1674</v>
      </c>
      <c r="N512" s="3" t="s">
        <v>49</v>
      </c>
      <c r="O512" s="3" t="s">
        <v>43</v>
      </c>
      <c r="P512" s="5" t="n">
        <v>2</v>
      </c>
      <c r="Q512" s="6" t="n">
        <v>4238.51</v>
      </c>
      <c r="R512" s="3" t="s">
        <v>66</v>
      </c>
      <c r="S512" s="7" t="n">
        <v>0</v>
      </c>
      <c r="T512" s="3" t="s">
        <v>51</v>
      </c>
      <c r="U512" s="7" t="n">
        <f aca="false">IF(T512="Valid",S512,0)</f>
        <v>0</v>
      </c>
      <c r="V512" s="6" t="n">
        <v>8477.02</v>
      </c>
      <c r="W512" s="6" t="n">
        <v>6884.96</v>
      </c>
      <c r="X512" s="6" t="n">
        <v>1592.06</v>
      </c>
      <c r="Y512" s="6" t="n">
        <f aca="false">P512*Q512*(1-U512)</f>
        <v>8477.02</v>
      </c>
      <c r="Z512" s="6" t="n">
        <f aca="false">Y512-W512</f>
        <v>1592.06</v>
      </c>
      <c r="AA512" s="8" t="n">
        <f aca="false">IF(Y512=0,0,Z512/Y512)</f>
        <v>0.187808923418843</v>
      </c>
      <c r="AB512" s="3" t="str">
        <f aca="false">IF(ABS(V512-Y512)&gt;1,"Mismatch","OK")</f>
        <v>OK</v>
      </c>
      <c r="AC512" s="3" t="str">
        <f aca="false">IF(ABS(X512-Z512)&gt;1,"Mismatch","OK")</f>
        <v>OK</v>
      </c>
      <c r="AD512" s="5" t="n">
        <f aca="false">IF(OR(B512="",C512=""),"",C512-B512)</f>
        <v>3</v>
      </c>
      <c r="AE512" s="3" t="str">
        <f aca="false">IF(AD512="","Unknown",IF(AD512&lt;0,"Invalid - Ship Before Order","OK"))</f>
        <v>OK</v>
      </c>
      <c r="AF512" s="5" t="n">
        <f aca="false">IF(B512="","",MONTH(B512))</f>
        <v>10</v>
      </c>
      <c r="AG512" s="5" t="n">
        <f aca="false">IF(B512="","",YEAR(B512))</f>
        <v>2024</v>
      </c>
      <c r="AH512" s="3" t="s">
        <v>52</v>
      </c>
      <c r="AI512" s="3" t="s">
        <v>53</v>
      </c>
      <c r="AJ512" s="3" t="str">
        <f aca="false">IF(AND(AI512="Completed",AH512="Failed"),"Inconsistent - Completed Order with Failed Payment","OK")</f>
        <v>OK</v>
      </c>
      <c r="AK512" s="3" t="s">
        <v>54</v>
      </c>
      <c r="AL512" s="3" t="str">
        <f aca="false">IF(OR(T512="Negative - Invalid",T512="Above Allowed Range - Invalid",AE512="Invalid - Ship Before Order",AK512&lt;&gt;"Unique",AB512="Mismatch",AC512="Mismatch",AJ512&lt;&gt;"OK"),"Invalid",IF(OR(H512="Yes",O512="Yes",T512="Missing"),"Warning","Clean"))</f>
        <v>Clean</v>
      </c>
    </row>
    <row r="513" customFormat="false" ht="15" hidden="false" customHeight="true" outlineLevel="0" collapsed="false">
      <c r="A513" s="3" t="s">
        <v>1675</v>
      </c>
      <c r="B513" s="4" t="n">
        <v>45588</v>
      </c>
      <c r="C513" s="4" t="n">
        <v>45591</v>
      </c>
      <c r="D513" s="3" t="s">
        <v>1676</v>
      </c>
      <c r="E513" s="3" t="s">
        <v>159</v>
      </c>
      <c r="F513" s="3" t="s">
        <v>41</v>
      </c>
      <c r="G513" s="3" t="s">
        <v>88</v>
      </c>
      <c r="H513" s="3" t="s">
        <v>43</v>
      </c>
      <c r="I513" s="3" t="s">
        <v>97</v>
      </c>
      <c r="J513" s="3" t="s">
        <v>98</v>
      </c>
      <c r="K513" s="3" t="s">
        <v>62</v>
      </c>
      <c r="L513" s="3" t="s">
        <v>188</v>
      </c>
      <c r="M513" s="3" t="s">
        <v>1677</v>
      </c>
      <c r="N513" s="3" t="s">
        <v>83</v>
      </c>
      <c r="O513" s="3" t="s">
        <v>43</v>
      </c>
      <c r="P513" s="5" t="n">
        <v>9</v>
      </c>
      <c r="Q513" s="6" t="n">
        <v>544.27</v>
      </c>
      <c r="R513" s="3" t="s">
        <v>84</v>
      </c>
      <c r="S513" s="7" t="n">
        <v>0.25</v>
      </c>
      <c r="T513" s="3" t="s">
        <v>51</v>
      </c>
      <c r="U513" s="7" t="n">
        <f aca="false">IF(T513="Valid",S513,0)</f>
        <v>0.25</v>
      </c>
      <c r="V513" s="6" t="n">
        <v>3673.82</v>
      </c>
      <c r="W513" s="6" t="n">
        <v>2088.15</v>
      </c>
      <c r="X513" s="6" t="n">
        <v>1585.67</v>
      </c>
      <c r="Y513" s="6" t="n">
        <f aca="false">P513*Q513*(1-U513)</f>
        <v>3673.8225</v>
      </c>
      <c r="Z513" s="6" t="n">
        <f aca="false">Y513-W513</f>
        <v>1585.6725</v>
      </c>
      <c r="AA513" s="8" t="n">
        <f aca="false">IF(Y513=0,0,Z513/Y513)</f>
        <v>0.431613802789874</v>
      </c>
      <c r="AB513" s="3" t="str">
        <f aca="false">IF(ABS(V513-Y513)&gt;1,"Mismatch","OK")</f>
        <v>OK</v>
      </c>
      <c r="AC513" s="3" t="str">
        <f aca="false">IF(ABS(X513-Z513)&gt;1,"Mismatch","OK")</f>
        <v>OK</v>
      </c>
      <c r="AD513" s="5" t="n">
        <f aca="false">IF(OR(B513="",C513=""),"",C513-B513)</f>
        <v>3</v>
      </c>
      <c r="AE513" s="3" t="str">
        <f aca="false">IF(AD513="","Unknown",IF(AD513&lt;0,"Invalid - Ship Before Order","OK"))</f>
        <v>OK</v>
      </c>
      <c r="AF513" s="5" t="n">
        <f aca="false">IF(B513="","",MONTH(B513))</f>
        <v>10</v>
      </c>
      <c r="AG513" s="5" t="n">
        <f aca="false">IF(B513="","",YEAR(B513))</f>
        <v>2024</v>
      </c>
      <c r="AH513" s="3" t="s">
        <v>52</v>
      </c>
      <c r="AI513" s="3" t="s">
        <v>53</v>
      </c>
      <c r="AJ513" s="3" t="str">
        <f aca="false">IF(AND(AI513="Completed",AH513="Failed"),"Inconsistent - Completed Order with Failed Payment","OK")</f>
        <v>OK</v>
      </c>
      <c r="AK513" s="3" t="s">
        <v>54</v>
      </c>
      <c r="AL513" s="3" t="str">
        <f aca="false">IF(OR(T513="Negative - Invalid",T513="Above Allowed Range - Invalid",AE513="Invalid - Ship Before Order",AK513&lt;&gt;"Unique",AB513="Mismatch",AC513="Mismatch",AJ513&lt;&gt;"OK"),"Invalid",IF(OR(H513="Yes",O513="Yes",T513="Missing"),"Warning","Clean"))</f>
        <v>Clean</v>
      </c>
    </row>
    <row r="514" customFormat="false" ht="15" hidden="false" customHeight="true" outlineLevel="0" collapsed="false">
      <c r="A514" s="3" t="s">
        <v>1678</v>
      </c>
      <c r="B514" s="4" t="n">
        <v>45718</v>
      </c>
      <c r="C514" s="4" t="n">
        <v>45719</v>
      </c>
      <c r="D514" s="3" t="s">
        <v>1288</v>
      </c>
      <c r="E514" s="3" t="s">
        <v>69</v>
      </c>
      <c r="F514" s="3" t="s">
        <v>116</v>
      </c>
      <c r="G514" s="3" t="s">
        <v>78</v>
      </c>
      <c r="H514" s="3" t="s">
        <v>43</v>
      </c>
      <c r="I514" s="3" t="s">
        <v>216</v>
      </c>
      <c r="J514" s="3" t="s">
        <v>217</v>
      </c>
      <c r="K514" s="3" t="s">
        <v>46</v>
      </c>
      <c r="L514" s="3" t="s">
        <v>117</v>
      </c>
      <c r="M514" s="3" t="s">
        <v>1679</v>
      </c>
      <c r="N514" s="3" t="s">
        <v>49</v>
      </c>
      <c r="O514" s="3" t="s">
        <v>43</v>
      </c>
      <c r="P514" s="5" t="n">
        <v>2</v>
      </c>
      <c r="Q514" s="6" t="n">
        <v>4031.45</v>
      </c>
      <c r="R514" s="3" t="s">
        <v>84</v>
      </c>
      <c r="S514" s="7" t="n">
        <v>0.25</v>
      </c>
      <c r="T514" s="3" t="s">
        <v>51</v>
      </c>
      <c r="U514" s="7" t="n">
        <f aca="false">IF(T514="Valid",S514,0)</f>
        <v>0.25</v>
      </c>
      <c r="V514" s="6" t="n">
        <v>6047.17</v>
      </c>
      <c r="W514" s="6" t="n">
        <v>3368.79</v>
      </c>
      <c r="X514" s="6" t="n">
        <v>2678.38</v>
      </c>
      <c r="Y514" s="6" t="n">
        <f aca="false">P514*Q514*(1-U514)</f>
        <v>6047.175</v>
      </c>
      <c r="Z514" s="6" t="n">
        <f aca="false">Y514-W514</f>
        <v>2678.385</v>
      </c>
      <c r="AA514" s="8" t="n">
        <f aca="false">IF(Y514=0,0,Z514/Y514)</f>
        <v>0.442915080182068</v>
      </c>
      <c r="AB514" s="3" t="str">
        <f aca="false">IF(ABS(V514-Y514)&gt;1,"Mismatch","OK")</f>
        <v>OK</v>
      </c>
      <c r="AC514" s="3" t="str">
        <f aca="false">IF(ABS(X514-Z514)&gt;1,"Mismatch","OK")</f>
        <v>OK</v>
      </c>
      <c r="AD514" s="5" t="n">
        <f aca="false">IF(OR(B514="",C514=""),"",C514-B514)</f>
        <v>1</v>
      </c>
      <c r="AE514" s="3" t="str">
        <f aca="false">IF(AD514="","Unknown",IF(AD514&lt;0,"Invalid - Ship Before Order","OK"))</f>
        <v>OK</v>
      </c>
      <c r="AF514" s="5" t="n">
        <f aca="false">IF(B514="","",MONTH(B514))</f>
        <v>3</v>
      </c>
      <c r="AG514" s="5" t="n">
        <f aca="false">IF(B514="","",YEAR(B514))</f>
        <v>2025</v>
      </c>
      <c r="AH514" s="3" t="s">
        <v>52</v>
      </c>
      <c r="AI514" s="3" t="s">
        <v>53</v>
      </c>
      <c r="AJ514" s="3" t="str">
        <f aca="false">IF(AND(AI514="Completed",AH514="Failed"),"Inconsistent - Completed Order with Failed Payment","OK")</f>
        <v>OK</v>
      </c>
      <c r="AK514" s="3" t="s">
        <v>54</v>
      </c>
      <c r="AL514" s="3" t="str">
        <f aca="false">IF(OR(T514="Negative - Invalid",T514="Above Allowed Range - Invalid",AE514="Invalid - Ship Before Order",AK514&lt;&gt;"Unique",AB514="Mismatch",AC514="Mismatch",AJ514&lt;&gt;"OK"),"Invalid",IF(OR(H514="Yes",O514="Yes",T514="Missing"),"Warning","Clean"))</f>
        <v>Clean</v>
      </c>
    </row>
    <row r="515" customFormat="false" ht="15" hidden="false" customHeight="true" outlineLevel="0" collapsed="false">
      <c r="A515" s="3" t="s">
        <v>1680</v>
      </c>
      <c r="B515" s="4" t="n">
        <v>45835</v>
      </c>
      <c r="C515" s="4" t="n">
        <v>45840</v>
      </c>
      <c r="D515" s="3" t="s">
        <v>1681</v>
      </c>
      <c r="E515" s="3" t="s">
        <v>155</v>
      </c>
      <c r="F515" s="3" t="s">
        <v>116</v>
      </c>
      <c r="G515" s="3" t="s">
        <v>78</v>
      </c>
      <c r="H515" s="3" t="s">
        <v>43</v>
      </c>
      <c r="I515" s="3" t="s">
        <v>216</v>
      </c>
      <c r="J515" s="3" t="s">
        <v>217</v>
      </c>
      <c r="K515" s="3" t="s">
        <v>99</v>
      </c>
      <c r="L515" s="3" t="s">
        <v>100</v>
      </c>
      <c r="M515" s="3" t="s">
        <v>1682</v>
      </c>
      <c r="N515" s="3" t="s">
        <v>72</v>
      </c>
      <c r="O515" s="3" t="s">
        <v>43</v>
      </c>
      <c r="P515" s="5" t="n">
        <v>6</v>
      </c>
      <c r="Q515" s="6" t="n">
        <v>1099.49</v>
      </c>
      <c r="R515" s="3" t="s">
        <v>203</v>
      </c>
      <c r="S515" s="7" t="n">
        <v>0.1</v>
      </c>
      <c r="T515" s="3" t="s">
        <v>51</v>
      </c>
      <c r="U515" s="7" t="n">
        <f aca="false">IF(T515="Valid",S515,0)</f>
        <v>0.1</v>
      </c>
      <c r="V515" s="6" t="n">
        <v>6212.38</v>
      </c>
      <c r="W515" s="6" t="n">
        <v>4088.46</v>
      </c>
      <c r="X515" s="6" t="n">
        <v>1848.79</v>
      </c>
      <c r="Y515" s="6" t="n">
        <f aca="false">P515*Q515*(1-U515)</f>
        <v>5937.246</v>
      </c>
      <c r="Z515" s="6" t="n">
        <f aca="false">Y515-W515</f>
        <v>1848.786</v>
      </c>
      <c r="AA515" s="8" t="n">
        <f aca="false">IF(Y515=0,0,Z515/Y515)</f>
        <v>0.31138780505305</v>
      </c>
      <c r="AB515" s="3" t="str">
        <f aca="false">IF(ABS(V515-Y515)&gt;1,"Mismatch","OK")</f>
        <v>Mismatch</v>
      </c>
      <c r="AC515" s="3" t="str">
        <f aca="false">IF(ABS(X515-Z515)&gt;1,"Mismatch","OK")</f>
        <v>OK</v>
      </c>
      <c r="AD515" s="5" t="n">
        <f aca="false">IF(OR(B515="",C515=""),"",C515-B515)</f>
        <v>5</v>
      </c>
      <c r="AE515" s="3" t="str">
        <f aca="false">IF(AD515="","Unknown",IF(AD515&lt;0,"Invalid - Ship Before Order","OK"))</f>
        <v>OK</v>
      </c>
      <c r="AF515" s="5" t="n">
        <f aca="false">IF(B515="","",MONTH(B515))</f>
        <v>6</v>
      </c>
      <c r="AG515" s="5" t="n">
        <f aca="false">IF(B515="","",YEAR(B515))</f>
        <v>2025</v>
      </c>
      <c r="AH515" s="3" t="s">
        <v>52</v>
      </c>
      <c r="AI515" s="3" t="s">
        <v>53</v>
      </c>
      <c r="AJ515" s="3" t="str">
        <f aca="false">IF(AND(AI515="Completed",AH515="Failed"),"Inconsistent - Completed Order with Failed Payment","OK")</f>
        <v>OK</v>
      </c>
      <c r="AK515" s="3" t="s">
        <v>54</v>
      </c>
      <c r="AL515" s="3" t="str">
        <f aca="false">IF(OR(T515="Negative - Invalid",T515="Above Allowed Range - Invalid",AE515="Invalid - Ship Before Order",AK515&lt;&gt;"Unique",AB515="Mismatch",AC515="Mismatch",AJ515&lt;&gt;"OK"),"Invalid",IF(OR(H515="Yes",O515="Yes",T515="Missing"),"Warning","Clean"))</f>
        <v>Invalid</v>
      </c>
    </row>
    <row r="516" customFormat="false" ht="15" hidden="false" customHeight="true" outlineLevel="0" collapsed="false">
      <c r="A516" s="3" t="s">
        <v>1683</v>
      </c>
      <c r="B516" s="4" t="n">
        <v>45614</v>
      </c>
      <c r="C516" s="4" t="n">
        <v>45618</v>
      </c>
      <c r="D516" s="3" t="s">
        <v>1684</v>
      </c>
      <c r="E516" s="3" t="s">
        <v>40</v>
      </c>
      <c r="F516" s="3" t="s">
        <v>121</v>
      </c>
      <c r="G516" s="3" t="s">
        <v>78</v>
      </c>
      <c r="H516" s="3" t="s">
        <v>43</v>
      </c>
      <c r="I516" s="3" t="s">
        <v>216</v>
      </c>
      <c r="J516" s="3" t="s">
        <v>217</v>
      </c>
      <c r="K516" s="3" t="s">
        <v>99</v>
      </c>
      <c r="L516" s="3" t="s">
        <v>100</v>
      </c>
      <c r="M516" s="3" t="s">
        <v>1685</v>
      </c>
      <c r="N516" s="3" t="s">
        <v>83</v>
      </c>
      <c r="O516" s="3" t="s">
        <v>43</v>
      </c>
      <c r="P516" s="5" t="n">
        <v>6</v>
      </c>
      <c r="Q516" s="6" t="n">
        <v>3872.94</v>
      </c>
      <c r="R516" s="3" t="s">
        <v>203</v>
      </c>
      <c r="S516" s="7" t="n">
        <v>0.1</v>
      </c>
      <c r="T516" s="3" t="s">
        <v>51</v>
      </c>
      <c r="U516" s="7" t="n">
        <f aca="false">IF(T516="Valid",S516,0)</f>
        <v>0.1</v>
      </c>
      <c r="V516" s="6" t="n">
        <v>20913.88</v>
      </c>
      <c r="W516" s="6" t="n">
        <v>11684.68</v>
      </c>
      <c r="X516" s="6" t="n">
        <v>9229.2</v>
      </c>
      <c r="Y516" s="6" t="n">
        <f aca="false">P516*Q516*(1-U516)</f>
        <v>20913.876</v>
      </c>
      <c r="Z516" s="6" t="n">
        <f aca="false">Y516-W516</f>
        <v>9229.196</v>
      </c>
      <c r="AA516" s="8" t="n">
        <f aca="false">IF(Y516=0,0,Z516/Y516)</f>
        <v>0.441295339037106</v>
      </c>
      <c r="AB516" s="3" t="str">
        <f aca="false">IF(ABS(V516-Y516)&gt;1,"Mismatch","OK")</f>
        <v>OK</v>
      </c>
      <c r="AC516" s="3" t="str">
        <f aca="false">IF(ABS(X516-Z516)&gt;1,"Mismatch","OK")</f>
        <v>OK</v>
      </c>
      <c r="AD516" s="5" t="n">
        <f aca="false">IF(OR(B516="",C516=""),"",C516-B516)</f>
        <v>4</v>
      </c>
      <c r="AE516" s="3" t="str">
        <f aca="false">IF(AD516="","Unknown",IF(AD516&lt;0,"Invalid - Ship Before Order","OK"))</f>
        <v>OK</v>
      </c>
      <c r="AF516" s="5" t="n">
        <f aca="false">IF(B516="","",MONTH(B516))</f>
        <v>11</v>
      </c>
      <c r="AG516" s="5" t="n">
        <f aca="false">IF(B516="","",YEAR(B516))</f>
        <v>2024</v>
      </c>
      <c r="AH516" s="3" t="s">
        <v>52</v>
      </c>
      <c r="AI516" s="3" t="s">
        <v>53</v>
      </c>
      <c r="AJ516" s="3" t="str">
        <f aca="false">IF(AND(AI516="Completed",AH516="Failed"),"Inconsistent - Completed Order with Failed Payment","OK")</f>
        <v>OK</v>
      </c>
      <c r="AK516" s="3" t="s">
        <v>54</v>
      </c>
      <c r="AL516" s="3" t="str">
        <f aca="false">IF(OR(T516="Negative - Invalid",T516="Above Allowed Range - Invalid",AE516="Invalid - Ship Before Order",AK516&lt;&gt;"Unique",AB516="Mismatch",AC516="Mismatch",AJ516&lt;&gt;"OK"),"Invalid",IF(OR(H516="Yes",O516="Yes",T516="Missing"),"Warning","Clean"))</f>
        <v>Clean</v>
      </c>
    </row>
    <row r="517" customFormat="false" ht="15" hidden="false" customHeight="true" outlineLevel="0" collapsed="false">
      <c r="A517" s="3" t="s">
        <v>1686</v>
      </c>
      <c r="B517" s="4" t="n">
        <v>45758</v>
      </c>
      <c r="C517" s="4" t="n">
        <v>45758</v>
      </c>
      <c r="D517" s="3" t="s">
        <v>1687</v>
      </c>
      <c r="E517" s="3" t="s">
        <v>145</v>
      </c>
      <c r="F517" s="3" t="s">
        <v>116</v>
      </c>
      <c r="G517" s="3" t="s">
        <v>42</v>
      </c>
      <c r="H517" s="3" t="s">
        <v>43</v>
      </c>
      <c r="I517" s="3" t="s">
        <v>384</v>
      </c>
      <c r="J517" s="3" t="s">
        <v>385</v>
      </c>
      <c r="K517" s="3" t="s">
        <v>46</v>
      </c>
      <c r="L517" s="3" t="s">
        <v>47</v>
      </c>
      <c r="M517" s="3" t="s">
        <v>1688</v>
      </c>
      <c r="N517" s="3" t="s">
        <v>83</v>
      </c>
      <c r="O517" s="3" t="s">
        <v>43</v>
      </c>
      <c r="P517" s="5" t="n">
        <v>1</v>
      </c>
      <c r="Q517" s="6" t="n">
        <v>4458.49</v>
      </c>
      <c r="R517" s="3" t="s">
        <v>1689</v>
      </c>
      <c r="S517" s="7" t="n">
        <v>-0.07</v>
      </c>
      <c r="T517" s="3" t="s">
        <v>171</v>
      </c>
      <c r="U517" s="7" t="n">
        <f aca="false">IF(T517="Valid",S517,0)</f>
        <v>0</v>
      </c>
      <c r="V517" s="6" t="n">
        <v>3566.79</v>
      </c>
      <c r="W517" s="6" t="n">
        <v>2083.41</v>
      </c>
      <c r="X517" s="6" t="n">
        <v>1483.38</v>
      </c>
      <c r="Y517" s="6" t="n">
        <f aca="false">P517*Q517*(1-U517)</f>
        <v>4458.49</v>
      </c>
      <c r="Z517" s="6" t="n">
        <f aca="false">Y517-W517</f>
        <v>2375.08</v>
      </c>
      <c r="AA517" s="8" t="n">
        <f aca="false">IF(Y517=0,0,Z517/Y517)</f>
        <v>0.532709504787495</v>
      </c>
      <c r="AB517" s="3" t="str">
        <f aca="false">IF(ABS(V517-Y517)&gt;1,"Mismatch","OK")</f>
        <v>Mismatch</v>
      </c>
      <c r="AC517" s="3" t="str">
        <f aca="false">IF(ABS(X517-Z517)&gt;1,"Mismatch","OK")</f>
        <v>Mismatch</v>
      </c>
      <c r="AD517" s="5" t="n">
        <f aca="false">IF(OR(B517="",C517=""),"",C517-B517)</f>
        <v>0</v>
      </c>
      <c r="AE517" s="3" t="str">
        <f aca="false">IF(AD517="","Unknown",IF(AD517&lt;0,"Invalid - Ship Before Order","OK"))</f>
        <v>OK</v>
      </c>
      <c r="AF517" s="5" t="n">
        <f aca="false">IF(B517="","",MONTH(B517))</f>
        <v>4</v>
      </c>
      <c r="AG517" s="5" t="n">
        <f aca="false">IF(B517="","",YEAR(B517))</f>
        <v>2025</v>
      </c>
      <c r="AH517" s="3" t="s">
        <v>52</v>
      </c>
      <c r="AI517" s="3" t="s">
        <v>53</v>
      </c>
      <c r="AJ517" s="3" t="str">
        <f aca="false">IF(AND(AI517="Completed",AH517="Failed"),"Inconsistent - Completed Order with Failed Payment","OK")</f>
        <v>OK</v>
      </c>
      <c r="AK517" s="3" t="s">
        <v>54</v>
      </c>
      <c r="AL517" s="3" t="str">
        <f aca="false">IF(OR(T517="Negative - Invalid",T517="Above Allowed Range - Invalid",AE517="Invalid - Ship Before Order",AK517&lt;&gt;"Unique",AB517="Mismatch",AC517="Mismatch",AJ517&lt;&gt;"OK"),"Invalid",IF(OR(H517="Yes",O517="Yes",T517="Missing"),"Warning","Clean"))</f>
        <v>Invalid</v>
      </c>
    </row>
    <row r="518" customFormat="false" ht="15" hidden="false" customHeight="true" outlineLevel="0" collapsed="false">
      <c r="A518" s="3" t="s">
        <v>1690</v>
      </c>
      <c r="B518" s="4" t="n">
        <v>45563</v>
      </c>
      <c r="C518" s="4" t="n">
        <v>45569</v>
      </c>
      <c r="D518" s="3" t="s">
        <v>1691</v>
      </c>
      <c r="E518" s="3" t="s">
        <v>298</v>
      </c>
      <c r="F518" s="3" t="s">
        <v>121</v>
      </c>
      <c r="G518" s="3" t="s">
        <v>42</v>
      </c>
      <c r="H518" s="3" t="s">
        <v>43</v>
      </c>
      <c r="I518" s="3" t="s">
        <v>384</v>
      </c>
      <c r="J518" s="3" t="s">
        <v>385</v>
      </c>
      <c r="K518" s="3" t="s">
        <v>99</v>
      </c>
      <c r="L518" s="3" t="s">
        <v>105</v>
      </c>
      <c r="M518" s="3" t="s">
        <v>1692</v>
      </c>
      <c r="N518" s="3" t="s">
        <v>83</v>
      </c>
      <c r="O518" s="3" t="s">
        <v>43</v>
      </c>
      <c r="P518" s="5" t="n">
        <v>1</v>
      </c>
      <c r="Q518" s="6" t="n">
        <v>2233.18</v>
      </c>
      <c r="R518" s="3" t="s">
        <v>66</v>
      </c>
      <c r="S518" s="7" t="n">
        <v>0</v>
      </c>
      <c r="T518" s="3" t="s">
        <v>51</v>
      </c>
      <c r="U518" s="7" t="n">
        <f aca="false">IF(T518="Valid",S518,0)</f>
        <v>0</v>
      </c>
      <c r="V518" s="6" t="n">
        <v>2233.18</v>
      </c>
      <c r="W518" s="6" t="n">
        <v>1585.82</v>
      </c>
      <c r="X518" s="6" t="n">
        <v>647.36</v>
      </c>
      <c r="Y518" s="6" t="n">
        <f aca="false">P518*Q518*(1-U518)</f>
        <v>2233.18</v>
      </c>
      <c r="Z518" s="6" t="n">
        <f aca="false">Y518-W518</f>
        <v>647.36</v>
      </c>
      <c r="AA518" s="8" t="n">
        <f aca="false">IF(Y518=0,0,Z518/Y518)</f>
        <v>0.289882588953868</v>
      </c>
      <c r="AB518" s="3" t="str">
        <f aca="false">IF(ABS(V518-Y518)&gt;1,"Mismatch","OK")</f>
        <v>OK</v>
      </c>
      <c r="AC518" s="3" t="str">
        <f aca="false">IF(ABS(X518-Z518)&gt;1,"Mismatch","OK")</f>
        <v>OK</v>
      </c>
      <c r="AD518" s="5" t="n">
        <f aca="false">IF(OR(B518="",C518=""),"",C518-B518)</f>
        <v>6</v>
      </c>
      <c r="AE518" s="3" t="str">
        <f aca="false">IF(AD518="","Unknown",IF(AD518&lt;0,"Invalid - Ship Before Order","OK"))</f>
        <v>OK</v>
      </c>
      <c r="AF518" s="5" t="n">
        <f aca="false">IF(B518="","",MONTH(B518))</f>
        <v>9</v>
      </c>
      <c r="AG518" s="5" t="n">
        <f aca="false">IF(B518="","",YEAR(B518))</f>
        <v>2024</v>
      </c>
      <c r="AH518" s="3" t="s">
        <v>185</v>
      </c>
      <c r="AI518" s="3" t="s">
        <v>130</v>
      </c>
      <c r="AJ518" s="3" t="str">
        <f aca="false">IF(AND(AI518="Completed",AH518="Failed"),"Inconsistent - Completed Order with Failed Payment","OK")</f>
        <v>OK</v>
      </c>
      <c r="AK518" s="3" t="s">
        <v>54</v>
      </c>
      <c r="AL518" s="3" t="str">
        <f aca="false">IF(OR(T518="Negative - Invalid",T518="Above Allowed Range - Invalid",AE518="Invalid - Ship Before Order",AK518&lt;&gt;"Unique",AB518="Mismatch",AC518="Mismatch",AJ518&lt;&gt;"OK"),"Invalid",IF(OR(H518="Yes",O518="Yes",T518="Missing"),"Warning","Clean"))</f>
        <v>Clean</v>
      </c>
    </row>
    <row r="519" customFormat="false" ht="15" hidden="false" customHeight="true" outlineLevel="0" collapsed="false">
      <c r="A519" s="3" t="s">
        <v>1693</v>
      </c>
      <c r="B519" s="4" t="n">
        <v>45802</v>
      </c>
      <c r="C519" s="4" t="n">
        <v>45804</v>
      </c>
      <c r="D519" s="3" t="s">
        <v>1694</v>
      </c>
      <c r="E519" s="3" t="s">
        <v>145</v>
      </c>
      <c r="F519" s="3" t="s">
        <v>41</v>
      </c>
      <c r="G519" s="3" t="s">
        <v>59</v>
      </c>
      <c r="H519" s="3" t="s">
        <v>43</v>
      </c>
      <c r="I519" s="3" t="s">
        <v>60</v>
      </c>
      <c r="J519" s="3" t="s">
        <v>61</v>
      </c>
      <c r="K519" s="3" t="s">
        <v>62</v>
      </c>
      <c r="L519" s="3" t="s">
        <v>81</v>
      </c>
      <c r="M519" s="3" t="s">
        <v>1695</v>
      </c>
      <c r="N519" s="3" t="s">
        <v>49</v>
      </c>
      <c r="O519" s="3" t="s">
        <v>43</v>
      </c>
      <c r="P519" s="5" t="n">
        <v>7</v>
      </c>
      <c r="Q519" s="6" t="n">
        <v>2123.28</v>
      </c>
      <c r="R519" s="3" t="s">
        <v>50</v>
      </c>
      <c r="S519" s="7" t="n">
        <v>0.2</v>
      </c>
      <c r="T519" s="3" t="s">
        <v>51</v>
      </c>
      <c r="U519" s="7" t="n">
        <f aca="false">IF(T519="Valid",S519,0)</f>
        <v>0.2</v>
      </c>
      <c r="V519" s="6" t="n">
        <v>11890.37</v>
      </c>
      <c r="W519" s="6" t="n">
        <v>9234.53</v>
      </c>
      <c r="X519" s="6" t="n">
        <v>2655.84</v>
      </c>
      <c r="Y519" s="6" t="n">
        <f aca="false">P519*Q519*(1-U519)</f>
        <v>11890.368</v>
      </c>
      <c r="Z519" s="6" t="n">
        <f aca="false">Y519-W519</f>
        <v>2655.838</v>
      </c>
      <c r="AA519" s="8" t="n">
        <f aca="false">IF(Y519=0,0,Z519/Y519)</f>
        <v>0.223360454445144</v>
      </c>
      <c r="AB519" s="3" t="str">
        <f aca="false">IF(ABS(V519-Y519)&gt;1,"Mismatch","OK")</f>
        <v>OK</v>
      </c>
      <c r="AC519" s="3" t="str">
        <f aca="false">IF(ABS(X519-Z519)&gt;1,"Mismatch","OK")</f>
        <v>OK</v>
      </c>
      <c r="AD519" s="5" t="n">
        <f aca="false">IF(OR(B519="",C519=""),"",C519-B519)</f>
        <v>2</v>
      </c>
      <c r="AE519" s="3" t="str">
        <f aca="false">IF(AD519="","Unknown",IF(AD519&lt;0,"Invalid - Ship Before Order","OK"))</f>
        <v>OK</v>
      </c>
      <c r="AF519" s="5" t="n">
        <f aca="false">IF(B519="","",MONTH(B519))</f>
        <v>5</v>
      </c>
      <c r="AG519" s="5" t="n">
        <f aca="false">IF(B519="","",YEAR(B519))</f>
        <v>2025</v>
      </c>
      <c r="AH519" s="3" t="s">
        <v>129</v>
      </c>
      <c r="AI519" s="3" t="s">
        <v>130</v>
      </c>
      <c r="AJ519" s="3" t="str">
        <f aca="false">IF(AND(AI519="Completed",AH519="Failed"),"Inconsistent - Completed Order with Failed Payment","OK")</f>
        <v>OK</v>
      </c>
      <c r="AK519" s="3" t="s">
        <v>54</v>
      </c>
      <c r="AL519" s="3" t="str">
        <f aca="false">IF(OR(T519="Negative - Invalid",T519="Above Allowed Range - Invalid",AE519="Invalid - Ship Before Order",AK519&lt;&gt;"Unique",AB519="Mismatch",AC519="Mismatch",AJ519&lt;&gt;"OK"),"Invalid",IF(OR(H519="Yes",O519="Yes",T519="Missing"),"Warning","Clean"))</f>
        <v>Clean</v>
      </c>
    </row>
    <row r="520" customFormat="false" ht="15" hidden="false" customHeight="true" outlineLevel="0" collapsed="false">
      <c r="A520" s="3" t="s">
        <v>1696</v>
      </c>
      <c r="B520" s="4" t="n">
        <v>45777</v>
      </c>
      <c r="C520" s="4" t="n">
        <v>45773</v>
      </c>
      <c r="D520" s="3" t="s">
        <v>1697</v>
      </c>
      <c r="E520" s="3" t="s">
        <v>192</v>
      </c>
      <c r="F520" s="3" t="s">
        <v>116</v>
      </c>
      <c r="G520" s="3" t="s">
        <v>59</v>
      </c>
      <c r="H520" s="3" t="s">
        <v>43</v>
      </c>
      <c r="I520" s="3" t="s">
        <v>60</v>
      </c>
      <c r="J520" s="3" t="s">
        <v>61</v>
      </c>
      <c r="K520" s="3" t="s">
        <v>62</v>
      </c>
      <c r="L520" s="3" t="s">
        <v>63</v>
      </c>
      <c r="M520" s="3" t="s">
        <v>1698</v>
      </c>
      <c r="N520" s="3" t="s">
        <v>72</v>
      </c>
      <c r="O520" s="3" t="s">
        <v>43</v>
      </c>
      <c r="P520" s="5" t="n">
        <v>7</v>
      </c>
      <c r="Q520" s="6" t="n">
        <v>1604.13</v>
      </c>
      <c r="R520" s="3" t="s">
        <v>84</v>
      </c>
      <c r="S520" s="7" t="n">
        <v>0.25</v>
      </c>
      <c r="T520" s="3" t="s">
        <v>51</v>
      </c>
      <c r="U520" s="7" t="n">
        <f aca="false">IF(T520="Valid",S520,0)</f>
        <v>0.25</v>
      </c>
      <c r="V520" s="6" t="n">
        <v>8421.68</v>
      </c>
      <c r="W520" s="6" t="n">
        <v>6534.47</v>
      </c>
      <c r="X520" s="6" t="n">
        <v>1887.21</v>
      </c>
      <c r="Y520" s="6" t="n">
        <f aca="false">P520*Q520*(1-U520)</f>
        <v>8421.6825</v>
      </c>
      <c r="Z520" s="6" t="n">
        <f aca="false">Y520-W520</f>
        <v>1887.2125</v>
      </c>
      <c r="AA520" s="8" t="n">
        <f aca="false">IF(Y520=0,0,Z520/Y520)</f>
        <v>0.224089723163988</v>
      </c>
      <c r="AB520" s="3" t="str">
        <f aca="false">IF(ABS(V520-Y520)&gt;1,"Mismatch","OK")</f>
        <v>OK</v>
      </c>
      <c r="AC520" s="3" t="str">
        <f aca="false">IF(ABS(X520-Z520)&gt;1,"Mismatch","OK")</f>
        <v>OK</v>
      </c>
      <c r="AD520" s="5" t="n">
        <f aca="false">IF(OR(B520="",C520=""),"",C520-B520)</f>
        <v>-4</v>
      </c>
      <c r="AE520" s="3" t="str">
        <f aca="false">IF(AD520="","Unknown",IF(AD520&lt;0,"Invalid - Ship Before Order","OK"))</f>
        <v>Invalid - Ship Before Order</v>
      </c>
      <c r="AF520" s="5" t="n">
        <f aca="false">IF(B520="","",MONTH(B520))</f>
        <v>4</v>
      </c>
      <c r="AG520" s="5" t="n">
        <f aca="false">IF(B520="","",YEAR(B520))</f>
        <v>2025</v>
      </c>
      <c r="AH520" s="3" t="s">
        <v>52</v>
      </c>
      <c r="AI520" s="3" t="s">
        <v>93</v>
      </c>
      <c r="AJ520" s="3" t="str">
        <f aca="false">IF(AND(AI520="Completed",AH520="Failed"),"Inconsistent - Completed Order with Failed Payment","OK")</f>
        <v>OK</v>
      </c>
      <c r="AK520" s="3" t="s">
        <v>54</v>
      </c>
      <c r="AL520" s="3" t="str">
        <f aca="false">IF(OR(T520="Negative - Invalid",T520="Above Allowed Range - Invalid",AE520="Invalid - Ship Before Order",AK520&lt;&gt;"Unique",AB520="Mismatch",AC520="Mismatch",AJ520&lt;&gt;"OK"),"Invalid",IF(OR(H520="Yes",O520="Yes",T520="Missing"),"Warning","Clean"))</f>
        <v>Invalid</v>
      </c>
    </row>
    <row r="521" customFormat="false" ht="15" hidden="false" customHeight="true" outlineLevel="0" collapsed="false">
      <c r="A521" s="3" t="s">
        <v>1699</v>
      </c>
      <c r="B521" s="4" t="n">
        <v>45841</v>
      </c>
      <c r="C521" s="4" t="n">
        <v>45845</v>
      </c>
      <c r="D521" s="3" t="s">
        <v>1700</v>
      </c>
      <c r="E521" s="3" t="s">
        <v>141</v>
      </c>
      <c r="F521" s="3" t="s">
        <v>41</v>
      </c>
      <c r="G521" s="3" t="s">
        <v>42</v>
      </c>
      <c r="H521" s="3" t="s">
        <v>43</v>
      </c>
      <c r="I521" s="3" t="s">
        <v>163</v>
      </c>
      <c r="J521" s="3" t="s">
        <v>164</v>
      </c>
      <c r="K521" s="3" t="s">
        <v>62</v>
      </c>
      <c r="L521" s="3" t="s">
        <v>63</v>
      </c>
      <c r="M521" s="3" t="s">
        <v>1701</v>
      </c>
      <c r="N521" s="3" t="s">
        <v>83</v>
      </c>
      <c r="O521" s="3" t="s">
        <v>43</v>
      </c>
      <c r="P521" s="5" t="n">
        <v>4</v>
      </c>
      <c r="Q521" s="6" t="n">
        <v>4365.21</v>
      </c>
      <c r="R521" s="3" t="s">
        <v>50</v>
      </c>
      <c r="S521" s="7" t="n">
        <v>0.2</v>
      </c>
      <c r="T521" s="3" t="s">
        <v>51</v>
      </c>
      <c r="U521" s="7" t="n">
        <f aca="false">IF(T521="Valid",S521,0)</f>
        <v>0.2</v>
      </c>
      <c r="V521" s="6" t="n">
        <v>13968.67</v>
      </c>
      <c r="W521" s="6" t="n">
        <v>8857.58</v>
      </c>
      <c r="X521" s="6" t="n">
        <v>5111.09</v>
      </c>
      <c r="Y521" s="6" t="n">
        <f aca="false">P521*Q521*(1-U521)</f>
        <v>13968.672</v>
      </c>
      <c r="Z521" s="6" t="n">
        <f aca="false">Y521-W521</f>
        <v>5111.092</v>
      </c>
      <c r="AA521" s="8" t="n">
        <f aca="false">IF(Y521=0,0,Z521/Y521)</f>
        <v>0.365896772434774</v>
      </c>
      <c r="AB521" s="3" t="str">
        <f aca="false">IF(ABS(V521-Y521)&gt;1,"Mismatch","OK")</f>
        <v>OK</v>
      </c>
      <c r="AC521" s="3" t="str">
        <f aca="false">IF(ABS(X521-Z521)&gt;1,"Mismatch","OK")</f>
        <v>OK</v>
      </c>
      <c r="AD521" s="5" t="n">
        <f aca="false">IF(OR(B521="",C521=""),"",C521-B521)</f>
        <v>4</v>
      </c>
      <c r="AE521" s="3" t="str">
        <f aca="false">IF(AD521="","Unknown",IF(AD521&lt;0,"Invalid - Ship Before Order","OK"))</f>
        <v>OK</v>
      </c>
      <c r="AF521" s="5" t="n">
        <f aca="false">IF(B521="","",MONTH(B521))</f>
        <v>7</v>
      </c>
      <c r="AG521" s="5" t="n">
        <f aca="false">IF(B521="","",YEAR(B521))</f>
        <v>2025</v>
      </c>
      <c r="AH521" s="3" t="s">
        <v>138</v>
      </c>
      <c r="AI521" s="3" t="s">
        <v>93</v>
      </c>
      <c r="AJ521" s="3" t="str">
        <f aca="false">IF(AND(AI521="Completed",AH521="Failed"),"Inconsistent - Completed Order with Failed Payment","OK")</f>
        <v>OK</v>
      </c>
      <c r="AK521" s="3" t="s">
        <v>54</v>
      </c>
      <c r="AL521" s="3" t="str">
        <f aca="false">IF(OR(T521="Negative - Invalid",T521="Above Allowed Range - Invalid",AE521="Invalid - Ship Before Order",AK521&lt;&gt;"Unique",AB521="Mismatch",AC521="Mismatch",AJ521&lt;&gt;"OK"),"Invalid",IF(OR(H521="Yes",O521="Yes",T521="Missing"),"Warning","Clean"))</f>
        <v>Clean</v>
      </c>
    </row>
    <row r="522" customFormat="false" ht="15" hidden="false" customHeight="true" outlineLevel="0" collapsed="false">
      <c r="A522" s="3" t="s">
        <v>1702</v>
      </c>
      <c r="B522" s="4" t="n">
        <v>45489</v>
      </c>
      <c r="C522" s="4" t="n">
        <v>45496</v>
      </c>
      <c r="D522" s="3" t="s">
        <v>1703</v>
      </c>
      <c r="E522" s="3" t="s">
        <v>155</v>
      </c>
      <c r="F522" s="3" t="s">
        <v>121</v>
      </c>
      <c r="G522" s="3" t="s">
        <v>78</v>
      </c>
      <c r="H522" s="3" t="s">
        <v>43</v>
      </c>
      <c r="I522" s="3" t="s">
        <v>206</v>
      </c>
      <c r="J522" s="3" t="s">
        <v>207</v>
      </c>
      <c r="K522" s="3" t="s">
        <v>99</v>
      </c>
      <c r="L522" s="3" t="s">
        <v>308</v>
      </c>
      <c r="M522" s="3" t="s">
        <v>1704</v>
      </c>
      <c r="N522" s="3" t="s">
        <v>65</v>
      </c>
      <c r="O522" s="3" t="s">
        <v>43</v>
      </c>
      <c r="P522" s="5" t="n">
        <v>1</v>
      </c>
      <c r="Q522" s="6" t="n">
        <v>1695.91</v>
      </c>
      <c r="R522" s="3" t="s">
        <v>128</v>
      </c>
      <c r="S522" s="7" t="n">
        <v>0.05</v>
      </c>
      <c r="T522" s="3" t="s">
        <v>51</v>
      </c>
      <c r="U522" s="7" t="n">
        <f aca="false">IF(T522="Valid",S522,0)</f>
        <v>0.05</v>
      </c>
      <c r="V522" s="6" t="n">
        <v>1611.11</v>
      </c>
      <c r="W522" s="6" t="n">
        <v>895.15</v>
      </c>
      <c r="X522" s="6" t="n">
        <v>715.96</v>
      </c>
      <c r="Y522" s="6" t="n">
        <f aca="false">P522*Q522*(1-U522)</f>
        <v>1611.1145</v>
      </c>
      <c r="Z522" s="6" t="n">
        <f aca="false">Y522-W522</f>
        <v>715.9645</v>
      </c>
      <c r="AA522" s="8" t="n">
        <f aca="false">IF(Y522=0,0,Z522/Y522)</f>
        <v>0.444390823867577</v>
      </c>
      <c r="AB522" s="3" t="str">
        <f aca="false">IF(ABS(V522-Y522)&gt;1,"Mismatch","OK")</f>
        <v>OK</v>
      </c>
      <c r="AC522" s="3" t="str">
        <f aca="false">IF(ABS(X522-Z522)&gt;1,"Mismatch","OK")</f>
        <v>OK</v>
      </c>
      <c r="AD522" s="5" t="n">
        <f aca="false">IF(OR(B522="",C522=""),"",C522-B522)</f>
        <v>7</v>
      </c>
      <c r="AE522" s="3" t="str">
        <f aca="false">IF(AD522="","Unknown",IF(AD522&lt;0,"Invalid - Ship Before Order","OK"))</f>
        <v>OK</v>
      </c>
      <c r="AF522" s="5" t="n">
        <f aca="false">IF(B522="","",MONTH(B522))</f>
        <v>7</v>
      </c>
      <c r="AG522" s="5" t="n">
        <f aca="false">IF(B522="","",YEAR(B522))</f>
        <v>2024</v>
      </c>
      <c r="AH522" s="3" t="s">
        <v>52</v>
      </c>
      <c r="AI522" s="3" t="s">
        <v>53</v>
      </c>
      <c r="AJ522" s="3" t="str">
        <f aca="false">IF(AND(AI522="Completed",AH522="Failed"),"Inconsistent - Completed Order with Failed Payment","OK")</f>
        <v>OK</v>
      </c>
      <c r="AK522" s="3" t="s">
        <v>54</v>
      </c>
      <c r="AL522" s="3" t="str">
        <f aca="false">IF(OR(T522="Negative - Invalid",T522="Above Allowed Range - Invalid",AE522="Invalid - Ship Before Order",AK522&lt;&gt;"Unique",AB522="Mismatch",AC522="Mismatch",AJ522&lt;&gt;"OK"),"Invalid",IF(OR(H522="Yes",O522="Yes",T522="Missing"),"Warning","Clean"))</f>
        <v>Clean</v>
      </c>
    </row>
    <row r="523" customFormat="false" ht="15" hidden="false" customHeight="true" outlineLevel="0" collapsed="false">
      <c r="A523" s="3" t="s">
        <v>1705</v>
      </c>
      <c r="B523" s="4" t="n">
        <v>45741</v>
      </c>
      <c r="C523" s="4" t="n">
        <v>45748</v>
      </c>
      <c r="D523" s="3" t="s">
        <v>1706</v>
      </c>
      <c r="E523" s="3" t="s">
        <v>192</v>
      </c>
      <c r="F523" s="3" t="s">
        <v>41</v>
      </c>
      <c r="G523" s="3" t="s">
        <v>42</v>
      </c>
      <c r="H523" s="3" t="s">
        <v>43</v>
      </c>
      <c r="I523" s="3" t="s">
        <v>149</v>
      </c>
      <c r="J523" s="3" t="s">
        <v>150</v>
      </c>
      <c r="K523" s="3" t="s">
        <v>46</v>
      </c>
      <c r="L523" s="3" t="s">
        <v>117</v>
      </c>
      <c r="M523" s="3" t="s">
        <v>1707</v>
      </c>
      <c r="N523" s="3" t="s">
        <v>49</v>
      </c>
      <c r="O523" s="3" t="s">
        <v>43</v>
      </c>
      <c r="P523" s="5" t="n">
        <v>6</v>
      </c>
      <c r="Q523" s="6" t="n">
        <v>2192.11</v>
      </c>
      <c r="R523" s="3" t="s">
        <v>128</v>
      </c>
      <c r="S523" s="7" t="n">
        <v>0.05</v>
      </c>
      <c r="T523" s="3" t="s">
        <v>51</v>
      </c>
      <c r="U523" s="7" t="n">
        <f aca="false">IF(T523="Valid",S523,0)</f>
        <v>0.05</v>
      </c>
      <c r="V523" s="6" t="n">
        <v>12495.03</v>
      </c>
      <c r="W523" s="6" t="n">
        <v>9184.52</v>
      </c>
      <c r="X523" s="6" t="n">
        <v>3310.51</v>
      </c>
      <c r="Y523" s="6" t="n">
        <f aca="false">P523*Q523*(1-U523)</f>
        <v>12495.027</v>
      </c>
      <c r="Z523" s="6" t="n">
        <f aca="false">Y523-W523</f>
        <v>3310.507</v>
      </c>
      <c r="AA523" s="8" t="n">
        <f aca="false">IF(Y523=0,0,Z523/Y523)</f>
        <v>0.264945966103154</v>
      </c>
      <c r="AB523" s="3" t="str">
        <f aca="false">IF(ABS(V523-Y523)&gt;1,"Mismatch","OK")</f>
        <v>OK</v>
      </c>
      <c r="AC523" s="3" t="str">
        <f aca="false">IF(ABS(X523-Z523)&gt;1,"Mismatch","OK")</f>
        <v>OK</v>
      </c>
      <c r="AD523" s="5" t="n">
        <f aca="false">IF(OR(B523="",C523=""),"",C523-B523)</f>
        <v>7</v>
      </c>
      <c r="AE523" s="3" t="str">
        <f aca="false">IF(AD523="","Unknown",IF(AD523&lt;0,"Invalid - Ship Before Order","OK"))</f>
        <v>OK</v>
      </c>
      <c r="AF523" s="5" t="n">
        <f aca="false">IF(B523="","",MONTH(B523))</f>
        <v>3</v>
      </c>
      <c r="AG523" s="5" t="n">
        <f aca="false">IF(B523="","",YEAR(B523))</f>
        <v>2025</v>
      </c>
      <c r="AH523" s="3" t="s">
        <v>52</v>
      </c>
      <c r="AI523" s="3" t="s">
        <v>53</v>
      </c>
      <c r="AJ523" s="3" t="str">
        <f aca="false">IF(AND(AI523="Completed",AH523="Failed"),"Inconsistent - Completed Order with Failed Payment","OK")</f>
        <v>OK</v>
      </c>
      <c r="AK523" s="3" t="s">
        <v>54</v>
      </c>
      <c r="AL523" s="3" t="str">
        <f aca="false">IF(OR(T523="Negative - Invalid",T523="Above Allowed Range - Invalid",AE523="Invalid - Ship Before Order",AK523&lt;&gt;"Unique",AB523="Mismatch",AC523="Mismatch",AJ523&lt;&gt;"OK"),"Invalid",IF(OR(H523="Yes",O523="Yes",T523="Missing"),"Warning","Clean"))</f>
        <v>Clean</v>
      </c>
    </row>
    <row r="524" customFormat="false" ht="15" hidden="false" customHeight="true" outlineLevel="0" collapsed="false">
      <c r="A524" s="3" t="s">
        <v>1708</v>
      </c>
      <c r="B524" s="4" t="n">
        <v>45716</v>
      </c>
      <c r="C524" s="4" t="n">
        <v>45724</v>
      </c>
      <c r="D524" s="3" t="s">
        <v>1709</v>
      </c>
      <c r="E524" s="3" t="s">
        <v>104</v>
      </c>
      <c r="F524" s="3" t="s">
        <v>58</v>
      </c>
      <c r="G524" s="3" t="s">
        <v>59</v>
      </c>
      <c r="H524" s="3" t="s">
        <v>43</v>
      </c>
      <c r="I524" s="3" t="s">
        <v>262</v>
      </c>
      <c r="J524" s="3" t="s">
        <v>263</v>
      </c>
      <c r="K524" s="3" t="s">
        <v>99</v>
      </c>
      <c r="L524" s="3" t="s">
        <v>201</v>
      </c>
      <c r="M524" s="3" t="s">
        <v>1710</v>
      </c>
      <c r="N524" s="3" t="s">
        <v>72</v>
      </c>
      <c r="O524" s="3" t="s">
        <v>43</v>
      </c>
      <c r="P524" s="5" t="n">
        <v>9</v>
      </c>
      <c r="Q524" s="6" t="n">
        <v>3670.54</v>
      </c>
      <c r="R524" s="3" t="s">
        <v>66</v>
      </c>
      <c r="S524" s="7" t="n">
        <v>0</v>
      </c>
      <c r="T524" s="3" t="s">
        <v>51</v>
      </c>
      <c r="U524" s="7" t="n">
        <f aca="false">IF(T524="Valid",S524,0)</f>
        <v>0</v>
      </c>
      <c r="V524" s="6" t="n">
        <v>33034.86</v>
      </c>
      <c r="W524" s="6" t="n">
        <v>24539.83</v>
      </c>
      <c r="X524" s="6" t="n">
        <v>8495.03</v>
      </c>
      <c r="Y524" s="6" t="n">
        <f aca="false">P524*Q524*(1-U524)</f>
        <v>33034.86</v>
      </c>
      <c r="Z524" s="6" t="n">
        <f aca="false">Y524-W524</f>
        <v>8495.03</v>
      </c>
      <c r="AA524" s="8" t="n">
        <f aca="false">IF(Y524=0,0,Z524/Y524)</f>
        <v>0.257153503904663</v>
      </c>
      <c r="AB524" s="3" t="str">
        <f aca="false">IF(ABS(V524-Y524)&gt;1,"Mismatch","OK")</f>
        <v>OK</v>
      </c>
      <c r="AC524" s="3" t="str">
        <f aca="false">IF(ABS(X524-Z524)&gt;1,"Mismatch","OK")</f>
        <v>OK</v>
      </c>
      <c r="AD524" s="5" t="n">
        <f aca="false">IF(OR(B524="",C524=""),"",C524-B524)</f>
        <v>8</v>
      </c>
      <c r="AE524" s="3" t="str">
        <f aca="false">IF(AD524="","Unknown",IF(AD524&lt;0,"Invalid - Ship Before Order","OK"))</f>
        <v>OK</v>
      </c>
      <c r="AF524" s="5" t="n">
        <f aca="false">IF(B524="","",MONTH(B524))</f>
        <v>2</v>
      </c>
      <c r="AG524" s="5" t="n">
        <f aca="false">IF(B524="","",YEAR(B524))</f>
        <v>2025</v>
      </c>
      <c r="AH524" s="3" t="s">
        <v>52</v>
      </c>
      <c r="AI524" s="3" t="s">
        <v>53</v>
      </c>
      <c r="AJ524" s="3" t="str">
        <f aca="false">IF(AND(AI524="Completed",AH524="Failed"),"Inconsistent - Completed Order with Failed Payment","OK")</f>
        <v>OK</v>
      </c>
      <c r="AK524" s="3" t="s">
        <v>54</v>
      </c>
      <c r="AL524" s="3" t="str">
        <f aca="false">IF(OR(T524="Negative - Invalid",T524="Above Allowed Range - Invalid",AE524="Invalid - Ship Before Order",AK524&lt;&gt;"Unique",AB524="Mismatch",AC524="Mismatch",AJ524&lt;&gt;"OK"),"Invalid",IF(OR(H524="Yes",O524="Yes",T524="Missing"),"Warning","Clean"))</f>
        <v>Clean</v>
      </c>
    </row>
    <row r="525" customFormat="false" ht="15" hidden="false" customHeight="true" outlineLevel="0" collapsed="false">
      <c r="A525" s="3" t="s">
        <v>1711</v>
      </c>
      <c r="B525" s="4" t="n">
        <v>45384</v>
      </c>
      <c r="C525" s="4" t="n">
        <v>45385</v>
      </c>
      <c r="D525" s="3" t="s">
        <v>1712</v>
      </c>
      <c r="E525" s="3" t="s">
        <v>298</v>
      </c>
      <c r="F525" s="3" t="s">
        <v>121</v>
      </c>
      <c r="G525" s="3" t="s">
        <v>88</v>
      </c>
      <c r="H525" s="3" t="s">
        <v>43</v>
      </c>
      <c r="I525" s="3" t="s">
        <v>221</v>
      </c>
      <c r="J525" s="3" t="s">
        <v>222</v>
      </c>
      <c r="K525" s="3" t="s">
        <v>46</v>
      </c>
      <c r="L525" s="3" t="s">
        <v>47</v>
      </c>
      <c r="M525" s="3" t="s">
        <v>1713</v>
      </c>
      <c r="N525" s="3" t="s">
        <v>49</v>
      </c>
      <c r="O525" s="3" t="s">
        <v>43</v>
      </c>
      <c r="P525" s="5" t="n">
        <v>2</v>
      </c>
      <c r="Q525" s="6" t="n">
        <v>2902.63</v>
      </c>
      <c r="R525" s="3" t="s">
        <v>66</v>
      </c>
      <c r="S525" s="7" t="n">
        <v>0</v>
      </c>
      <c r="T525" s="3" t="s">
        <v>51</v>
      </c>
      <c r="U525" s="7" t="n">
        <f aca="false">IF(T525="Valid",S525,0)</f>
        <v>0</v>
      </c>
      <c r="V525" s="6" t="n">
        <v>5805.26</v>
      </c>
      <c r="W525" s="6" t="n">
        <v>4654.36</v>
      </c>
      <c r="X525" s="6" t="n">
        <v>1150.9</v>
      </c>
      <c r="Y525" s="6" t="n">
        <f aca="false">P525*Q525*(1-U525)</f>
        <v>5805.26</v>
      </c>
      <c r="Z525" s="6" t="n">
        <f aca="false">Y525-W525</f>
        <v>1150.9</v>
      </c>
      <c r="AA525" s="8" t="n">
        <f aca="false">IF(Y525=0,0,Z525/Y525)</f>
        <v>0.198251241115816</v>
      </c>
      <c r="AB525" s="3" t="str">
        <f aca="false">IF(ABS(V525-Y525)&gt;1,"Mismatch","OK")</f>
        <v>OK</v>
      </c>
      <c r="AC525" s="3" t="str">
        <f aca="false">IF(ABS(X525-Z525)&gt;1,"Mismatch","OK")</f>
        <v>OK</v>
      </c>
      <c r="AD525" s="5" t="n">
        <f aca="false">IF(OR(B525="",C525=""),"",C525-B525)</f>
        <v>1</v>
      </c>
      <c r="AE525" s="3" t="str">
        <f aca="false">IF(AD525="","Unknown",IF(AD525&lt;0,"Invalid - Ship Before Order","OK"))</f>
        <v>OK</v>
      </c>
      <c r="AF525" s="5" t="n">
        <f aca="false">IF(B525="","",MONTH(B525))</f>
        <v>4</v>
      </c>
      <c r="AG525" s="5" t="n">
        <f aca="false">IF(B525="","",YEAR(B525))</f>
        <v>2024</v>
      </c>
      <c r="AH525" s="3" t="s">
        <v>52</v>
      </c>
      <c r="AI525" s="3" t="s">
        <v>130</v>
      </c>
      <c r="AJ525" s="3" t="str">
        <f aca="false">IF(AND(AI525="Completed",AH525="Failed"),"Inconsistent - Completed Order with Failed Payment","OK")</f>
        <v>OK</v>
      </c>
      <c r="AK525" s="3" t="s">
        <v>54</v>
      </c>
      <c r="AL525" s="3" t="str">
        <f aca="false">IF(OR(T525="Negative - Invalid",T525="Above Allowed Range - Invalid",AE525="Invalid - Ship Before Order",AK525&lt;&gt;"Unique",AB525="Mismatch",AC525="Mismatch",AJ525&lt;&gt;"OK"),"Invalid",IF(OR(H525="Yes",O525="Yes",T525="Missing"),"Warning","Clean"))</f>
        <v>Clean</v>
      </c>
    </row>
    <row r="526" customFormat="false" ht="15" hidden="false" customHeight="true" outlineLevel="0" collapsed="false">
      <c r="A526" s="3" t="s">
        <v>1714</v>
      </c>
      <c r="B526" s="4" t="n">
        <v>45626</v>
      </c>
      <c r="C526" s="4" t="n">
        <v>45627</v>
      </c>
      <c r="D526" s="3" t="s">
        <v>1715</v>
      </c>
      <c r="E526" s="3" t="s">
        <v>87</v>
      </c>
      <c r="F526" s="3" t="s">
        <v>116</v>
      </c>
      <c r="G526" s="3" t="s">
        <v>88</v>
      </c>
      <c r="H526" s="3" t="s">
        <v>43</v>
      </c>
      <c r="I526" s="3" t="s">
        <v>211</v>
      </c>
      <c r="J526" s="3" t="s">
        <v>212</v>
      </c>
      <c r="K526" s="3" t="s">
        <v>62</v>
      </c>
      <c r="L526" s="3" t="s">
        <v>91</v>
      </c>
      <c r="M526" s="3" t="s">
        <v>1716</v>
      </c>
      <c r="N526" s="3" t="s">
        <v>72</v>
      </c>
      <c r="O526" s="3" t="s">
        <v>43</v>
      </c>
      <c r="P526" s="5" t="n">
        <v>9</v>
      </c>
      <c r="Q526" s="6" t="n">
        <v>4207.36</v>
      </c>
      <c r="R526" s="3" t="s">
        <v>203</v>
      </c>
      <c r="S526" s="7" t="n">
        <v>0.1</v>
      </c>
      <c r="T526" s="3" t="s">
        <v>51</v>
      </c>
      <c r="U526" s="7" t="n">
        <f aca="false">IF(T526="Valid",S526,0)</f>
        <v>0.1</v>
      </c>
      <c r="V526" s="6" t="n">
        <v>34079.62</v>
      </c>
      <c r="W526" s="6" t="n">
        <v>21871.39</v>
      </c>
      <c r="X526" s="6" t="n">
        <v>12208.23</v>
      </c>
      <c r="Y526" s="6" t="n">
        <f aca="false">P526*Q526*(1-U526)</f>
        <v>34079.616</v>
      </c>
      <c r="Z526" s="6" t="n">
        <f aca="false">Y526-W526</f>
        <v>12208.226</v>
      </c>
      <c r="AA526" s="8" t="n">
        <f aca="false">IF(Y526=0,0,Z526/Y526)</f>
        <v>0.358226630253111</v>
      </c>
      <c r="AB526" s="3" t="str">
        <f aca="false">IF(ABS(V526-Y526)&gt;1,"Mismatch","OK")</f>
        <v>OK</v>
      </c>
      <c r="AC526" s="3" t="str">
        <f aca="false">IF(ABS(X526-Z526)&gt;1,"Mismatch","OK")</f>
        <v>OK</v>
      </c>
      <c r="AD526" s="5" t="n">
        <f aca="false">IF(OR(B526="",C526=""),"",C526-B526)</f>
        <v>1</v>
      </c>
      <c r="AE526" s="3" t="str">
        <f aca="false">IF(AD526="","Unknown",IF(AD526&lt;0,"Invalid - Ship Before Order","OK"))</f>
        <v>OK</v>
      </c>
      <c r="AF526" s="5" t="n">
        <f aca="false">IF(B526="","",MONTH(B526))</f>
        <v>11</v>
      </c>
      <c r="AG526" s="5" t="n">
        <f aca="false">IF(B526="","",YEAR(B526))</f>
        <v>2024</v>
      </c>
      <c r="AH526" s="3" t="s">
        <v>52</v>
      </c>
      <c r="AI526" s="3" t="s">
        <v>53</v>
      </c>
      <c r="AJ526" s="3" t="str">
        <f aca="false">IF(AND(AI526="Completed",AH526="Failed"),"Inconsistent - Completed Order with Failed Payment","OK")</f>
        <v>OK</v>
      </c>
      <c r="AK526" s="3" t="s">
        <v>54</v>
      </c>
      <c r="AL526" s="3" t="str">
        <f aca="false">IF(OR(T526="Negative - Invalid",T526="Above Allowed Range - Invalid",AE526="Invalid - Ship Before Order",AK526&lt;&gt;"Unique",AB526="Mismatch",AC526="Mismatch",AJ526&lt;&gt;"OK"),"Invalid",IF(OR(H526="Yes",O526="Yes",T526="Missing"),"Warning","Clean"))</f>
        <v>Clean</v>
      </c>
    </row>
    <row r="527" customFormat="false" ht="15" hidden="false" customHeight="true" outlineLevel="0" collapsed="false">
      <c r="A527" s="3" t="s">
        <v>1717</v>
      </c>
      <c r="B527" s="4" t="n">
        <v>45582</v>
      </c>
      <c r="C527" s="4" t="n">
        <v>45582</v>
      </c>
      <c r="D527" s="3" t="s">
        <v>1718</v>
      </c>
      <c r="E527" s="3" t="s">
        <v>141</v>
      </c>
      <c r="F527" s="3" t="s">
        <v>121</v>
      </c>
      <c r="G527" s="3" t="s">
        <v>59</v>
      </c>
      <c r="H527" s="3" t="s">
        <v>43</v>
      </c>
      <c r="I527" s="3" t="s">
        <v>125</v>
      </c>
      <c r="J527" s="3" t="s">
        <v>126</v>
      </c>
      <c r="K527" s="3" t="s">
        <v>62</v>
      </c>
      <c r="L527" s="3" t="s">
        <v>91</v>
      </c>
      <c r="M527" s="3" t="s">
        <v>1719</v>
      </c>
      <c r="N527" s="3" t="s">
        <v>83</v>
      </c>
      <c r="O527" s="3" t="s">
        <v>43</v>
      </c>
      <c r="P527" s="5" t="n">
        <v>5</v>
      </c>
      <c r="Q527" s="6" t="n">
        <v>2524.4</v>
      </c>
      <c r="R527" s="3" t="s">
        <v>203</v>
      </c>
      <c r="S527" s="7" t="n">
        <v>0.1</v>
      </c>
      <c r="T527" s="3" t="s">
        <v>51</v>
      </c>
      <c r="U527" s="7" t="n">
        <f aca="false">IF(T527="Valid",S527,0)</f>
        <v>0.1</v>
      </c>
      <c r="V527" s="6" t="n">
        <v>11359.8</v>
      </c>
      <c r="W527" s="6" t="n">
        <v>7062.44</v>
      </c>
      <c r="X527" s="6" t="n">
        <v>4297.36</v>
      </c>
      <c r="Y527" s="6" t="n">
        <f aca="false">P527*Q527*(1-U527)</f>
        <v>11359.8</v>
      </c>
      <c r="Z527" s="6" t="n">
        <f aca="false">Y527-W527</f>
        <v>4297.36</v>
      </c>
      <c r="AA527" s="8" t="n">
        <f aca="false">IF(Y527=0,0,Z527/Y527)</f>
        <v>0.378295392524516</v>
      </c>
      <c r="AB527" s="3" t="str">
        <f aca="false">IF(ABS(V527-Y527)&gt;1,"Mismatch","OK")</f>
        <v>OK</v>
      </c>
      <c r="AC527" s="3" t="str">
        <f aca="false">IF(ABS(X527-Z527)&gt;1,"Mismatch","OK")</f>
        <v>OK</v>
      </c>
      <c r="AD527" s="5" t="n">
        <f aca="false">IF(OR(B527="",C527=""),"",C527-B527)</f>
        <v>0</v>
      </c>
      <c r="AE527" s="3" t="str">
        <f aca="false">IF(AD527="","Unknown",IF(AD527&lt;0,"Invalid - Ship Before Order","OK"))</f>
        <v>OK</v>
      </c>
      <c r="AF527" s="5" t="n">
        <f aca="false">IF(B527="","",MONTH(B527))</f>
        <v>10</v>
      </c>
      <c r="AG527" s="5" t="n">
        <f aca="false">IF(B527="","",YEAR(B527))</f>
        <v>2024</v>
      </c>
      <c r="AH527" s="3" t="s">
        <v>52</v>
      </c>
      <c r="AI527" s="3" t="s">
        <v>53</v>
      </c>
      <c r="AJ527" s="3" t="str">
        <f aca="false">IF(AND(AI527="Completed",AH527="Failed"),"Inconsistent - Completed Order with Failed Payment","OK")</f>
        <v>OK</v>
      </c>
      <c r="AK527" s="3" t="s">
        <v>54</v>
      </c>
      <c r="AL527" s="3" t="str">
        <f aca="false">IF(OR(T527="Negative - Invalid",T527="Above Allowed Range - Invalid",AE527="Invalid - Ship Before Order",AK527&lt;&gt;"Unique",AB527="Mismatch",AC527="Mismatch",AJ527&lt;&gt;"OK"),"Invalid",IF(OR(H527="Yes",O527="Yes",T527="Missing"),"Warning","Clean"))</f>
        <v>Clean</v>
      </c>
    </row>
    <row r="528" customFormat="false" ht="15" hidden="false" customHeight="true" outlineLevel="0" collapsed="false">
      <c r="A528" s="3" t="s">
        <v>1720</v>
      </c>
      <c r="B528" s="4" t="n">
        <v>45856</v>
      </c>
      <c r="C528" s="4" t="n">
        <v>45859</v>
      </c>
      <c r="D528" s="3" t="s">
        <v>1721</v>
      </c>
      <c r="E528" s="3" t="s">
        <v>141</v>
      </c>
      <c r="F528" s="3" t="s">
        <v>41</v>
      </c>
      <c r="G528" s="3" t="s">
        <v>59</v>
      </c>
      <c r="H528" s="3" t="s">
        <v>43</v>
      </c>
      <c r="I528" s="3" t="s">
        <v>60</v>
      </c>
      <c r="J528" s="3" t="s">
        <v>61</v>
      </c>
      <c r="K528" s="3" t="s">
        <v>62</v>
      </c>
      <c r="L528" s="3" t="s">
        <v>63</v>
      </c>
      <c r="M528" s="3" t="s">
        <v>1722</v>
      </c>
      <c r="N528" s="3" t="s">
        <v>49</v>
      </c>
      <c r="O528" s="3" t="s">
        <v>43</v>
      </c>
      <c r="P528" s="5" t="n">
        <v>4</v>
      </c>
      <c r="Q528" s="6" t="n">
        <v>284.04</v>
      </c>
      <c r="R528" s="3"/>
      <c r="S528" s="7"/>
      <c r="T528" s="3" t="s">
        <v>230</v>
      </c>
      <c r="U528" s="7" t="n">
        <f aca="false">IF(T528="Valid",S528,0)</f>
        <v>0</v>
      </c>
      <c r="V528" s="6" t="n">
        <v>908.93</v>
      </c>
      <c r="W528" s="6" t="n">
        <v>572.08</v>
      </c>
      <c r="X528" s="6" t="n">
        <v>336.85</v>
      </c>
      <c r="Y528" s="6" t="n">
        <f aca="false">P528*Q528*(1-U528)</f>
        <v>1136.16</v>
      </c>
      <c r="Z528" s="6" t="n">
        <f aca="false">Y528-W528</f>
        <v>564.08</v>
      </c>
      <c r="AA528" s="8" t="n">
        <f aca="false">IF(Y528=0,0,Z528/Y528)</f>
        <v>0.496479369102943</v>
      </c>
      <c r="AB528" s="3" t="str">
        <f aca="false">IF(ABS(V528-Y528)&gt;1,"Mismatch","OK")</f>
        <v>Mismatch</v>
      </c>
      <c r="AC528" s="3" t="str">
        <f aca="false">IF(ABS(X528-Z528)&gt;1,"Mismatch","OK")</f>
        <v>Mismatch</v>
      </c>
      <c r="AD528" s="5" t="n">
        <f aca="false">IF(OR(B528="",C528=""),"",C528-B528)</f>
        <v>3</v>
      </c>
      <c r="AE528" s="3" t="str">
        <f aca="false">IF(AD528="","Unknown",IF(AD528&lt;0,"Invalid - Ship Before Order","OK"))</f>
        <v>OK</v>
      </c>
      <c r="AF528" s="5" t="n">
        <f aca="false">IF(B528="","",MONTH(B528))</f>
        <v>7</v>
      </c>
      <c r="AG528" s="5" t="n">
        <f aca="false">IF(B528="","",YEAR(B528))</f>
        <v>2025</v>
      </c>
      <c r="AH528" s="3" t="s">
        <v>52</v>
      </c>
      <c r="AI528" s="3" t="s">
        <v>53</v>
      </c>
      <c r="AJ528" s="3" t="str">
        <f aca="false">IF(AND(AI528="Completed",AH528="Failed"),"Inconsistent - Completed Order with Failed Payment","OK")</f>
        <v>OK</v>
      </c>
      <c r="AK528" s="3" t="s">
        <v>54</v>
      </c>
      <c r="AL528" s="3" t="str">
        <f aca="false">IF(OR(T528="Negative - Invalid",T528="Above Allowed Range - Invalid",AE528="Invalid - Ship Before Order",AK528&lt;&gt;"Unique",AB528="Mismatch",AC528="Mismatch",AJ528&lt;&gt;"OK"),"Invalid",IF(OR(H528="Yes",O528="Yes",T528="Missing"),"Warning","Clean"))</f>
        <v>Invalid</v>
      </c>
    </row>
    <row r="529" customFormat="false" ht="15" hidden="false" customHeight="true" outlineLevel="0" collapsed="false">
      <c r="A529" s="3" t="s">
        <v>1723</v>
      </c>
      <c r="B529" s="4" t="n">
        <v>45931</v>
      </c>
      <c r="C529" s="4" t="n">
        <v>45935</v>
      </c>
      <c r="D529" s="3" t="s">
        <v>1724</v>
      </c>
      <c r="E529" s="3" t="s">
        <v>115</v>
      </c>
      <c r="F529" s="3" t="s">
        <v>121</v>
      </c>
      <c r="G529" s="3" t="s">
        <v>42</v>
      </c>
      <c r="H529" s="3" t="s">
        <v>43</v>
      </c>
      <c r="I529" s="3" t="s">
        <v>270</v>
      </c>
      <c r="J529" s="3" t="s">
        <v>271</v>
      </c>
      <c r="K529" s="3" t="s">
        <v>46</v>
      </c>
      <c r="L529" s="3" t="s">
        <v>47</v>
      </c>
      <c r="M529" s="3" t="s">
        <v>1725</v>
      </c>
      <c r="N529" s="3" t="s">
        <v>72</v>
      </c>
      <c r="O529" s="3" t="s">
        <v>43</v>
      </c>
      <c r="P529" s="5" t="n">
        <v>5</v>
      </c>
      <c r="Q529" s="6" t="n">
        <v>3247.56</v>
      </c>
      <c r="R529" s="3" t="s">
        <v>107</v>
      </c>
      <c r="S529" s="7" t="n">
        <v>0.15</v>
      </c>
      <c r="T529" s="3" t="s">
        <v>51</v>
      </c>
      <c r="U529" s="7" t="n">
        <f aca="false">IF(T529="Valid",S529,0)</f>
        <v>0.15</v>
      </c>
      <c r="V529" s="6" t="n">
        <v>13802.13</v>
      </c>
      <c r="W529" s="6" t="n">
        <v>10075.93</v>
      </c>
      <c r="X529" s="6" t="n">
        <v>3726.2</v>
      </c>
      <c r="Y529" s="6" t="n">
        <f aca="false">P529*Q529*(1-U529)</f>
        <v>13802.13</v>
      </c>
      <c r="Z529" s="6" t="n">
        <f aca="false">Y529-W529</f>
        <v>3726.2</v>
      </c>
      <c r="AA529" s="8" t="n">
        <f aca="false">IF(Y529=0,0,Z529/Y529)</f>
        <v>0.269972823035285</v>
      </c>
      <c r="AB529" s="3" t="str">
        <f aca="false">IF(ABS(V529-Y529)&gt;1,"Mismatch","OK")</f>
        <v>OK</v>
      </c>
      <c r="AC529" s="3" t="str">
        <f aca="false">IF(ABS(X529-Z529)&gt;1,"Mismatch","OK")</f>
        <v>OK</v>
      </c>
      <c r="AD529" s="5" t="n">
        <f aca="false">IF(OR(B529="",C529=""),"",C529-B529)</f>
        <v>4</v>
      </c>
      <c r="AE529" s="3" t="str">
        <f aca="false">IF(AD529="","Unknown",IF(AD529&lt;0,"Invalid - Ship Before Order","OK"))</f>
        <v>OK</v>
      </c>
      <c r="AF529" s="5" t="n">
        <f aca="false">IF(B529="","",MONTH(B529))</f>
        <v>10</v>
      </c>
      <c r="AG529" s="5" t="n">
        <f aca="false">IF(B529="","",YEAR(B529))</f>
        <v>2025</v>
      </c>
      <c r="AH529" s="3" t="s">
        <v>52</v>
      </c>
      <c r="AI529" s="3" t="s">
        <v>53</v>
      </c>
      <c r="AJ529" s="3" t="str">
        <f aca="false">IF(AND(AI529="Completed",AH529="Failed"),"Inconsistent - Completed Order with Failed Payment","OK")</f>
        <v>OK</v>
      </c>
      <c r="AK529" s="3" t="s">
        <v>54</v>
      </c>
      <c r="AL529" s="3" t="str">
        <f aca="false">IF(OR(T529="Negative - Invalid",T529="Above Allowed Range - Invalid",AE529="Invalid - Ship Before Order",AK529&lt;&gt;"Unique",AB529="Mismatch",AC529="Mismatch",AJ529&lt;&gt;"OK"),"Invalid",IF(OR(H529="Yes",O529="Yes",T529="Missing"),"Warning","Clean"))</f>
        <v>Clean</v>
      </c>
    </row>
    <row r="530" customFormat="false" ht="15" hidden="false" customHeight="true" outlineLevel="0" collapsed="false">
      <c r="A530" s="3" t="s">
        <v>1726</v>
      </c>
      <c r="B530" s="4" t="n">
        <v>45572</v>
      </c>
      <c r="C530" s="4" t="n">
        <v>45574</v>
      </c>
      <c r="D530" s="3" t="s">
        <v>1727</v>
      </c>
      <c r="E530" s="3" t="s">
        <v>192</v>
      </c>
      <c r="F530" s="3" t="s">
        <v>41</v>
      </c>
      <c r="G530" s="3" t="s">
        <v>78</v>
      </c>
      <c r="H530" s="3" t="s">
        <v>43</v>
      </c>
      <c r="I530" s="3" t="s">
        <v>281</v>
      </c>
      <c r="J530" s="3" t="s">
        <v>282</v>
      </c>
      <c r="K530" s="3" t="s">
        <v>46</v>
      </c>
      <c r="L530" s="3" t="s">
        <v>183</v>
      </c>
      <c r="M530" s="3" t="s">
        <v>1728</v>
      </c>
      <c r="N530" s="3" t="s">
        <v>83</v>
      </c>
      <c r="O530" s="3" t="s">
        <v>43</v>
      </c>
      <c r="P530" s="5" t="n">
        <v>9</v>
      </c>
      <c r="Q530" s="6" t="n">
        <v>3457.09</v>
      </c>
      <c r="R530" s="3" t="s">
        <v>128</v>
      </c>
      <c r="S530" s="7" t="n">
        <v>0.05</v>
      </c>
      <c r="T530" s="3" t="s">
        <v>51</v>
      </c>
      <c r="U530" s="7" t="n">
        <f aca="false">IF(T530="Valid",S530,0)</f>
        <v>0.05</v>
      </c>
      <c r="V530" s="6" t="n">
        <v>29558.12</v>
      </c>
      <c r="W530" s="6" t="n">
        <v>21302.13</v>
      </c>
      <c r="X530" s="6" t="n">
        <v>8255.99</v>
      </c>
      <c r="Y530" s="6" t="n">
        <f aca="false">P530*Q530*(1-U530)</f>
        <v>29558.1195</v>
      </c>
      <c r="Z530" s="6" t="n">
        <f aca="false">Y530-W530</f>
        <v>8255.9895</v>
      </c>
      <c r="AA530" s="8" t="n">
        <f aca="false">IF(Y530=0,0,Z530/Y530)</f>
        <v>0.279313760132812</v>
      </c>
      <c r="AB530" s="3" t="str">
        <f aca="false">IF(ABS(V530-Y530)&gt;1,"Mismatch","OK")</f>
        <v>OK</v>
      </c>
      <c r="AC530" s="3" t="str">
        <f aca="false">IF(ABS(X530-Z530)&gt;1,"Mismatch","OK")</f>
        <v>OK</v>
      </c>
      <c r="AD530" s="5" t="n">
        <f aca="false">IF(OR(B530="",C530=""),"",C530-B530)</f>
        <v>2</v>
      </c>
      <c r="AE530" s="3" t="str">
        <f aca="false">IF(AD530="","Unknown",IF(AD530&lt;0,"Invalid - Ship Before Order","OK"))</f>
        <v>OK</v>
      </c>
      <c r="AF530" s="5" t="n">
        <f aca="false">IF(B530="","",MONTH(B530))</f>
        <v>10</v>
      </c>
      <c r="AG530" s="5" t="n">
        <f aca="false">IF(B530="","",YEAR(B530))</f>
        <v>2024</v>
      </c>
      <c r="AH530" s="3" t="s">
        <v>138</v>
      </c>
      <c r="AI530" s="3" t="s">
        <v>130</v>
      </c>
      <c r="AJ530" s="3" t="str">
        <f aca="false">IF(AND(AI530="Completed",AH530="Failed"),"Inconsistent - Completed Order with Failed Payment","OK")</f>
        <v>OK</v>
      </c>
      <c r="AK530" s="3" t="s">
        <v>54</v>
      </c>
      <c r="AL530" s="3" t="str">
        <f aca="false">IF(OR(T530="Negative - Invalid",T530="Above Allowed Range - Invalid",AE530="Invalid - Ship Before Order",AK530&lt;&gt;"Unique",AB530="Mismatch",AC530="Mismatch",AJ530&lt;&gt;"OK"),"Invalid",IF(OR(H530="Yes",O530="Yes",T530="Missing"),"Warning","Clean"))</f>
        <v>Clean</v>
      </c>
    </row>
    <row r="531" customFormat="false" ht="15" hidden="false" customHeight="true" outlineLevel="0" collapsed="false">
      <c r="A531" s="3" t="s">
        <v>1729</v>
      </c>
      <c r="B531" s="4" t="n">
        <v>45328</v>
      </c>
      <c r="C531" s="4" t="n">
        <v>45330</v>
      </c>
      <c r="D531" s="3" t="s">
        <v>768</v>
      </c>
      <c r="E531" s="3" t="s">
        <v>40</v>
      </c>
      <c r="F531" s="3" t="s">
        <v>41</v>
      </c>
      <c r="G531" s="3" t="s">
        <v>59</v>
      </c>
      <c r="H531" s="3" t="s">
        <v>43</v>
      </c>
      <c r="I531" s="3" t="s">
        <v>262</v>
      </c>
      <c r="J531" s="3" t="s">
        <v>263</v>
      </c>
      <c r="K531" s="3" t="s">
        <v>62</v>
      </c>
      <c r="L531" s="3" t="s">
        <v>188</v>
      </c>
      <c r="M531" s="3" t="s">
        <v>1730</v>
      </c>
      <c r="N531" s="3" t="s">
        <v>49</v>
      </c>
      <c r="O531" s="3" t="s">
        <v>43</v>
      </c>
      <c r="P531" s="5" t="n">
        <v>9</v>
      </c>
      <c r="Q531" s="6" t="n">
        <v>1822.25</v>
      </c>
      <c r="R531" s="3" t="s">
        <v>66</v>
      </c>
      <c r="S531" s="7" t="n">
        <v>0</v>
      </c>
      <c r="T531" s="3" t="s">
        <v>51</v>
      </c>
      <c r="U531" s="7" t="n">
        <f aca="false">IF(T531="Valid",S531,0)</f>
        <v>0</v>
      </c>
      <c r="V531" s="6" t="n">
        <v>16400.25</v>
      </c>
      <c r="W531" s="6" t="n">
        <v>12146.96</v>
      </c>
      <c r="X531" s="6" t="n">
        <v>4253.29</v>
      </c>
      <c r="Y531" s="6" t="n">
        <f aca="false">P531*Q531*(1-U531)</f>
        <v>16400.25</v>
      </c>
      <c r="Z531" s="6" t="n">
        <f aca="false">Y531-W531</f>
        <v>4253.29</v>
      </c>
      <c r="AA531" s="8" t="n">
        <f aca="false">IF(Y531=0,0,Z531/Y531)</f>
        <v>0.259342997820155</v>
      </c>
      <c r="AB531" s="3" t="str">
        <f aca="false">IF(ABS(V531-Y531)&gt;1,"Mismatch","OK")</f>
        <v>OK</v>
      </c>
      <c r="AC531" s="3" t="str">
        <f aca="false">IF(ABS(X531-Z531)&gt;1,"Mismatch","OK")</f>
        <v>OK</v>
      </c>
      <c r="AD531" s="5" t="n">
        <f aca="false">IF(OR(B531="",C531=""),"",C531-B531)</f>
        <v>2</v>
      </c>
      <c r="AE531" s="3" t="str">
        <f aca="false">IF(AD531="","Unknown",IF(AD531&lt;0,"Invalid - Ship Before Order","OK"))</f>
        <v>OK</v>
      </c>
      <c r="AF531" s="5" t="n">
        <f aca="false">IF(B531="","",MONTH(B531))</f>
        <v>2</v>
      </c>
      <c r="AG531" s="5" t="n">
        <f aca="false">IF(B531="","",YEAR(B531))</f>
        <v>2024</v>
      </c>
      <c r="AH531" s="3" t="s">
        <v>52</v>
      </c>
      <c r="AI531" s="3" t="s">
        <v>53</v>
      </c>
      <c r="AJ531" s="3" t="str">
        <f aca="false">IF(AND(AI531="Completed",AH531="Failed"),"Inconsistent - Completed Order with Failed Payment","OK")</f>
        <v>OK</v>
      </c>
      <c r="AK531" s="3" t="s">
        <v>54</v>
      </c>
      <c r="AL531" s="3" t="str">
        <f aca="false">IF(OR(T531="Negative - Invalid",T531="Above Allowed Range - Invalid",AE531="Invalid - Ship Before Order",AK531&lt;&gt;"Unique",AB531="Mismatch",AC531="Mismatch",AJ531&lt;&gt;"OK"),"Invalid",IF(OR(H531="Yes",O531="Yes",T531="Missing"),"Warning","Clean"))</f>
        <v>Clean</v>
      </c>
    </row>
    <row r="532" customFormat="false" ht="15" hidden="false" customHeight="true" outlineLevel="0" collapsed="false">
      <c r="A532" s="3" t="s">
        <v>1731</v>
      </c>
      <c r="B532" s="4" t="n">
        <v>45807</v>
      </c>
      <c r="C532" s="4" t="n">
        <v>45809</v>
      </c>
      <c r="D532" s="3" t="s">
        <v>1732</v>
      </c>
      <c r="E532" s="3" t="s">
        <v>145</v>
      </c>
      <c r="F532" s="3" t="s">
        <v>121</v>
      </c>
      <c r="G532" s="3" t="s">
        <v>78</v>
      </c>
      <c r="H532" s="3" t="s">
        <v>43</v>
      </c>
      <c r="I532" s="3" t="s">
        <v>281</v>
      </c>
      <c r="J532" s="3" t="s">
        <v>282</v>
      </c>
      <c r="K532" s="3" t="s">
        <v>46</v>
      </c>
      <c r="L532" s="3" t="s">
        <v>183</v>
      </c>
      <c r="M532" s="3" t="s">
        <v>1733</v>
      </c>
      <c r="N532" s="3" t="s">
        <v>83</v>
      </c>
      <c r="O532" s="3" t="s">
        <v>43</v>
      </c>
      <c r="P532" s="5" t="n">
        <v>9</v>
      </c>
      <c r="Q532" s="6" t="n">
        <v>1994.51</v>
      </c>
      <c r="R532" s="3" t="s">
        <v>128</v>
      </c>
      <c r="S532" s="7" t="n">
        <v>0.05</v>
      </c>
      <c r="T532" s="3" t="s">
        <v>51</v>
      </c>
      <c r="U532" s="7" t="n">
        <f aca="false">IF(T532="Valid",S532,0)</f>
        <v>0.05</v>
      </c>
      <c r="V532" s="6" t="n">
        <v>17053.06</v>
      </c>
      <c r="W532" s="6" t="n">
        <v>10742.38</v>
      </c>
      <c r="X532" s="6" t="n">
        <v>6310.68</v>
      </c>
      <c r="Y532" s="6" t="n">
        <f aca="false">P532*Q532*(1-U532)</f>
        <v>17053.0605</v>
      </c>
      <c r="Z532" s="6" t="n">
        <f aca="false">Y532-W532</f>
        <v>6310.6805</v>
      </c>
      <c r="AA532" s="8" t="n">
        <f aca="false">IF(Y532=0,0,Z532/Y532)</f>
        <v>0.370061461988011</v>
      </c>
      <c r="AB532" s="3" t="str">
        <f aca="false">IF(ABS(V532-Y532)&gt;1,"Mismatch","OK")</f>
        <v>OK</v>
      </c>
      <c r="AC532" s="3" t="str">
        <f aca="false">IF(ABS(X532-Z532)&gt;1,"Mismatch","OK")</f>
        <v>OK</v>
      </c>
      <c r="AD532" s="5" t="n">
        <f aca="false">IF(OR(B532="",C532=""),"",C532-B532)</f>
        <v>2</v>
      </c>
      <c r="AE532" s="3" t="str">
        <f aca="false">IF(AD532="","Unknown",IF(AD532&lt;0,"Invalid - Ship Before Order","OK"))</f>
        <v>OK</v>
      </c>
      <c r="AF532" s="5" t="n">
        <f aca="false">IF(B532="","",MONTH(B532))</f>
        <v>5</v>
      </c>
      <c r="AG532" s="5" t="n">
        <f aca="false">IF(B532="","",YEAR(B532))</f>
        <v>2025</v>
      </c>
      <c r="AH532" s="3" t="s">
        <v>52</v>
      </c>
      <c r="AI532" s="3" t="s">
        <v>53</v>
      </c>
      <c r="AJ532" s="3" t="str">
        <f aca="false">IF(AND(AI532="Completed",AH532="Failed"),"Inconsistent - Completed Order with Failed Payment","OK")</f>
        <v>OK</v>
      </c>
      <c r="AK532" s="3" t="s">
        <v>54</v>
      </c>
      <c r="AL532" s="3" t="str">
        <f aca="false">IF(OR(T532="Negative - Invalid",T532="Above Allowed Range - Invalid",AE532="Invalid - Ship Before Order",AK532&lt;&gt;"Unique",AB532="Mismatch",AC532="Mismatch",AJ532&lt;&gt;"OK"),"Invalid",IF(OR(H532="Yes",O532="Yes",T532="Missing"),"Warning","Clean"))</f>
        <v>Clean</v>
      </c>
    </row>
    <row r="533" customFormat="false" ht="15" hidden="false" customHeight="true" outlineLevel="0" collapsed="false">
      <c r="A533" s="3" t="s">
        <v>1734</v>
      </c>
      <c r="B533" s="4" t="n">
        <v>45505</v>
      </c>
      <c r="C533" s="4" t="n">
        <v>45512</v>
      </c>
      <c r="D533" s="3" t="s">
        <v>1735</v>
      </c>
      <c r="E533" s="3" t="s">
        <v>192</v>
      </c>
      <c r="F533" s="3" t="s">
        <v>58</v>
      </c>
      <c r="G533" s="3" t="s">
        <v>88</v>
      </c>
      <c r="H533" s="3" t="s">
        <v>43</v>
      </c>
      <c r="I533" s="3" t="s">
        <v>89</v>
      </c>
      <c r="J533" s="3" t="s">
        <v>90</v>
      </c>
      <c r="K533" s="3" t="s">
        <v>46</v>
      </c>
      <c r="L533" s="3" t="s">
        <v>151</v>
      </c>
      <c r="M533" s="3" t="s">
        <v>1736</v>
      </c>
      <c r="N533" s="3" t="s">
        <v>237</v>
      </c>
      <c r="O533" s="3" t="s">
        <v>238</v>
      </c>
      <c r="P533" s="5" t="n">
        <v>1</v>
      </c>
      <c r="Q533" s="6" t="n">
        <v>442.97</v>
      </c>
      <c r="R533" s="3" t="s">
        <v>203</v>
      </c>
      <c r="S533" s="7" t="n">
        <v>0.1</v>
      </c>
      <c r="T533" s="3" t="s">
        <v>51</v>
      </c>
      <c r="U533" s="7" t="n">
        <f aca="false">IF(T533="Valid",S533,0)</f>
        <v>0.1</v>
      </c>
      <c r="V533" s="6" t="n">
        <v>398.67</v>
      </c>
      <c r="W533" s="6" t="n">
        <v>311.66</v>
      </c>
      <c r="X533" s="6" t="n">
        <v>87.01</v>
      </c>
      <c r="Y533" s="6" t="n">
        <f aca="false">P533*Q533*(1-U533)</f>
        <v>398.673</v>
      </c>
      <c r="Z533" s="6" t="n">
        <f aca="false">Y533-W533</f>
        <v>87.013</v>
      </c>
      <c r="AA533" s="8" t="n">
        <f aca="false">IF(Y533=0,0,Z533/Y533)</f>
        <v>0.21825656615823</v>
      </c>
      <c r="AB533" s="3" t="str">
        <f aca="false">IF(ABS(V533-Y533)&gt;1,"Mismatch","OK")</f>
        <v>OK</v>
      </c>
      <c r="AC533" s="3" t="str">
        <f aca="false">IF(ABS(X533-Z533)&gt;1,"Mismatch","OK")</f>
        <v>OK</v>
      </c>
      <c r="AD533" s="5" t="n">
        <f aca="false">IF(OR(B533="",C533=""),"",C533-B533)</f>
        <v>7</v>
      </c>
      <c r="AE533" s="3" t="str">
        <f aca="false">IF(AD533="","Unknown",IF(AD533&lt;0,"Invalid - Ship Before Order","OK"))</f>
        <v>OK</v>
      </c>
      <c r="AF533" s="5" t="n">
        <f aca="false">IF(B533="","",MONTH(B533))</f>
        <v>8</v>
      </c>
      <c r="AG533" s="5" t="n">
        <f aca="false">IF(B533="","",YEAR(B533))</f>
        <v>2024</v>
      </c>
      <c r="AH533" s="3" t="s">
        <v>52</v>
      </c>
      <c r="AI533" s="3" t="s">
        <v>53</v>
      </c>
      <c r="AJ533" s="3" t="str">
        <f aca="false">IF(AND(AI533="Completed",AH533="Failed"),"Inconsistent - Completed Order with Failed Payment","OK")</f>
        <v>OK</v>
      </c>
      <c r="AK533" s="3" t="s">
        <v>54</v>
      </c>
      <c r="AL533" s="3" t="str">
        <f aca="false">IF(OR(T533="Negative - Invalid",T533="Above Allowed Range - Invalid",AE533="Invalid - Ship Before Order",AK533&lt;&gt;"Unique",AB533="Mismatch",AC533="Mismatch",AJ533&lt;&gt;"OK"),"Invalid",IF(OR(H533="Yes",O533="Yes",T533="Missing"),"Warning","Clean"))</f>
        <v>Warning</v>
      </c>
    </row>
    <row r="534" customFormat="false" ht="15" hidden="false" customHeight="true" outlineLevel="0" collapsed="false">
      <c r="A534" s="3" t="s">
        <v>1737</v>
      </c>
      <c r="B534" s="4" t="n">
        <v>45935</v>
      </c>
      <c r="C534" s="4" t="n">
        <v>45940</v>
      </c>
      <c r="D534" s="3" t="s">
        <v>1738</v>
      </c>
      <c r="E534" s="3" t="s">
        <v>141</v>
      </c>
      <c r="F534" s="3" t="s">
        <v>116</v>
      </c>
      <c r="G534" s="3" t="s">
        <v>59</v>
      </c>
      <c r="H534" s="3" t="s">
        <v>43</v>
      </c>
      <c r="I534" s="3" t="s">
        <v>196</v>
      </c>
      <c r="J534" s="3" t="s">
        <v>197</v>
      </c>
      <c r="K534" s="3" t="s">
        <v>62</v>
      </c>
      <c r="L534" s="3" t="s">
        <v>63</v>
      </c>
      <c r="M534" s="3" t="s">
        <v>1739</v>
      </c>
      <c r="N534" s="3" t="s">
        <v>49</v>
      </c>
      <c r="O534" s="3" t="s">
        <v>43</v>
      </c>
      <c r="P534" s="5" t="n">
        <v>9</v>
      </c>
      <c r="Q534" s="6" t="n">
        <v>2089.14</v>
      </c>
      <c r="R534" s="3" t="s">
        <v>128</v>
      </c>
      <c r="S534" s="7" t="n">
        <v>0.05</v>
      </c>
      <c r="T534" s="3" t="s">
        <v>51</v>
      </c>
      <c r="U534" s="7" t="n">
        <f aca="false">IF(T534="Valid",S534,0)</f>
        <v>0.05</v>
      </c>
      <c r="V534" s="6" t="n">
        <v>17862.15</v>
      </c>
      <c r="W534" s="6" t="n">
        <v>9892.21</v>
      </c>
      <c r="X534" s="6" t="n">
        <v>7969.94</v>
      </c>
      <c r="Y534" s="6" t="n">
        <f aca="false">P534*Q534*(1-U534)</f>
        <v>17862.147</v>
      </c>
      <c r="Z534" s="6" t="n">
        <f aca="false">Y534-W534</f>
        <v>7969.937</v>
      </c>
      <c r="AA534" s="8" t="n">
        <f aca="false">IF(Y534=0,0,Z534/Y534)</f>
        <v>0.44619143488182</v>
      </c>
      <c r="AB534" s="3" t="str">
        <f aca="false">IF(ABS(V534-Y534)&gt;1,"Mismatch","OK")</f>
        <v>OK</v>
      </c>
      <c r="AC534" s="3" t="str">
        <f aca="false">IF(ABS(X534-Z534)&gt;1,"Mismatch","OK")</f>
        <v>OK</v>
      </c>
      <c r="AD534" s="5" t="n">
        <f aca="false">IF(OR(B534="",C534=""),"",C534-B534)</f>
        <v>5</v>
      </c>
      <c r="AE534" s="3" t="str">
        <f aca="false">IF(AD534="","Unknown",IF(AD534&lt;0,"Invalid - Ship Before Order","OK"))</f>
        <v>OK</v>
      </c>
      <c r="AF534" s="5" t="n">
        <f aca="false">IF(B534="","",MONTH(B534))</f>
        <v>10</v>
      </c>
      <c r="AG534" s="5" t="n">
        <f aca="false">IF(B534="","",YEAR(B534))</f>
        <v>2025</v>
      </c>
      <c r="AH534" s="3" t="s">
        <v>185</v>
      </c>
      <c r="AI534" s="3" t="s">
        <v>93</v>
      </c>
      <c r="AJ534" s="3" t="str">
        <f aca="false">IF(AND(AI534="Completed",AH534="Failed"),"Inconsistent - Completed Order with Failed Payment","OK")</f>
        <v>OK</v>
      </c>
      <c r="AK534" s="3" t="s">
        <v>54</v>
      </c>
      <c r="AL534" s="3" t="str">
        <f aca="false">IF(OR(T534="Negative - Invalid",T534="Above Allowed Range - Invalid",AE534="Invalid - Ship Before Order",AK534&lt;&gt;"Unique",AB534="Mismatch",AC534="Mismatch",AJ534&lt;&gt;"OK"),"Invalid",IF(OR(H534="Yes",O534="Yes",T534="Missing"),"Warning","Clean"))</f>
        <v>Clean</v>
      </c>
    </row>
    <row r="535" customFormat="false" ht="15" hidden="false" customHeight="true" outlineLevel="0" collapsed="false">
      <c r="A535" s="3" t="s">
        <v>1740</v>
      </c>
      <c r="B535" s="4" t="n">
        <v>45529</v>
      </c>
      <c r="C535" s="4" t="n">
        <v>45536</v>
      </c>
      <c r="D535" s="3" t="s">
        <v>1741</v>
      </c>
      <c r="E535" s="3" t="s">
        <v>69</v>
      </c>
      <c r="F535" s="3" t="s">
        <v>121</v>
      </c>
      <c r="G535" s="3" t="s">
        <v>42</v>
      </c>
      <c r="H535" s="3" t="s">
        <v>43</v>
      </c>
      <c r="I535" s="3" t="s">
        <v>44</v>
      </c>
      <c r="J535" s="3" t="s">
        <v>45</v>
      </c>
      <c r="K535" s="3" t="s">
        <v>62</v>
      </c>
      <c r="L535" s="3" t="s">
        <v>63</v>
      </c>
      <c r="M535" s="3" t="s">
        <v>1742</v>
      </c>
      <c r="N535" s="3" t="s">
        <v>65</v>
      </c>
      <c r="O535" s="3" t="s">
        <v>43</v>
      </c>
      <c r="P535" s="5" t="n">
        <v>6</v>
      </c>
      <c r="Q535" s="6" t="n">
        <v>481.3</v>
      </c>
      <c r="R535" s="3" t="s">
        <v>84</v>
      </c>
      <c r="S535" s="7" t="n">
        <v>0.25</v>
      </c>
      <c r="T535" s="3" t="s">
        <v>51</v>
      </c>
      <c r="U535" s="7" t="n">
        <f aca="false">IF(T535="Valid",S535,0)</f>
        <v>0.25</v>
      </c>
      <c r="V535" s="6" t="n">
        <v>2165.85</v>
      </c>
      <c r="W535" s="6" t="n">
        <v>2124.48</v>
      </c>
      <c r="X535" s="6" t="n">
        <v>430.45</v>
      </c>
      <c r="Y535" s="6" t="n">
        <f aca="false">P535*Q535*(1-U535)</f>
        <v>2165.85</v>
      </c>
      <c r="Z535" s="6" t="n">
        <f aca="false">Y535-W535</f>
        <v>41.3700000000003</v>
      </c>
      <c r="AA535" s="8" t="n">
        <f aca="false">IF(Y535=0,0,Z535/Y535)</f>
        <v>0.0191010457787937</v>
      </c>
      <c r="AB535" s="3" t="str">
        <f aca="false">IF(ABS(V535-Y535)&gt;1,"Mismatch","OK")</f>
        <v>OK</v>
      </c>
      <c r="AC535" s="3" t="str">
        <f aca="false">IF(ABS(X535-Z535)&gt;1,"Mismatch","OK")</f>
        <v>Mismatch</v>
      </c>
      <c r="AD535" s="5" t="n">
        <f aca="false">IF(OR(B535="",C535=""),"",C535-B535)</f>
        <v>7</v>
      </c>
      <c r="AE535" s="3" t="str">
        <f aca="false">IF(AD535="","Unknown",IF(AD535&lt;0,"Invalid - Ship Before Order","OK"))</f>
        <v>OK</v>
      </c>
      <c r="AF535" s="5" t="n">
        <f aca="false">IF(B535="","",MONTH(B535))</f>
        <v>8</v>
      </c>
      <c r="AG535" s="5" t="n">
        <f aca="false">IF(B535="","",YEAR(B535))</f>
        <v>2024</v>
      </c>
      <c r="AH535" s="3" t="s">
        <v>52</v>
      </c>
      <c r="AI535" s="3" t="s">
        <v>53</v>
      </c>
      <c r="AJ535" s="3" t="str">
        <f aca="false">IF(AND(AI535="Completed",AH535="Failed"),"Inconsistent - Completed Order with Failed Payment","OK")</f>
        <v>OK</v>
      </c>
      <c r="AK535" s="3" t="s">
        <v>54</v>
      </c>
      <c r="AL535" s="3" t="str">
        <f aca="false">IF(OR(T535="Negative - Invalid",T535="Above Allowed Range - Invalid",AE535="Invalid - Ship Before Order",AK535&lt;&gt;"Unique",AB535="Mismatch",AC535="Mismatch",AJ535&lt;&gt;"OK"),"Invalid",IF(OR(H535="Yes",O535="Yes",T535="Missing"),"Warning","Clean"))</f>
        <v>Invalid</v>
      </c>
    </row>
    <row r="536" customFormat="false" ht="15" hidden="false" customHeight="true" outlineLevel="0" collapsed="false">
      <c r="A536" s="3" t="s">
        <v>1743</v>
      </c>
      <c r="B536" s="4" t="n">
        <v>45774</v>
      </c>
      <c r="C536" s="4" t="n">
        <v>45782</v>
      </c>
      <c r="D536" s="3" t="s">
        <v>1744</v>
      </c>
      <c r="E536" s="3" t="s">
        <v>168</v>
      </c>
      <c r="F536" s="3" t="s">
        <v>121</v>
      </c>
      <c r="G536" s="3" t="s">
        <v>59</v>
      </c>
      <c r="H536" s="3" t="s">
        <v>43</v>
      </c>
      <c r="I536" s="3" t="s">
        <v>174</v>
      </c>
      <c r="J536" s="3" t="s">
        <v>175</v>
      </c>
      <c r="K536" s="3" t="s">
        <v>99</v>
      </c>
      <c r="L536" s="3" t="s">
        <v>100</v>
      </c>
      <c r="M536" s="3" t="s">
        <v>1745</v>
      </c>
      <c r="N536" s="3" t="s">
        <v>49</v>
      </c>
      <c r="O536" s="3" t="s">
        <v>43</v>
      </c>
      <c r="P536" s="5" t="n">
        <v>4</v>
      </c>
      <c r="Q536" s="6" t="n">
        <v>3963.39</v>
      </c>
      <c r="R536" s="3" t="s">
        <v>203</v>
      </c>
      <c r="S536" s="7" t="n">
        <v>0.1</v>
      </c>
      <c r="T536" s="3" t="s">
        <v>51</v>
      </c>
      <c r="U536" s="7" t="n">
        <f aca="false">IF(T536="Valid",S536,0)</f>
        <v>0.1</v>
      </c>
      <c r="V536" s="6" t="n">
        <v>14268.2</v>
      </c>
      <c r="W536" s="6" t="n">
        <v>11705.3</v>
      </c>
      <c r="X536" s="6" t="n">
        <v>2562.9</v>
      </c>
      <c r="Y536" s="6" t="n">
        <f aca="false">P536*Q536*(1-U536)</f>
        <v>14268.204</v>
      </c>
      <c r="Z536" s="6" t="n">
        <f aca="false">Y536-W536</f>
        <v>2562.904</v>
      </c>
      <c r="AA536" s="8" t="n">
        <f aca="false">IF(Y536=0,0,Z536/Y536)</f>
        <v>0.179623448052747</v>
      </c>
      <c r="AB536" s="3" t="str">
        <f aca="false">IF(ABS(V536-Y536)&gt;1,"Mismatch","OK")</f>
        <v>OK</v>
      </c>
      <c r="AC536" s="3" t="str">
        <f aca="false">IF(ABS(X536-Z536)&gt;1,"Mismatch","OK")</f>
        <v>OK</v>
      </c>
      <c r="AD536" s="5" t="n">
        <f aca="false">IF(OR(B536="",C536=""),"",C536-B536)</f>
        <v>8</v>
      </c>
      <c r="AE536" s="3" t="str">
        <f aca="false">IF(AD536="","Unknown",IF(AD536&lt;0,"Invalid - Ship Before Order","OK"))</f>
        <v>OK</v>
      </c>
      <c r="AF536" s="5" t="n">
        <f aca="false">IF(B536="","",MONTH(B536))</f>
        <v>4</v>
      </c>
      <c r="AG536" s="5" t="n">
        <f aca="false">IF(B536="","",YEAR(B536))</f>
        <v>2025</v>
      </c>
      <c r="AH536" s="3" t="s">
        <v>138</v>
      </c>
      <c r="AI536" s="3" t="s">
        <v>130</v>
      </c>
      <c r="AJ536" s="3" t="str">
        <f aca="false">IF(AND(AI536="Completed",AH536="Failed"),"Inconsistent - Completed Order with Failed Payment","OK")</f>
        <v>OK</v>
      </c>
      <c r="AK536" s="3" t="s">
        <v>54</v>
      </c>
      <c r="AL536" s="3" t="str">
        <f aca="false">IF(OR(T536="Negative - Invalid",T536="Above Allowed Range - Invalid",AE536="Invalid - Ship Before Order",AK536&lt;&gt;"Unique",AB536="Mismatch",AC536="Mismatch",AJ536&lt;&gt;"OK"),"Invalid",IF(OR(H536="Yes",O536="Yes",T536="Missing"),"Warning","Clean"))</f>
        <v>Clean</v>
      </c>
    </row>
    <row r="537" customFormat="false" ht="15" hidden="false" customHeight="true" outlineLevel="0" collapsed="false">
      <c r="A537" s="3" t="s">
        <v>1746</v>
      </c>
      <c r="B537" s="4" t="n">
        <v>45431</v>
      </c>
      <c r="C537" s="4" t="n">
        <v>45433</v>
      </c>
      <c r="D537" s="3" t="s">
        <v>1747</v>
      </c>
      <c r="E537" s="3" t="s">
        <v>192</v>
      </c>
      <c r="F537" s="3" t="s">
        <v>58</v>
      </c>
      <c r="G537" s="3" t="s">
        <v>88</v>
      </c>
      <c r="H537" s="3" t="s">
        <v>43</v>
      </c>
      <c r="I537" s="3" t="s">
        <v>89</v>
      </c>
      <c r="J537" s="3" t="s">
        <v>90</v>
      </c>
      <c r="K537" s="3" t="s">
        <v>99</v>
      </c>
      <c r="L537" s="3" t="s">
        <v>105</v>
      </c>
      <c r="M537" s="3" t="s">
        <v>1748</v>
      </c>
      <c r="N537" s="3" t="s">
        <v>72</v>
      </c>
      <c r="O537" s="3" t="s">
        <v>43</v>
      </c>
      <c r="P537" s="5" t="n">
        <v>3</v>
      </c>
      <c r="Q537" s="6" t="n">
        <v>4000.98</v>
      </c>
      <c r="R537" s="3" t="s">
        <v>50</v>
      </c>
      <c r="S537" s="7" t="n">
        <v>0.2</v>
      </c>
      <c r="T537" s="3" t="s">
        <v>51</v>
      </c>
      <c r="U537" s="7" t="n">
        <f aca="false">IF(T537="Valid",S537,0)</f>
        <v>0.2</v>
      </c>
      <c r="V537" s="6" t="n">
        <v>9602.35</v>
      </c>
      <c r="W537" s="6" t="n">
        <v>7387.57</v>
      </c>
      <c r="X537" s="6" t="n">
        <v>2214.78</v>
      </c>
      <c r="Y537" s="6" t="n">
        <f aca="false">P537*Q537*(1-U537)</f>
        <v>9602.352</v>
      </c>
      <c r="Z537" s="6" t="n">
        <f aca="false">Y537-W537</f>
        <v>2214.782</v>
      </c>
      <c r="AA537" s="8" t="n">
        <f aca="false">IF(Y537=0,0,Z537/Y537)</f>
        <v>0.230649949095805</v>
      </c>
      <c r="AB537" s="3" t="str">
        <f aca="false">IF(ABS(V537-Y537)&gt;1,"Mismatch","OK")</f>
        <v>OK</v>
      </c>
      <c r="AC537" s="3" t="str">
        <f aca="false">IF(ABS(X537-Z537)&gt;1,"Mismatch","OK")</f>
        <v>OK</v>
      </c>
      <c r="AD537" s="5" t="n">
        <f aca="false">IF(OR(B537="",C537=""),"",C537-B537)</f>
        <v>2</v>
      </c>
      <c r="AE537" s="3" t="str">
        <f aca="false">IF(AD537="","Unknown",IF(AD537&lt;0,"Invalid - Ship Before Order","OK"))</f>
        <v>OK</v>
      </c>
      <c r="AF537" s="5" t="n">
        <f aca="false">IF(B537="","",MONTH(B537))</f>
        <v>5</v>
      </c>
      <c r="AG537" s="5" t="n">
        <f aca="false">IF(B537="","",YEAR(B537))</f>
        <v>2024</v>
      </c>
      <c r="AH537" s="3" t="s">
        <v>52</v>
      </c>
      <c r="AI537" s="3" t="s">
        <v>53</v>
      </c>
      <c r="AJ537" s="3" t="str">
        <f aca="false">IF(AND(AI537="Completed",AH537="Failed"),"Inconsistent - Completed Order with Failed Payment","OK")</f>
        <v>OK</v>
      </c>
      <c r="AK537" s="3" t="s">
        <v>54</v>
      </c>
      <c r="AL537" s="3" t="str">
        <f aca="false">IF(OR(T537="Negative - Invalid",T537="Above Allowed Range - Invalid",AE537="Invalid - Ship Before Order",AK537&lt;&gt;"Unique",AB537="Mismatch",AC537="Mismatch",AJ537&lt;&gt;"OK"),"Invalid",IF(OR(H537="Yes",O537="Yes",T537="Missing"),"Warning","Clean"))</f>
        <v>Clean</v>
      </c>
    </row>
    <row r="538" customFormat="false" ht="15" hidden="false" customHeight="true" outlineLevel="0" collapsed="false">
      <c r="A538" s="3" t="s">
        <v>1749</v>
      </c>
      <c r="B538" s="4" t="n">
        <v>45757</v>
      </c>
      <c r="C538" s="4" t="n">
        <v>45764</v>
      </c>
      <c r="D538" s="3" t="s">
        <v>1750</v>
      </c>
      <c r="E538" s="3" t="s">
        <v>87</v>
      </c>
      <c r="F538" s="3" t="s">
        <v>58</v>
      </c>
      <c r="G538" s="3" t="s">
        <v>88</v>
      </c>
      <c r="H538" s="3" t="s">
        <v>43</v>
      </c>
      <c r="I538" s="3" t="s">
        <v>44</v>
      </c>
      <c r="J538" s="3" t="s">
        <v>136</v>
      </c>
      <c r="K538" s="3" t="s">
        <v>62</v>
      </c>
      <c r="L538" s="3" t="s">
        <v>91</v>
      </c>
      <c r="M538" s="3" t="s">
        <v>1751</v>
      </c>
      <c r="N538" s="3" t="s">
        <v>72</v>
      </c>
      <c r="O538" s="3" t="s">
        <v>43</v>
      </c>
      <c r="P538" s="5" t="n">
        <v>7</v>
      </c>
      <c r="Q538" s="6" t="n">
        <v>3788.9</v>
      </c>
      <c r="R538" s="3" t="s">
        <v>84</v>
      </c>
      <c r="S538" s="7" t="n">
        <v>0.25</v>
      </c>
      <c r="T538" s="3" t="s">
        <v>51</v>
      </c>
      <c r="U538" s="7" t="n">
        <f aca="false">IF(T538="Valid",S538,0)</f>
        <v>0.25</v>
      </c>
      <c r="V538" s="6" t="n">
        <v>19891.72</v>
      </c>
      <c r="W538" s="6" t="n">
        <v>12295.76</v>
      </c>
      <c r="X538" s="6" t="n">
        <v>7595.96</v>
      </c>
      <c r="Y538" s="6" t="n">
        <f aca="false">P538*Q538*(1-U538)</f>
        <v>19891.725</v>
      </c>
      <c r="Z538" s="6" t="n">
        <f aca="false">Y538-W538</f>
        <v>7595.965</v>
      </c>
      <c r="AA538" s="8" t="n">
        <f aca="false">IF(Y538=0,0,Z538/Y538)</f>
        <v>0.381865574755332</v>
      </c>
      <c r="AB538" s="3" t="str">
        <f aca="false">IF(ABS(V538-Y538)&gt;1,"Mismatch","OK")</f>
        <v>OK</v>
      </c>
      <c r="AC538" s="3" t="str">
        <f aca="false">IF(ABS(X538-Z538)&gt;1,"Mismatch","OK")</f>
        <v>OK</v>
      </c>
      <c r="AD538" s="5" t="n">
        <f aca="false">IF(OR(B538="",C538=""),"",C538-B538)</f>
        <v>7</v>
      </c>
      <c r="AE538" s="3" t="str">
        <f aca="false">IF(AD538="","Unknown",IF(AD538&lt;0,"Invalid - Ship Before Order","OK"))</f>
        <v>OK</v>
      </c>
      <c r="AF538" s="5" t="n">
        <f aca="false">IF(B538="","",MONTH(B538))</f>
        <v>4</v>
      </c>
      <c r="AG538" s="5" t="n">
        <f aca="false">IF(B538="","",YEAR(B538))</f>
        <v>2025</v>
      </c>
      <c r="AH538" s="3" t="s">
        <v>185</v>
      </c>
      <c r="AI538" s="3" t="s">
        <v>93</v>
      </c>
      <c r="AJ538" s="3" t="str">
        <f aca="false">IF(AND(AI538="Completed",AH538="Failed"),"Inconsistent - Completed Order with Failed Payment","OK")</f>
        <v>OK</v>
      </c>
      <c r="AK538" s="3" t="s">
        <v>54</v>
      </c>
      <c r="AL538" s="3" t="str">
        <f aca="false">IF(OR(T538="Negative - Invalid",T538="Above Allowed Range - Invalid",AE538="Invalid - Ship Before Order",AK538&lt;&gt;"Unique",AB538="Mismatch",AC538="Mismatch",AJ538&lt;&gt;"OK"),"Invalid",IF(OR(H538="Yes",O538="Yes",T538="Missing"),"Warning","Clean"))</f>
        <v>Clean</v>
      </c>
    </row>
    <row r="539" customFormat="false" ht="15" hidden="false" customHeight="true" outlineLevel="0" collapsed="false">
      <c r="A539" s="3" t="s">
        <v>1752</v>
      </c>
      <c r="B539" s="4" t="n">
        <v>45313</v>
      </c>
      <c r="C539" s="4" t="n">
        <v>45321</v>
      </c>
      <c r="D539" s="3" t="s">
        <v>1753</v>
      </c>
      <c r="E539" s="3" t="s">
        <v>87</v>
      </c>
      <c r="F539" s="3" t="s">
        <v>58</v>
      </c>
      <c r="G539" s="3" t="s">
        <v>42</v>
      </c>
      <c r="H539" s="3" t="s">
        <v>43</v>
      </c>
      <c r="I539" s="3" t="s">
        <v>270</v>
      </c>
      <c r="J539" s="3" t="s">
        <v>271</v>
      </c>
      <c r="K539" s="3" t="s">
        <v>46</v>
      </c>
      <c r="L539" s="3" t="s">
        <v>70</v>
      </c>
      <c r="M539" s="3" t="s">
        <v>1754</v>
      </c>
      <c r="N539" s="3" t="s">
        <v>65</v>
      </c>
      <c r="O539" s="3" t="s">
        <v>43</v>
      </c>
      <c r="P539" s="5" t="n">
        <v>3</v>
      </c>
      <c r="Q539" s="6" t="n">
        <v>676.37</v>
      </c>
      <c r="R539" s="3" t="s">
        <v>128</v>
      </c>
      <c r="S539" s="7" t="n">
        <v>0.05</v>
      </c>
      <c r="T539" s="3" t="s">
        <v>51</v>
      </c>
      <c r="U539" s="7" t="n">
        <f aca="false">IF(T539="Valid",S539,0)</f>
        <v>0.05</v>
      </c>
      <c r="V539" s="6" t="n">
        <v>1927.65</v>
      </c>
      <c r="W539" s="6" t="n">
        <v>1460.6</v>
      </c>
      <c r="X539" s="6" t="n">
        <v>467.05</v>
      </c>
      <c r="Y539" s="6" t="n">
        <f aca="false">P539*Q539*(1-U539)</f>
        <v>1927.6545</v>
      </c>
      <c r="Z539" s="6" t="n">
        <f aca="false">Y539-W539</f>
        <v>467.0545</v>
      </c>
      <c r="AA539" s="8" t="n">
        <f aca="false">IF(Y539=0,0,Z539/Y539)</f>
        <v>0.242291603604277</v>
      </c>
      <c r="AB539" s="3" t="str">
        <f aca="false">IF(ABS(V539-Y539)&gt;1,"Mismatch","OK")</f>
        <v>OK</v>
      </c>
      <c r="AC539" s="3" t="str">
        <f aca="false">IF(ABS(X539-Z539)&gt;1,"Mismatch","OK")</f>
        <v>OK</v>
      </c>
      <c r="AD539" s="5" t="n">
        <f aca="false">IF(OR(B539="",C539=""),"",C539-B539)</f>
        <v>8</v>
      </c>
      <c r="AE539" s="3" t="str">
        <f aca="false">IF(AD539="","Unknown",IF(AD539&lt;0,"Invalid - Ship Before Order","OK"))</f>
        <v>OK</v>
      </c>
      <c r="AF539" s="5" t="n">
        <f aca="false">IF(B539="","",MONTH(B539))</f>
        <v>1</v>
      </c>
      <c r="AG539" s="5" t="n">
        <f aca="false">IF(B539="","",YEAR(B539))</f>
        <v>2024</v>
      </c>
      <c r="AH539" s="3" t="s">
        <v>185</v>
      </c>
      <c r="AI539" s="3" t="s">
        <v>93</v>
      </c>
      <c r="AJ539" s="3" t="str">
        <f aca="false">IF(AND(AI539="Completed",AH539="Failed"),"Inconsistent - Completed Order with Failed Payment","OK")</f>
        <v>OK</v>
      </c>
      <c r="AK539" s="3" t="s">
        <v>54</v>
      </c>
      <c r="AL539" s="3" t="str">
        <f aca="false">IF(OR(T539="Negative - Invalid",T539="Above Allowed Range - Invalid",AE539="Invalid - Ship Before Order",AK539&lt;&gt;"Unique",AB539="Mismatch",AC539="Mismatch",AJ539&lt;&gt;"OK"),"Invalid",IF(OR(H539="Yes",O539="Yes",T539="Missing"),"Warning","Clean"))</f>
        <v>Clean</v>
      </c>
    </row>
    <row r="540" customFormat="false" ht="15" hidden="false" customHeight="true" outlineLevel="0" collapsed="false">
      <c r="A540" s="3" t="s">
        <v>1755</v>
      </c>
      <c r="B540" s="4" t="n">
        <v>45560</v>
      </c>
      <c r="C540" s="4" t="n">
        <v>45566</v>
      </c>
      <c r="D540" s="3" t="s">
        <v>1756</v>
      </c>
      <c r="E540" s="3" t="s">
        <v>192</v>
      </c>
      <c r="F540" s="3" t="s">
        <v>58</v>
      </c>
      <c r="G540" s="3" t="s">
        <v>59</v>
      </c>
      <c r="H540" s="3" t="s">
        <v>43</v>
      </c>
      <c r="I540" s="3" t="s">
        <v>262</v>
      </c>
      <c r="J540" s="3" t="s">
        <v>263</v>
      </c>
      <c r="K540" s="3" t="s">
        <v>62</v>
      </c>
      <c r="L540" s="3" t="s">
        <v>63</v>
      </c>
      <c r="M540" s="3" t="s">
        <v>1757</v>
      </c>
      <c r="N540" s="3" t="s">
        <v>49</v>
      </c>
      <c r="O540" s="3" t="s">
        <v>43</v>
      </c>
      <c r="P540" s="5" t="n">
        <v>9</v>
      </c>
      <c r="Q540" s="6" t="n">
        <v>3908.6</v>
      </c>
      <c r="R540" s="3" t="s">
        <v>107</v>
      </c>
      <c r="S540" s="7" t="n">
        <v>0.15</v>
      </c>
      <c r="T540" s="3" t="s">
        <v>51</v>
      </c>
      <c r="U540" s="7" t="n">
        <f aca="false">IF(T540="Valid",S540,0)</f>
        <v>0.15</v>
      </c>
      <c r="V540" s="6" t="n">
        <v>29900.79</v>
      </c>
      <c r="W540" s="6" t="n">
        <v>24650.67</v>
      </c>
      <c r="X540" s="6" t="n">
        <v>5250.12</v>
      </c>
      <c r="Y540" s="6" t="n">
        <f aca="false">P540*Q540*(1-U540)</f>
        <v>29900.79</v>
      </c>
      <c r="Z540" s="6" t="n">
        <f aca="false">Y540-W540</f>
        <v>5250.12</v>
      </c>
      <c r="AA540" s="8" t="n">
        <f aca="false">IF(Y540=0,0,Z540/Y540)</f>
        <v>0.175584658465546</v>
      </c>
      <c r="AB540" s="3" t="str">
        <f aca="false">IF(ABS(V540-Y540)&gt;1,"Mismatch","OK")</f>
        <v>OK</v>
      </c>
      <c r="AC540" s="3" t="str">
        <f aca="false">IF(ABS(X540-Z540)&gt;1,"Mismatch","OK")</f>
        <v>OK</v>
      </c>
      <c r="AD540" s="5" t="n">
        <f aca="false">IF(OR(B540="",C540=""),"",C540-B540)</f>
        <v>6</v>
      </c>
      <c r="AE540" s="3" t="str">
        <f aca="false">IF(AD540="","Unknown",IF(AD540&lt;0,"Invalid - Ship Before Order","OK"))</f>
        <v>OK</v>
      </c>
      <c r="AF540" s="5" t="n">
        <f aca="false">IF(B540="","",MONTH(B540))</f>
        <v>9</v>
      </c>
      <c r="AG540" s="5" t="n">
        <f aca="false">IF(B540="","",YEAR(B540))</f>
        <v>2024</v>
      </c>
      <c r="AH540" s="3" t="s">
        <v>52</v>
      </c>
      <c r="AI540" s="3" t="s">
        <v>53</v>
      </c>
      <c r="AJ540" s="3" t="str">
        <f aca="false">IF(AND(AI540="Completed",AH540="Failed"),"Inconsistent - Completed Order with Failed Payment","OK")</f>
        <v>OK</v>
      </c>
      <c r="AK540" s="3" t="s">
        <v>54</v>
      </c>
      <c r="AL540" s="3" t="str">
        <f aca="false">IF(OR(T540="Negative - Invalid",T540="Above Allowed Range - Invalid",AE540="Invalid - Ship Before Order",AK540&lt;&gt;"Unique",AB540="Mismatch",AC540="Mismatch",AJ540&lt;&gt;"OK"),"Invalid",IF(OR(H540="Yes",O540="Yes",T540="Missing"),"Warning","Clean"))</f>
        <v>Clean</v>
      </c>
    </row>
    <row r="541" customFormat="false" ht="15" hidden="false" customHeight="true" outlineLevel="0" collapsed="false">
      <c r="A541" s="3" t="s">
        <v>1758</v>
      </c>
      <c r="B541" s="4" t="n">
        <v>45842</v>
      </c>
      <c r="C541" s="4" t="n">
        <v>45842</v>
      </c>
      <c r="D541" s="3" t="s">
        <v>1759</v>
      </c>
      <c r="E541" s="3" t="s">
        <v>57</v>
      </c>
      <c r="F541" s="3" t="s">
        <v>58</v>
      </c>
      <c r="G541" s="3" t="s">
        <v>78</v>
      </c>
      <c r="H541" s="3" t="s">
        <v>43</v>
      </c>
      <c r="I541" s="3" t="s">
        <v>281</v>
      </c>
      <c r="J541" s="3" t="s">
        <v>282</v>
      </c>
      <c r="K541" s="3" t="s">
        <v>62</v>
      </c>
      <c r="L541" s="3" t="s">
        <v>91</v>
      </c>
      <c r="M541" s="3" t="s">
        <v>1760</v>
      </c>
      <c r="N541" s="3" t="s">
        <v>83</v>
      </c>
      <c r="O541" s="3" t="s">
        <v>43</v>
      </c>
      <c r="P541" s="5" t="n">
        <v>3</v>
      </c>
      <c r="Q541" s="6" t="n">
        <v>705.35</v>
      </c>
      <c r="R541" s="3" t="s">
        <v>203</v>
      </c>
      <c r="S541" s="7" t="n">
        <v>0.1</v>
      </c>
      <c r="T541" s="3" t="s">
        <v>51</v>
      </c>
      <c r="U541" s="7" t="n">
        <f aca="false">IF(T541="Valid",S541,0)</f>
        <v>0.1</v>
      </c>
      <c r="V541" s="6" t="n">
        <v>1904.45</v>
      </c>
      <c r="W541" s="6" t="n">
        <v>1316.54</v>
      </c>
      <c r="X541" s="6" t="n">
        <v>587.91</v>
      </c>
      <c r="Y541" s="6" t="n">
        <f aca="false">P541*Q541*(1-U541)</f>
        <v>1904.445</v>
      </c>
      <c r="Z541" s="6" t="n">
        <f aca="false">Y541-W541</f>
        <v>587.905</v>
      </c>
      <c r="AA541" s="8" t="n">
        <f aca="false">IF(Y541=0,0,Z541/Y541)</f>
        <v>0.308701485209602</v>
      </c>
      <c r="AB541" s="3" t="str">
        <f aca="false">IF(ABS(V541-Y541)&gt;1,"Mismatch","OK")</f>
        <v>OK</v>
      </c>
      <c r="AC541" s="3" t="str">
        <f aca="false">IF(ABS(X541-Z541)&gt;1,"Mismatch","OK")</f>
        <v>OK</v>
      </c>
      <c r="AD541" s="5" t="n">
        <f aca="false">IF(OR(B541="",C541=""),"",C541-B541)</f>
        <v>0</v>
      </c>
      <c r="AE541" s="3" t="str">
        <f aca="false">IF(AD541="","Unknown",IF(AD541&lt;0,"Invalid - Ship Before Order","OK"))</f>
        <v>OK</v>
      </c>
      <c r="AF541" s="5" t="n">
        <f aca="false">IF(B541="","",MONTH(B541))</f>
        <v>7</v>
      </c>
      <c r="AG541" s="5" t="n">
        <f aca="false">IF(B541="","",YEAR(B541))</f>
        <v>2025</v>
      </c>
      <c r="AH541" s="3" t="s">
        <v>52</v>
      </c>
      <c r="AI541" s="3" t="s">
        <v>93</v>
      </c>
      <c r="AJ541" s="3" t="str">
        <f aca="false">IF(AND(AI541="Completed",AH541="Failed"),"Inconsistent - Completed Order with Failed Payment","OK")</f>
        <v>OK</v>
      </c>
      <c r="AK541" s="3" t="s">
        <v>54</v>
      </c>
      <c r="AL541" s="3" t="str">
        <f aca="false">IF(OR(T541="Negative - Invalid",T541="Above Allowed Range - Invalid",AE541="Invalid - Ship Before Order",AK541&lt;&gt;"Unique",AB541="Mismatch",AC541="Mismatch",AJ541&lt;&gt;"OK"),"Invalid",IF(OR(H541="Yes",O541="Yes",T541="Missing"),"Warning","Clean"))</f>
        <v>Clean</v>
      </c>
    </row>
    <row r="542" customFormat="false" ht="15" hidden="false" customHeight="true" outlineLevel="0" collapsed="false">
      <c r="A542" s="3" t="s">
        <v>1761</v>
      </c>
      <c r="B542" s="4" t="n">
        <v>45348</v>
      </c>
      <c r="C542" s="4" t="n">
        <v>45345</v>
      </c>
      <c r="D542" s="3" t="s">
        <v>1762</v>
      </c>
      <c r="E542" s="3" t="s">
        <v>298</v>
      </c>
      <c r="F542" s="3" t="s">
        <v>41</v>
      </c>
      <c r="G542" s="3" t="s">
        <v>88</v>
      </c>
      <c r="H542" s="3" t="s">
        <v>43</v>
      </c>
      <c r="I542" s="3" t="s">
        <v>211</v>
      </c>
      <c r="J542" s="3" t="s">
        <v>212</v>
      </c>
      <c r="K542" s="3" t="s">
        <v>62</v>
      </c>
      <c r="L542" s="3" t="s">
        <v>81</v>
      </c>
      <c r="M542" s="3" t="s">
        <v>1763</v>
      </c>
      <c r="N542" s="3" t="s">
        <v>83</v>
      </c>
      <c r="O542" s="3" t="s">
        <v>43</v>
      </c>
      <c r="P542" s="5" t="n">
        <v>7</v>
      </c>
      <c r="Q542" s="6" t="n">
        <v>3852.07</v>
      </c>
      <c r="R542" s="3" t="s">
        <v>50</v>
      </c>
      <c r="S542" s="7" t="n">
        <v>0.2</v>
      </c>
      <c r="T542" s="3" t="s">
        <v>51</v>
      </c>
      <c r="U542" s="7" t="n">
        <f aca="false">IF(T542="Valid",S542,0)</f>
        <v>0.2</v>
      </c>
      <c r="V542" s="6" t="n">
        <v>21571.59</v>
      </c>
      <c r="W542" s="6" t="n">
        <v>17118.07</v>
      </c>
      <c r="X542" s="6" t="n">
        <v>4453.52</v>
      </c>
      <c r="Y542" s="6" t="n">
        <f aca="false">P542*Q542*(1-U542)</f>
        <v>21571.592</v>
      </c>
      <c r="Z542" s="6" t="n">
        <f aca="false">Y542-W542</f>
        <v>4453.522</v>
      </c>
      <c r="AA542" s="8" t="n">
        <f aca="false">IF(Y542=0,0,Z542/Y542)</f>
        <v>0.206453098130171</v>
      </c>
      <c r="AB542" s="3" t="str">
        <f aca="false">IF(ABS(V542-Y542)&gt;1,"Mismatch","OK")</f>
        <v>OK</v>
      </c>
      <c r="AC542" s="3" t="str">
        <f aca="false">IF(ABS(X542-Z542)&gt;1,"Mismatch","OK")</f>
        <v>OK</v>
      </c>
      <c r="AD542" s="5" t="n">
        <f aca="false">IF(OR(B542="",C542=""),"",C542-B542)</f>
        <v>-3</v>
      </c>
      <c r="AE542" s="3" t="str">
        <f aca="false">IF(AD542="","Unknown",IF(AD542&lt;0,"Invalid - Ship Before Order","OK"))</f>
        <v>Invalid - Ship Before Order</v>
      </c>
      <c r="AF542" s="5" t="n">
        <f aca="false">IF(B542="","",MONTH(B542))</f>
        <v>2</v>
      </c>
      <c r="AG542" s="5" t="n">
        <f aca="false">IF(B542="","",YEAR(B542))</f>
        <v>2024</v>
      </c>
      <c r="AH542" s="3" t="s">
        <v>52</v>
      </c>
      <c r="AI542" s="3" t="s">
        <v>53</v>
      </c>
      <c r="AJ542" s="3" t="str">
        <f aca="false">IF(AND(AI542="Completed",AH542="Failed"),"Inconsistent - Completed Order with Failed Payment","OK")</f>
        <v>OK</v>
      </c>
      <c r="AK542" s="3" t="s">
        <v>54</v>
      </c>
      <c r="AL542" s="3" t="str">
        <f aca="false">IF(OR(T542="Negative - Invalid",T542="Above Allowed Range - Invalid",AE542="Invalid - Ship Before Order",AK542&lt;&gt;"Unique",AB542="Mismatch",AC542="Mismatch",AJ542&lt;&gt;"OK"),"Invalid",IF(OR(H542="Yes",O542="Yes",T542="Missing"),"Warning","Clean"))</f>
        <v>Invalid</v>
      </c>
    </row>
    <row r="543" customFormat="false" ht="15" hidden="false" customHeight="true" outlineLevel="0" collapsed="false">
      <c r="A543" s="3" t="s">
        <v>1764</v>
      </c>
      <c r="B543" s="4" t="n">
        <v>45846</v>
      </c>
      <c r="C543" s="4" t="n">
        <v>45847</v>
      </c>
      <c r="D543" s="3" t="s">
        <v>1765</v>
      </c>
      <c r="E543" s="3" t="s">
        <v>159</v>
      </c>
      <c r="F543" s="3" t="s">
        <v>41</v>
      </c>
      <c r="G543" s="3" t="s">
        <v>88</v>
      </c>
      <c r="H543" s="3" t="s">
        <v>43</v>
      </c>
      <c r="I543" s="3" t="s">
        <v>89</v>
      </c>
      <c r="J543" s="3" t="s">
        <v>90</v>
      </c>
      <c r="K543" s="3" t="s">
        <v>99</v>
      </c>
      <c r="L543" s="3" t="s">
        <v>105</v>
      </c>
      <c r="M543" s="3" t="s">
        <v>1766</v>
      </c>
      <c r="N543" s="3" t="s">
        <v>65</v>
      </c>
      <c r="O543" s="3" t="s">
        <v>43</v>
      </c>
      <c r="P543" s="5" t="n">
        <v>3</v>
      </c>
      <c r="Q543" s="6" t="n">
        <v>2880.56</v>
      </c>
      <c r="R543" s="3" t="s">
        <v>66</v>
      </c>
      <c r="S543" s="7" t="n">
        <v>0</v>
      </c>
      <c r="T543" s="3" t="s">
        <v>51</v>
      </c>
      <c r="U543" s="7" t="n">
        <f aca="false">IF(T543="Valid",S543,0)</f>
        <v>0</v>
      </c>
      <c r="V543" s="6" t="n">
        <v>8641.68</v>
      </c>
      <c r="W543" s="6" t="n">
        <v>5747.09</v>
      </c>
      <c r="X543" s="6" t="n">
        <v>2894.59</v>
      </c>
      <c r="Y543" s="6" t="n">
        <f aca="false">P543*Q543*(1-U543)</f>
        <v>8641.68</v>
      </c>
      <c r="Z543" s="6" t="n">
        <f aca="false">Y543-W543</f>
        <v>2894.59</v>
      </c>
      <c r="AA543" s="8" t="n">
        <f aca="false">IF(Y543=0,0,Z543/Y543)</f>
        <v>0.334956860240139</v>
      </c>
      <c r="AB543" s="3" t="str">
        <f aca="false">IF(ABS(V543-Y543)&gt;1,"Mismatch","OK")</f>
        <v>OK</v>
      </c>
      <c r="AC543" s="3" t="str">
        <f aca="false">IF(ABS(X543-Z543)&gt;1,"Mismatch","OK")</f>
        <v>OK</v>
      </c>
      <c r="AD543" s="5" t="n">
        <f aca="false">IF(OR(B543="",C543=""),"",C543-B543)</f>
        <v>1</v>
      </c>
      <c r="AE543" s="3" t="str">
        <f aca="false">IF(AD543="","Unknown",IF(AD543&lt;0,"Invalid - Ship Before Order","OK"))</f>
        <v>OK</v>
      </c>
      <c r="AF543" s="5" t="n">
        <f aca="false">IF(B543="","",MONTH(B543))</f>
        <v>7</v>
      </c>
      <c r="AG543" s="5" t="n">
        <f aca="false">IF(B543="","",YEAR(B543))</f>
        <v>2025</v>
      </c>
      <c r="AH543" s="3" t="s">
        <v>52</v>
      </c>
      <c r="AI543" s="3" t="s">
        <v>130</v>
      </c>
      <c r="AJ543" s="3" t="str">
        <f aca="false">IF(AND(AI543="Completed",AH543="Failed"),"Inconsistent - Completed Order with Failed Payment","OK")</f>
        <v>OK</v>
      </c>
      <c r="AK543" s="3" t="s">
        <v>54</v>
      </c>
      <c r="AL543" s="3" t="str">
        <f aca="false">IF(OR(T543="Negative - Invalid",T543="Above Allowed Range - Invalid",AE543="Invalid - Ship Before Order",AK543&lt;&gt;"Unique",AB543="Mismatch",AC543="Mismatch",AJ543&lt;&gt;"OK"),"Invalid",IF(OR(H543="Yes",O543="Yes",T543="Missing"),"Warning","Clean"))</f>
        <v>Clean</v>
      </c>
    </row>
    <row r="544" customFormat="false" ht="15" hidden="false" customHeight="true" outlineLevel="0" collapsed="false">
      <c r="A544" s="3" t="s">
        <v>1767</v>
      </c>
      <c r="B544" s="4" t="n">
        <v>45552</v>
      </c>
      <c r="C544" s="4" t="n">
        <v>45558</v>
      </c>
      <c r="D544" s="3" t="s">
        <v>1768</v>
      </c>
      <c r="E544" s="3" t="s">
        <v>145</v>
      </c>
      <c r="F544" s="3" t="s">
        <v>121</v>
      </c>
      <c r="G544" s="3" t="s">
        <v>78</v>
      </c>
      <c r="H544" s="3" t="s">
        <v>43</v>
      </c>
      <c r="I544" s="3" t="s">
        <v>216</v>
      </c>
      <c r="J544" s="3" t="s">
        <v>217</v>
      </c>
      <c r="K544" s="3" t="s">
        <v>62</v>
      </c>
      <c r="L544" s="3" t="s">
        <v>188</v>
      </c>
      <c r="M544" s="3" t="s">
        <v>1769</v>
      </c>
      <c r="N544" s="3" t="s">
        <v>49</v>
      </c>
      <c r="O544" s="3" t="s">
        <v>43</v>
      </c>
      <c r="P544" s="5" t="n">
        <v>3</v>
      </c>
      <c r="Q544" s="6" t="n">
        <v>4067.62</v>
      </c>
      <c r="R544" s="3" t="s">
        <v>50</v>
      </c>
      <c r="S544" s="7" t="n">
        <v>0.2</v>
      </c>
      <c r="T544" s="3" t="s">
        <v>51</v>
      </c>
      <c r="U544" s="7" t="n">
        <f aca="false">IF(T544="Valid",S544,0)</f>
        <v>0.2</v>
      </c>
      <c r="V544" s="6" t="n">
        <v>9988.53</v>
      </c>
      <c r="W544" s="6" t="n">
        <v>8368.24</v>
      </c>
      <c r="X544" s="6" t="n">
        <v>1394.05</v>
      </c>
      <c r="Y544" s="6" t="n">
        <f aca="false">P544*Q544*(1-U544)</f>
        <v>9762.288</v>
      </c>
      <c r="Z544" s="6" t="n">
        <f aca="false">Y544-W544</f>
        <v>1394.048</v>
      </c>
      <c r="AA544" s="8" t="n">
        <f aca="false">IF(Y544=0,0,Z544/Y544)</f>
        <v>0.142799310981196</v>
      </c>
      <c r="AB544" s="3" t="str">
        <f aca="false">IF(ABS(V544-Y544)&gt;1,"Mismatch","OK")</f>
        <v>Mismatch</v>
      </c>
      <c r="AC544" s="3" t="str">
        <f aca="false">IF(ABS(X544-Z544)&gt;1,"Mismatch","OK")</f>
        <v>OK</v>
      </c>
      <c r="AD544" s="5" t="n">
        <f aca="false">IF(OR(B544="",C544=""),"",C544-B544)</f>
        <v>6</v>
      </c>
      <c r="AE544" s="3" t="str">
        <f aca="false">IF(AD544="","Unknown",IF(AD544&lt;0,"Invalid - Ship Before Order","OK"))</f>
        <v>OK</v>
      </c>
      <c r="AF544" s="5" t="n">
        <f aca="false">IF(B544="","",MONTH(B544))</f>
        <v>9</v>
      </c>
      <c r="AG544" s="5" t="n">
        <f aca="false">IF(B544="","",YEAR(B544))</f>
        <v>2024</v>
      </c>
      <c r="AH544" s="3" t="s">
        <v>52</v>
      </c>
      <c r="AI544" s="3" t="s">
        <v>93</v>
      </c>
      <c r="AJ544" s="3" t="str">
        <f aca="false">IF(AND(AI544="Completed",AH544="Failed"),"Inconsistent - Completed Order with Failed Payment","OK")</f>
        <v>OK</v>
      </c>
      <c r="AK544" s="3" t="s">
        <v>54</v>
      </c>
      <c r="AL544" s="3" t="str">
        <f aca="false">IF(OR(T544="Negative - Invalid",T544="Above Allowed Range - Invalid",AE544="Invalid - Ship Before Order",AK544&lt;&gt;"Unique",AB544="Mismatch",AC544="Mismatch",AJ544&lt;&gt;"OK"),"Invalid",IF(OR(H544="Yes",O544="Yes",T544="Missing"),"Warning","Clean"))</f>
        <v>Invalid</v>
      </c>
    </row>
    <row r="545" customFormat="false" ht="15" hidden="false" customHeight="true" outlineLevel="0" collapsed="false">
      <c r="A545" s="3" t="s">
        <v>1770</v>
      </c>
      <c r="B545" s="4" t="n">
        <v>45487</v>
      </c>
      <c r="C545" s="4" t="n">
        <v>45493</v>
      </c>
      <c r="D545" s="3" t="s">
        <v>1771</v>
      </c>
      <c r="E545" s="3" t="s">
        <v>57</v>
      </c>
      <c r="F545" s="3" t="s">
        <v>41</v>
      </c>
      <c r="G545" s="3" t="s">
        <v>59</v>
      </c>
      <c r="H545" s="3" t="s">
        <v>43</v>
      </c>
      <c r="I545" s="3" t="s">
        <v>174</v>
      </c>
      <c r="J545" s="3" t="s">
        <v>175</v>
      </c>
      <c r="K545" s="3" t="s">
        <v>99</v>
      </c>
      <c r="L545" s="3" t="s">
        <v>105</v>
      </c>
      <c r="M545" s="3" t="s">
        <v>1772</v>
      </c>
      <c r="N545" s="3" t="s">
        <v>65</v>
      </c>
      <c r="O545" s="3" t="s">
        <v>43</v>
      </c>
      <c r="P545" s="5" t="n">
        <v>1</v>
      </c>
      <c r="Q545" s="6" t="n">
        <v>492.67</v>
      </c>
      <c r="R545" s="3" t="s">
        <v>107</v>
      </c>
      <c r="S545" s="7" t="n">
        <v>0.15</v>
      </c>
      <c r="T545" s="3" t="s">
        <v>51</v>
      </c>
      <c r="U545" s="7" t="n">
        <f aca="false">IF(T545="Valid",S545,0)</f>
        <v>0.15</v>
      </c>
      <c r="V545" s="6" t="n">
        <v>418.77</v>
      </c>
      <c r="W545" s="6" t="n">
        <v>313.72</v>
      </c>
      <c r="X545" s="6" t="n">
        <v>105.05</v>
      </c>
      <c r="Y545" s="6" t="n">
        <f aca="false">P545*Q545*(1-U545)</f>
        <v>418.7695</v>
      </c>
      <c r="Z545" s="6" t="n">
        <f aca="false">Y545-W545</f>
        <v>105.0495</v>
      </c>
      <c r="AA545" s="8" t="n">
        <f aca="false">IF(Y545=0,0,Z545/Y545)</f>
        <v>0.250852796108599</v>
      </c>
      <c r="AB545" s="3" t="str">
        <f aca="false">IF(ABS(V545-Y545)&gt;1,"Mismatch","OK")</f>
        <v>OK</v>
      </c>
      <c r="AC545" s="3" t="str">
        <f aca="false">IF(ABS(X545-Z545)&gt;1,"Mismatch","OK")</f>
        <v>OK</v>
      </c>
      <c r="AD545" s="5" t="n">
        <f aca="false">IF(OR(B545="",C545=""),"",C545-B545)</f>
        <v>6</v>
      </c>
      <c r="AE545" s="3" t="str">
        <f aca="false">IF(AD545="","Unknown",IF(AD545&lt;0,"Invalid - Ship Before Order","OK"))</f>
        <v>OK</v>
      </c>
      <c r="AF545" s="5" t="n">
        <f aca="false">IF(B545="","",MONTH(B545))</f>
        <v>7</v>
      </c>
      <c r="AG545" s="5" t="n">
        <f aca="false">IF(B545="","",YEAR(B545))</f>
        <v>2024</v>
      </c>
      <c r="AH545" s="3" t="s">
        <v>52</v>
      </c>
      <c r="AI545" s="3" t="s">
        <v>53</v>
      </c>
      <c r="AJ545" s="3" t="str">
        <f aca="false">IF(AND(AI545="Completed",AH545="Failed"),"Inconsistent - Completed Order with Failed Payment","OK")</f>
        <v>OK</v>
      </c>
      <c r="AK545" s="3" t="s">
        <v>54</v>
      </c>
      <c r="AL545" s="3" t="str">
        <f aca="false">IF(OR(T545="Negative - Invalid",T545="Above Allowed Range - Invalid",AE545="Invalid - Ship Before Order",AK545&lt;&gt;"Unique",AB545="Mismatch",AC545="Mismatch",AJ545&lt;&gt;"OK"),"Invalid",IF(OR(H545="Yes",O545="Yes",T545="Missing"),"Warning","Clean"))</f>
        <v>Clean</v>
      </c>
    </row>
    <row r="546" customFormat="false" ht="15" hidden="false" customHeight="true" outlineLevel="0" collapsed="false">
      <c r="A546" s="3" t="s">
        <v>1773</v>
      </c>
      <c r="B546" s="4" t="n">
        <v>45686</v>
      </c>
      <c r="C546" s="4" t="n">
        <v>45693</v>
      </c>
      <c r="D546" s="3" t="s">
        <v>1774</v>
      </c>
      <c r="E546" s="3" t="s">
        <v>87</v>
      </c>
      <c r="F546" s="3" t="s">
        <v>41</v>
      </c>
      <c r="G546" s="3" t="s">
        <v>78</v>
      </c>
      <c r="H546" s="3" t="s">
        <v>43</v>
      </c>
      <c r="I546" s="3" t="s">
        <v>216</v>
      </c>
      <c r="J546" s="3" t="s">
        <v>217</v>
      </c>
      <c r="K546" s="3" t="s">
        <v>46</v>
      </c>
      <c r="L546" s="3" t="s">
        <v>70</v>
      </c>
      <c r="M546" s="3" t="s">
        <v>1775</v>
      </c>
      <c r="N546" s="3" t="s">
        <v>65</v>
      </c>
      <c r="O546" s="3" t="s">
        <v>43</v>
      </c>
      <c r="P546" s="5" t="n">
        <v>8</v>
      </c>
      <c r="Q546" s="6" t="n">
        <v>3643.62</v>
      </c>
      <c r="R546" s="3" t="s">
        <v>84</v>
      </c>
      <c r="S546" s="7" t="n">
        <v>0.25</v>
      </c>
      <c r="T546" s="3" t="s">
        <v>51</v>
      </c>
      <c r="U546" s="7" t="n">
        <f aca="false">IF(T546="Valid",S546,0)</f>
        <v>0.25</v>
      </c>
      <c r="V546" s="6" t="n">
        <v>21861.72</v>
      </c>
      <c r="W546" s="6" t="n">
        <v>18464.34</v>
      </c>
      <c r="X546" s="6" t="n">
        <v>3397.38</v>
      </c>
      <c r="Y546" s="6" t="n">
        <f aca="false">P546*Q546*(1-U546)</f>
        <v>21861.72</v>
      </c>
      <c r="Z546" s="6" t="n">
        <f aca="false">Y546-W546</f>
        <v>3397.38</v>
      </c>
      <c r="AA546" s="8" t="n">
        <f aca="false">IF(Y546=0,0,Z546/Y546)</f>
        <v>0.155403143028088</v>
      </c>
      <c r="AB546" s="3" t="str">
        <f aca="false">IF(ABS(V546-Y546)&gt;1,"Mismatch","OK")</f>
        <v>OK</v>
      </c>
      <c r="AC546" s="3" t="str">
        <f aca="false">IF(ABS(X546-Z546)&gt;1,"Mismatch","OK")</f>
        <v>OK</v>
      </c>
      <c r="AD546" s="5" t="n">
        <f aca="false">IF(OR(B546="",C546=""),"",C546-B546)</f>
        <v>7</v>
      </c>
      <c r="AE546" s="3" t="str">
        <f aca="false">IF(AD546="","Unknown",IF(AD546&lt;0,"Invalid - Ship Before Order","OK"))</f>
        <v>OK</v>
      </c>
      <c r="AF546" s="5" t="n">
        <f aca="false">IF(B546="","",MONTH(B546))</f>
        <v>1</v>
      </c>
      <c r="AG546" s="5" t="n">
        <f aca="false">IF(B546="","",YEAR(B546))</f>
        <v>2025</v>
      </c>
      <c r="AH546" s="3" t="s">
        <v>52</v>
      </c>
      <c r="AI546" s="3" t="s">
        <v>93</v>
      </c>
      <c r="AJ546" s="3" t="str">
        <f aca="false">IF(AND(AI546="Completed",AH546="Failed"),"Inconsistent - Completed Order with Failed Payment","OK")</f>
        <v>OK</v>
      </c>
      <c r="AK546" s="3" t="s">
        <v>54</v>
      </c>
      <c r="AL546" s="3" t="str">
        <f aca="false">IF(OR(T546="Negative - Invalid",T546="Above Allowed Range - Invalid",AE546="Invalid - Ship Before Order",AK546&lt;&gt;"Unique",AB546="Mismatch",AC546="Mismatch",AJ546&lt;&gt;"OK"),"Invalid",IF(OR(H546="Yes",O546="Yes",T546="Missing"),"Warning","Clean"))</f>
        <v>Clean</v>
      </c>
    </row>
    <row r="547" customFormat="false" ht="15" hidden="false" customHeight="true" outlineLevel="0" collapsed="false">
      <c r="A547" s="3" t="s">
        <v>1776</v>
      </c>
      <c r="B547" s="4" t="n">
        <v>45439</v>
      </c>
      <c r="C547" s="4" t="n">
        <v>45442</v>
      </c>
      <c r="D547" s="3" t="s">
        <v>1777</v>
      </c>
      <c r="E547" s="3" t="s">
        <v>298</v>
      </c>
      <c r="F547" s="3" t="s">
        <v>58</v>
      </c>
      <c r="G547" s="3" t="s">
        <v>59</v>
      </c>
      <c r="H547" s="3" t="s">
        <v>43</v>
      </c>
      <c r="I547" s="3" t="s">
        <v>262</v>
      </c>
      <c r="J547" s="3" t="s">
        <v>263</v>
      </c>
      <c r="K547" s="3" t="s">
        <v>46</v>
      </c>
      <c r="L547" s="3" t="s">
        <v>151</v>
      </c>
      <c r="M547" s="3" t="s">
        <v>1778</v>
      </c>
      <c r="N547" s="3" t="s">
        <v>65</v>
      </c>
      <c r="O547" s="3" t="s">
        <v>43</v>
      </c>
      <c r="P547" s="5" t="n">
        <v>7</v>
      </c>
      <c r="Q547" s="6" t="n">
        <v>2900.86</v>
      </c>
      <c r="R547" s="3" t="s">
        <v>107</v>
      </c>
      <c r="S547" s="7" t="n">
        <v>0.15</v>
      </c>
      <c r="T547" s="3" t="s">
        <v>51</v>
      </c>
      <c r="U547" s="7" t="n">
        <f aca="false">IF(T547="Valid",S547,0)</f>
        <v>0.15</v>
      </c>
      <c r="V547" s="6" t="n">
        <v>17260.12</v>
      </c>
      <c r="W547" s="6" t="n">
        <v>13513.51</v>
      </c>
      <c r="X547" s="6" t="n">
        <v>3746.61</v>
      </c>
      <c r="Y547" s="6" t="n">
        <f aca="false">P547*Q547*(1-U547)</f>
        <v>17260.117</v>
      </c>
      <c r="Z547" s="6" t="n">
        <f aca="false">Y547-W547</f>
        <v>3746.607</v>
      </c>
      <c r="AA547" s="8" t="n">
        <f aca="false">IF(Y547=0,0,Z547/Y547)</f>
        <v>0.217067300296979</v>
      </c>
      <c r="AB547" s="3" t="str">
        <f aca="false">IF(ABS(V547-Y547)&gt;1,"Mismatch","OK")</f>
        <v>OK</v>
      </c>
      <c r="AC547" s="3" t="str">
        <f aca="false">IF(ABS(X547-Z547)&gt;1,"Mismatch","OK")</f>
        <v>OK</v>
      </c>
      <c r="AD547" s="5" t="n">
        <f aca="false">IF(OR(B547="",C547=""),"",C547-B547)</f>
        <v>3</v>
      </c>
      <c r="AE547" s="3" t="str">
        <f aca="false">IF(AD547="","Unknown",IF(AD547&lt;0,"Invalid - Ship Before Order","OK"))</f>
        <v>OK</v>
      </c>
      <c r="AF547" s="5" t="n">
        <f aca="false">IF(B547="","",MONTH(B547))</f>
        <v>5</v>
      </c>
      <c r="AG547" s="5" t="n">
        <f aca="false">IF(B547="","",YEAR(B547))</f>
        <v>2024</v>
      </c>
      <c r="AH547" s="3" t="s">
        <v>52</v>
      </c>
      <c r="AI547" s="3" t="s">
        <v>53</v>
      </c>
      <c r="AJ547" s="3" t="str">
        <f aca="false">IF(AND(AI547="Completed",AH547="Failed"),"Inconsistent - Completed Order with Failed Payment","OK")</f>
        <v>OK</v>
      </c>
      <c r="AK547" s="3" t="s">
        <v>54</v>
      </c>
      <c r="AL547" s="3" t="str">
        <f aca="false">IF(OR(T547="Negative - Invalid",T547="Above Allowed Range - Invalid",AE547="Invalid - Ship Before Order",AK547&lt;&gt;"Unique",AB547="Mismatch",AC547="Mismatch",AJ547&lt;&gt;"OK"),"Invalid",IF(OR(H547="Yes",O547="Yes",T547="Missing"),"Warning","Clean"))</f>
        <v>Clean</v>
      </c>
    </row>
    <row r="548" customFormat="false" ht="15" hidden="false" customHeight="true" outlineLevel="0" collapsed="false">
      <c r="A548" s="3" t="s">
        <v>1779</v>
      </c>
      <c r="B548" s="4" t="n">
        <v>45883</v>
      </c>
      <c r="C548" s="4" t="n">
        <v>45891</v>
      </c>
      <c r="D548" s="3" t="s">
        <v>1780</v>
      </c>
      <c r="E548" s="3" t="s">
        <v>77</v>
      </c>
      <c r="F548" s="3" t="s">
        <v>116</v>
      </c>
      <c r="G548" s="3" t="s">
        <v>88</v>
      </c>
      <c r="H548" s="3" t="s">
        <v>43</v>
      </c>
      <c r="I548" s="3" t="s">
        <v>211</v>
      </c>
      <c r="J548" s="3" t="s">
        <v>212</v>
      </c>
      <c r="K548" s="3" t="s">
        <v>46</v>
      </c>
      <c r="L548" s="3" t="s">
        <v>47</v>
      </c>
      <c r="M548" s="3" t="s">
        <v>1781</v>
      </c>
      <c r="N548" s="3" t="s">
        <v>72</v>
      </c>
      <c r="O548" s="3" t="s">
        <v>43</v>
      </c>
      <c r="P548" s="5" t="n">
        <v>5</v>
      </c>
      <c r="Q548" s="6" t="n">
        <v>2567.37</v>
      </c>
      <c r="R548" s="3" t="s">
        <v>107</v>
      </c>
      <c r="S548" s="7" t="n">
        <v>0.15</v>
      </c>
      <c r="T548" s="3" t="s">
        <v>51</v>
      </c>
      <c r="U548" s="7" t="n">
        <f aca="false">IF(T548="Valid",S548,0)</f>
        <v>0.15</v>
      </c>
      <c r="V548" s="6" t="n">
        <v>10911.32</v>
      </c>
      <c r="W548" s="6" t="n">
        <v>6966.44</v>
      </c>
      <c r="X548" s="6" t="n">
        <v>4395.17</v>
      </c>
      <c r="Y548" s="6" t="n">
        <f aca="false">P548*Q548*(1-U548)</f>
        <v>10911.3225</v>
      </c>
      <c r="Z548" s="6" t="n">
        <f aca="false">Y548-W548</f>
        <v>3944.8825</v>
      </c>
      <c r="AA548" s="8" t="n">
        <f aca="false">IF(Y548=0,0,Z548/Y548)</f>
        <v>0.361540271584861</v>
      </c>
      <c r="AB548" s="3" t="str">
        <f aca="false">IF(ABS(V548-Y548)&gt;1,"Mismatch","OK")</f>
        <v>OK</v>
      </c>
      <c r="AC548" s="3" t="str">
        <f aca="false">IF(ABS(X548-Z548)&gt;1,"Mismatch","OK")</f>
        <v>Mismatch</v>
      </c>
      <c r="AD548" s="5" t="n">
        <f aca="false">IF(OR(B548="",C548=""),"",C548-B548)</f>
        <v>8</v>
      </c>
      <c r="AE548" s="3" t="str">
        <f aca="false">IF(AD548="","Unknown",IF(AD548&lt;0,"Invalid - Ship Before Order","OK"))</f>
        <v>OK</v>
      </c>
      <c r="AF548" s="5" t="n">
        <f aca="false">IF(B548="","",MONTH(B548))</f>
        <v>8</v>
      </c>
      <c r="AG548" s="5" t="n">
        <f aca="false">IF(B548="","",YEAR(B548))</f>
        <v>2025</v>
      </c>
      <c r="AH548" s="3" t="s">
        <v>52</v>
      </c>
      <c r="AI548" s="3" t="s">
        <v>53</v>
      </c>
      <c r="AJ548" s="3" t="str">
        <f aca="false">IF(AND(AI548="Completed",AH548="Failed"),"Inconsistent - Completed Order with Failed Payment","OK")</f>
        <v>OK</v>
      </c>
      <c r="AK548" s="3" t="s">
        <v>54</v>
      </c>
      <c r="AL548" s="3" t="str">
        <f aca="false">IF(OR(T548="Negative - Invalid",T548="Above Allowed Range - Invalid",AE548="Invalid - Ship Before Order",AK548&lt;&gt;"Unique",AB548="Mismatch",AC548="Mismatch",AJ548&lt;&gt;"OK"),"Invalid",IF(OR(H548="Yes",O548="Yes",T548="Missing"),"Warning","Clean"))</f>
        <v>Invalid</v>
      </c>
    </row>
    <row r="549" customFormat="false" ht="15" hidden="false" customHeight="true" outlineLevel="0" collapsed="false">
      <c r="A549" s="3" t="s">
        <v>1782</v>
      </c>
      <c r="B549" s="4" t="n">
        <v>45428</v>
      </c>
      <c r="C549" s="4" t="n">
        <v>45435</v>
      </c>
      <c r="D549" s="3" t="s">
        <v>1783</v>
      </c>
      <c r="E549" s="3" t="s">
        <v>104</v>
      </c>
      <c r="F549" s="3" t="s">
        <v>58</v>
      </c>
      <c r="G549" s="3" t="s">
        <v>42</v>
      </c>
      <c r="H549" s="3" t="s">
        <v>43</v>
      </c>
      <c r="I549" s="3" t="s">
        <v>163</v>
      </c>
      <c r="J549" s="3" t="s">
        <v>164</v>
      </c>
      <c r="K549" s="3" t="s">
        <v>99</v>
      </c>
      <c r="L549" s="3" t="s">
        <v>105</v>
      </c>
      <c r="M549" s="3" t="s">
        <v>1784</v>
      </c>
      <c r="N549" s="3" t="s">
        <v>83</v>
      </c>
      <c r="O549" s="3" t="s">
        <v>43</v>
      </c>
      <c r="P549" s="5" t="n">
        <v>9</v>
      </c>
      <c r="Q549" s="6" t="n">
        <v>3722.09</v>
      </c>
      <c r="R549" s="3" t="s">
        <v>203</v>
      </c>
      <c r="S549" s="7" t="n">
        <v>0.1</v>
      </c>
      <c r="T549" s="3" t="s">
        <v>51</v>
      </c>
      <c r="U549" s="7" t="n">
        <f aca="false">IF(T549="Valid",S549,0)</f>
        <v>0.1</v>
      </c>
      <c r="V549" s="6" t="n">
        <v>30148.93</v>
      </c>
      <c r="W549" s="6" t="n">
        <v>25155.07</v>
      </c>
      <c r="X549" s="6" t="n">
        <v>4993.86</v>
      </c>
      <c r="Y549" s="6" t="n">
        <f aca="false">P549*Q549*(1-U549)</f>
        <v>30148.929</v>
      </c>
      <c r="Z549" s="6" t="n">
        <f aca="false">Y549-W549</f>
        <v>4993.859</v>
      </c>
      <c r="AA549" s="8" t="n">
        <f aca="false">IF(Y549=0,0,Z549/Y549)</f>
        <v>0.165639681595323</v>
      </c>
      <c r="AB549" s="3" t="str">
        <f aca="false">IF(ABS(V549-Y549)&gt;1,"Mismatch","OK")</f>
        <v>OK</v>
      </c>
      <c r="AC549" s="3" t="str">
        <f aca="false">IF(ABS(X549-Z549)&gt;1,"Mismatch","OK")</f>
        <v>OK</v>
      </c>
      <c r="AD549" s="5" t="n">
        <f aca="false">IF(OR(B549="",C549=""),"",C549-B549)</f>
        <v>7</v>
      </c>
      <c r="AE549" s="3" t="str">
        <f aca="false">IF(AD549="","Unknown",IF(AD549&lt;0,"Invalid - Ship Before Order","OK"))</f>
        <v>OK</v>
      </c>
      <c r="AF549" s="5" t="n">
        <f aca="false">IF(B549="","",MONTH(B549))</f>
        <v>5</v>
      </c>
      <c r="AG549" s="5" t="n">
        <f aca="false">IF(B549="","",YEAR(B549))</f>
        <v>2024</v>
      </c>
      <c r="AH549" s="3" t="s">
        <v>52</v>
      </c>
      <c r="AI549" s="3" t="s">
        <v>53</v>
      </c>
      <c r="AJ549" s="3" t="str">
        <f aca="false">IF(AND(AI549="Completed",AH549="Failed"),"Inconsistent - Completed Order with Failed Payment","OK")</f>
        <v>OK</v>
      </c>
      <c r="AK549" s="3" t="s">
        <v>54</v>
      </c>
      <c r="AL549" s="3" t="str">
        <f aca="false">IF(OR(T549="Negative - Invalid",T549="Above Allowed Range - Invalid",AE549="Invalid - Ship Before Order",AK549&lt;&gt;"Unique",AB549="Mismatch",AC549="Mismatch",AJ549&lt;&gt;"OK"),"Invalid",IF(OR(H549="Yes",O549="Yes",T549="Missing"),"Warning","Clean"))</f>
        <v>Clean</v>
      </c>
    </row>
    <row r="550" customFormat="false" ht="15" hidden="false" customHeight="true" outlineLevel="0" collapsed="false">
      <c r="A550" s="3" t="s">
        <v>1785</v>
      </c>
      <c r="B550" s="4" t="n">
        <v>45441</v>
      </c>
      <c r="C550" s="4" t="n">
        <v>45441</v>
      </c>
      <c r="D550" s="3" t="s">
        <v>1786</v>
      </c>
      <c r="E550" s="3" t="s">
        <v>168</v>
      </c>
      <c r="F550" s="3" t="s">
        <v>116</v>
      </c>
      <c r="G550" s="3" t="s">
        <v>59</v>
      </c>
      <c r="H550" s="3" t="s">
        <v>43</v>
      </c>
      <c r="I550" s="3" t="s">
        <v>174</v>
      </c>
      <c r="J550" s="3" t="s">
        <v>175</v>
      </c>
      <c r="K550" s="3" t="s">
        <v>62</v>
      </c>
      <c r="L550" s="3" t="s">
        <v>188</v>
      </c>
      <c r="M550" s="3" t="s">
        <v>1787</v>
      </c>
      <c r="N550" s="3" t="s">
        <v>65</v>
      </c>
      <c r="O550" s="3" t="s">
        <v>43</v>
      </c>
      <c r="P550" s="5" t="n">
        <v>1</v>
      </c>
      <c r="Q550" s="6" t="n">
        <v>1072.01</v>
      </c>
      <c r="R550" s="3" t="s">
        <v>66</v>
      </c>
      <c r="S550" s="7" t="n">
        <v>0</v>
      </c>
      <c r="T550" s="3" t="s">
        <v>51</v>
      </c>
      <c r="U550" s="7" t="n">
        <f aca="false">IF(T550="Valid",S550,0)</f>
        <v>0</v>
      </c>
      <c r="V550" s="6" t="n">
        <v>1072.01</v>
      </c>
      <c r="W550" s="6" t="n">
        <v>852.62</v>
      </c>
      <c r="X550" s="6" t="n">
        <v>219.39</v>
      </c>
      <c r="Y550" s="6" t="n">
        <f aca="false">P550*Q550*(1-U550)</f>
        <v>1072.01</v>
      </c>
      <c r="Z550" s="6" t="n">
        <f aca="false">Y550-W550</f>
        <v>219.39</v>
      </c>
      <c r="AA550" s="8" t="n">
        <f aca="false">IF(Y550=0,0,Z550/Y550)</f>
        <v>0.20465294167032</v>
      </c>
      <c r="AB550" s="3" t="str">
        <f aca="false">IF(ABS(V550-Y550)&gt;1,"Mismatch","OK")</f>
        <v>OK</v>
      </c>
      <c r="AC550" s="3" t="str">
        <f aca="false">IF(ABS(X550-Z550)&gt;1,"Mismatch","OK")</f>
        <v>OK</v>
      </c>
      <c r="AD550" s="5" t="n">
        <f aca="false">IF(OR(B550="",C550=""),"",C550-B550)</f>
        <v>0</v>
      </c>
      <c r="AE550" s="3" t="str">
        <f aca="false">IF(AD550="","Unknown",IF(AD550&lt;0,"Invalid - Ship Before Order","OK"))</f>
        <v>OK</v>
      </c>
      <c r="AF550" s="5" t="n">
        <f aca="false">IF(B550="","",MONTH(B550))</f>
        <v>5</v>
      </c>
      <c r="AG550" s="5" t="n">
        <f aca="false">IF(B550="","",YEAR(B550))</f>
        <v>2024</v>
      </c>
      <c r="AH550" s="3" t="s">
        <v>138</v>
      </c>
      <c r="AI550" s="3" t="s">
        <v>93</v>
      </c>
      <c r="AJ550" s="3" t="str">
        <f aca="false">IF(AND(AI550="Completed",AH550="Failed"),"Inconsistent - Completed Order with Failed Payment","OK")</f>
        <v>OK</v>
      </c>
      <c r="AK550" s="3" t="s">
        <v>54</v>
      </c>
      <c r="AL550" s="3" t="str">
        <f aca="false">IF(OR(T550="Negative - Invalid",T550="Above Allowed Range - Invalid",AE550="Invalid - Ship Before Order",AK550&lt;&gt;"Unique",AB550="Mismatch",AC550="Mismatch",AJ550&lt;&gt;"OK"),"Invalid",IF(OR(H550="Yes",O550="Yes",T550="Missing"),"Warning","Clean"))</f>
        <v>Clean</v>
      </c>
    </row>
    <row r="551" customFormat="false" ht="15" hidden="false" customHeight="true" outlineLevel="0" collapsed="false">
      <c r="A551" s="3" t="s">
        <v>1788</v>
      </c>
      <c r="B551" s="4" t="n">
        <v>45941</v>
      </c>
      <c r="C551" s="4" t="n">
        <v>45943</v>
      </c>
      <c r="D551" s="3" t="s">
        <v>1789</v>
      </c>
      <c r="E551" s="3" t="s">
        <v>57</v>
      </c>
      <c r="F551" s="3" t="s">
        <v>116</v>
      </c>
      <c r="G551" s="3" t="s">
        <v>78</v>
      </c>
      <c r="H551" s="3" t="s">
        <v>43</v>
      </c>
      <c r="I551" s="3" t="s">
        <v>79</v>
      </c>
      <c r="J551" s="3" t="s">
        <v>80</v>
      </c>
      <c r="K551" s="3" t="s">
        <v>46</v>
      </c>
      <c r="L551" s="3" t="s">
        <v>70</v>
      </c>
      <c r="M551" s="3" t="s">
        <v>1790</v>
      </c>
      <c r="N551" s="3" t="s">
        <v>49</v>
      </c>
      <c r="O551" s="3" t="s">
        <v>43</v>
      </c>
      <c r="P551" s="5" t="n">
        <v>3</v>
      </c>
      <c r="Q551" s="6" t="n">
        <v>3804.27</v>
      </c>
      <c r="R551" s="3" t="s">
        <v>203</v>
      </c>
      <c r="S551" s="7" t="n">
        <v>0.1</v>
      </c>
      <c r="T551" s="3" t="s">
        <v>51</v>
      </c>
      <c r="U551" s="7" t="n">
        <f aca="false">IF(T551="Valid",S551,0)</f>
        <v>0.1</v>
      </c>
      <c r="V551" s="6" t="n">
        <v>10271.53</v>
      </c>
      <c r="W551" s="6" t="n">
        <v>8272.24</v>
      </c>
      <c r="X551" s="6" t="n">
        <v>1999.29</v>
      </c>
      <c r="Y551" s="6" t="n">
        <f aca="false">P551*Q551*(1-U551)</f>
        <v>10271.529</v>
      </c>
      <c r="Z551" s="6" t="n">
        <f aca="false">Y551-W551</f>
        <v>1999.289</v>
      </c>
      <c r="AA551" s="8" t="n">
        <f aca="false">IF(Y551=0,0,Z551/Y551)</f>
        <v>0.19464375751653</v>
      </c>
      <c r="AB551" s="3" t="str">
        <f aca="false">IF(ABS(V551-Y551)&gt;1,"Mismatch","OK")</f>
        <v>OK</v>
      </c>
      <c r="AC551" s="3" t="str">
        <f aca="false">IF(ABS(X551-Z551)&gt;1,"Mismatch","OK")</f>
        <v>OK</v>
      </c>
      <c r="AD551" s="5" t="n">
        <f aca="false">IF(OR(B551="",C551=""),"",C551-B551)</f>
        <v>2</v>
      </c>
      <c r="AE551" s="3" t="str">
        <f aca="false">IF(AD551="","Unknown",IF(AD551&lt;0,"Invalid - Ship Before Order","OK"))</f>
        <v>OK</v>
      </c>
      <c r="AF551" s="5" t="n">
        <f aca="false">IF(B551="","",MONTH(B551))</f>
        <v>10</v>
      </c>
      <c r="AG551" s="5" t="n">
        <f aca="false">IF(B551="","",YEAR(B551))</f>
        <v>2025</v>
      </c>
      <c r="AH551" s="3" t="s">
        <v>52</v>
      </c>
      <c r="AI551" s="3" t="s">
        <v>53</v>
      </c>
      <c r="AJ551" s="3" t="str">
        <f aca="false">IF(AND(AI551="Completed",AH551="Failed"),"Inconsistent - Completed Order with Failed Payment","OK")</f>
        <v>OK</v>
      </c>
      <c r="AK551" s="3" t="s">
        <v>54</v>
      </c>
      <c r="AL551" s="3" t="str">
        <f aca="false">IF(OR(T551="Negative - Invalid",T551="Above Allowed Range - Invalid",AE551="Invalid - Ship Before Order",AK551&lt;&gt;"Unique",AB551="Mismatch",AC551="Mismatch",AJ551&lt;&gt;"OK"),"Invalid",IF(OR(H551="Yes",O551="Yes",T551="Missing"),"Warning","Clean"))</f>
        <v>Clean</v>
      </c>
    </row>
    <row r="552" customFormat="false" ht="15" hidden="false" customHeight="true" outlineLevel="0" collapsed="false">
      <c r="A552" s="3" t="s">
        <v>1791</v>
      </c>
      <c r="B552" s="4" t="n">
        <v>45506</v>
      </c>
      <c r="C552" s="4" t="n">
        <v>45514</v>
      </c>
      <c r="D552" s="3" t="s">
        <v>1792</v>
      </c>
      <c r="E552" s="3" t="s">
        <v>57</v>
      </c>
      <c r="F552" s="3" t="s">
        <v>121</v>
      </c>
      <c r="G552" s="3" t="s">
        <v>59</v>
      </c>
      <c r="H552" s="3" t="s">
        <v>43</v>
      </c>
      <c r="I552" s="3" t="s">
        <v>60</v>
      </c>
      <c r="J552" s="3" t="s">
        <v>61</v>
      </c>
      <c r="K552" s="3" t="s">
        <v>99</v>
      </c>
      <c r="L552" s="3" t="s">
        <v>100</v>
      </c>
      <c r="M552" s="3" t="s">
        <v>1793</v>
      </c>
      <c r="N552" s="3" t="s">
        <v>83</v>
      </c>
      <c r="O552" s="3" t="s">
        <v>43</v>
      </c>
      <c r="P552" s="5" t="n">
        <v>6</v>
      </c>
      <c r="Q552" s="6" t="n">
        <v>2126.44</v>
      </c>
      <c r="R552" s="3" t="s">
        <v>50</v>
      </c>
      <c r="S552" s="7" t="n">
        <v>0.2</v>
      </c>
      <c r="T552" s="3" t="s">
        <v>51</v>
      </c>
      <c r="U552" s="7" t="n">
        <f aca="false">IF(T552="Valid",S552,0)</f>
        <v>0.2</v>
      </c>
      <c r="V552" s="6" t="n">
        <v>10206.91</v>
      </c>
      <c r="W552" s="6" t="n">
        <v>6764.53</v>
      </c>
      <c r="X552" s="6" t="n">
        <v>3442.38</v>
      </c>
      <c r="Y552" s="6" t="n">
        <f aca="false">P552*Q552*(1-U552)</f>
        <v>10206.912</v>
      </c>
      <c r="Z552" s="6" t="n">
        <f aca="false">Y552-W552</f>
        <v>3442.382</v>
      </c>
      <c r="AA552" s="8" t="n">
        <f aca="false">IF(Y552=0,0,Z552/Y552)</f>
        <v>0.33725988820125</v>
      </c>
      <c r="AB552" s="3" t="str">
        <f aca="false">IF(ABS(V552-Y552)&gt;1,"Mismatch","OK")</f>
        <v>OK</v>
      </c>
      <c r="AC552" s="3" t="str">
        <f aca="false">IF(ABS(X552-Z552)&gt;1,"Mismatch","OK")</f>
        <v>OK</v>
      </c>
      <c r="AD552" s="5" t="n">
        <f aca="false">IF(OR(B552="",C552=""),"",C552-B552)</f>
        <v>8</v>
      </c>
      <c r="AE552" s="3" t="str">
        <f aca="false">IF(AD552="","Unknown",IF(AD552&lt;0,"Invalid - Ship Before Order","OK"))</f>
        <v>OK</v>
      </c>
      <c r="AF552" s="5" t="n">
        <f aca="false">IF(B552="","",MONTH(B552))</f>
        <v>8</v>
      </c>
      <c r="AG552" s="5" t="n">
        <f aca="false">IF(B552="","",YEAR(B552))</f>
        <v>2024</v>
      </c>
      <c r="AH552" s="3" t="s">
        <v>52</v>
      </c>
      <c r="AI552" s="3" t="s">
        <v>53</v>
      </c>
      <c r="AJ552" s="3" t="str">
        <f aca="false">IF(AND(AI552="Completed",AH552="Failed"),"Inconsistent - Completed Order with Failed Payment","OK")</f>
        <v>OK</v>
      </c>
      <c r="AK552" s="3" t="s">
        <v>54</v>
      </c>
      <c r="AL552" s="3" t="str">
        <f aca="false">IF(OR(T552="Negative - Invalid",T552="Above Allowed Range - Invalid",AE552="Invalid - Ship Before Order",AK552&lt;&gt;"Unique",AB552="Mismatch",AC552="Mismatch",AJ552&lt;&gt;"OK"),"Invalid",IF(OR(H552="Yes",O552="Yes",T552="Missing"),"Warning","Clean"))</f>
        <v>Clean</v>
      </c>
    </row>
    <row r="553" customFormat="false" ht="15" hidden="false" customHeight="true" outlineLevel="0" collapsed="false">
      <c r="A553" s="3" t="s">
        <v>1794</v>
      </c>
      <c r="B553" s="4" t="n">
        <v>45349</v>
      </c>
      <c r="C553" s="4" t="n">
        <v>45349</v>
      </c>
      <c r="D553" s="3" t="s">
        <v>1795</v>
      </c>
      <c r="E553" s="3" t="s">
        <v>159</v>
      </c>
      <c r="F553" s="3" t="s">
        <v>41</v>
      </c>
      <c r="G553" s="3" t="s">
        <v>59</v>
      </c>
      <c r="H553" s="3" t="s">
        <v>43</v>
      </c>
      <c r="I553" s="3" t="s">
        <v>262</v>
      </c>
      <c r="J553" s="3" t="s">
        <v>263</v>
      </c>
      <c r="K553" s="3" t="s">
        <v>62</v>
      </c>
      <c r="L553" s="3" t="s">
        <v>91</v>
      </c>
      <c r="M553" s="3" t="s">
        <v>1796</v>
      </c>
      <c r="N553" s="3" t="s">
        <v>49</v>
      </c>
      <c r="O553" s="3" t="s">
        <v>43</v>
      </c>
      <c r="P553" s="5" t="n">
        <v>3</v>
      </c>
      <c r="Q553" s="6" t="n">
        <v>3148.09</v>
      </c>
      <c r="R553" s="3" t="s">
        <v>107</v>
      </c>
      <c r="S553" s="7" t="n">
        <v>0.15</v>
      </c>
      <c r="T553" s="3" t="s">
        <v>51</v>
      </c>
      <c r="U553" s="7" t="n">
        <f aca="false">IF(T553="Valid",S553,0)</f>
        <v>0.15</v>
      </c>
      <c r="V553" s="6" t="n">
        <v>8027.63</v>
      </c>
      <c r="W553" s="6" t="n">
        <v>5496.09</v>
      </c>
      <c r="X553" s="6" t="n">
        <v>2531.54</v>
      </c>
      <c r="Y553" s="6" t="n">
        <f aca="false">P553*Q553*(1-U553)</f>
        <v>8027.6295</v>
      </c>
      <c r="Z553" s="6" t="n">
        <f aca="false">Y553-W553</f>
        <v>2531.5395</v>
      </c>
      <c r="AA553" s="8" t="n">
        <f aca="false">IF(Y553=0,0,Z553/Y553)</f>
        <v>0.315353305729917</v>
      </c>
      <c r="AB553" s="3" t="str">
        <f aca="false">IF(ABS(V553-Y553)&gt;1,"Mismatch","OK")</f>
        <v>OK</v>
      </c>
      <c r="AC553" s="3" t="str">
        <f aca="false">IF(ABS(X553-Z553)&gt;1,"Mismatch","OK")</f>
        <v>OK</v>
      </c>
      <c r="AD553" s="5" t="n">
        <f aca="false">IF(OR(B553="",C553=""),"",C553-B553)</f>
        <v>0</v>
      </c>
      <c r="AE553" s="3" t="str">
        <f aca="false">IF(AD553="","Unknown",IF(AD553&lt;0,"Invalid - Ship Before Order","OK"))</f>
        <v>OK</v>
      </c>
      <c r="AF553" s="5" t="n">
        <f aca="false">IF(B553="","",MONTH(B553))</f>
        <v>2</v>
      </c>
      <c r="AG553" s="5" t="n">
        <f aca="false">IF(B553="","",YEAR(B553))</f>
        <v>2024</v>
      </c>
      <c r="AH553" s="3" t="s">
        <v>52</v>
      </c>
      <c r="AI553" s="3" t="s">
        <v>53</v>
      </c>
      <c r="AJ553" s="3" t="str">
        <f aca="false">IF(AND(AI553="Completed",AH553="Failed"),"Inconsistent - Completed Order with Failed Payment","OK")</f>
        <v>OK</v>
      </c>
      <c r="AK553" s="3" t="s">
        <v>54</v>
      </c>
      <c r="AL553" s="3" t="str">
        <f aca="false">IF(OR(T553="Negative - Invalid",T553="Above Allowed Range - Invalid",AE553="Invalid - Ship Before Order",AK553&lt;&gt;"Unique",AB553="Mismatch",AC553="Mismatch",AJ553&lt;&gt;"OK"),"Invalid",IF(OR(H553="Yes",O553="Yes",T553="Missing"),"Warning","Clean"))</f>
        <v>Clean</v>
      </c>
    </row>
    <row r="554" customFormat="false" ht="15" hidden="false" customHeight="true" outlineLevel="0" collapsed="false">
      <c r="A554" s="3" t="s">
        <v>1797</v>
      </c>
      <c r="B554" s="4" t="n">
        <v>45681</v>
      </c>
      <c r="C554" s="4" t="n">
        <v>45687</v>
      </c>
      <c r="D554" s="3" t="s">
        <v>1798</v>
      </c>
      <c r="E554" s="3" t="s">
        <v>87</v>
      </c>
      <c r="F554" s="3" t="s">
        <v>116</v>
      </c>
      <c r="G554" s="3" t="s">
        <v>59</v>
      </c>
      <c r="H554" s="3" t="s">
        <v>43</v>
      </c>
      <c r="I554" s="3" t="s">
        <v>125</v>
      </c>
      <c r="J554" s="3" t="s">
        <v>126</v>
      </c>
      <c r="K554" s="3" t="s">
        <v>99</v>
      </c>
      <c r="L554" s="3" t="s">
        <v>105</v>
      </c>
      <c r="M554" s="3" t="s">
        <v>1799</v>
      </c>
      <c r="N554" s="3" t="s">
        <v>83</v>
      </c>
      <c r="O554" s="3" t="s">
        <v>43</v>
      </c>
      <c r="P554" s="5" t="n">
        <v>8</v>
      </c>
      <c r="Q554" s="6" t="n">
        <v>312.53</v>
      </c>
      <c r="R554" s="3" t="s">
        <v>499</v>
      </c>
      <c r="S554" s="7" t="n">
        <v>0.7</v>
      </c>
      <c r="T554" s="3" t="s">
        <v>74</v>
      </c>
      <c r="U554" s="7" t="n">
        <f aca="false">IF(T554="Valid",S554,0)</f>
        <v>0</v>
      </c>
      <c r="V554" s="6" t="n">
        <v>1875.18</v>
      </c>
      <c r="W554" s="6" t="n">
        <v>1579.17</v>
      </c>
      <c r="X554" s="6" t="n">
        <v>296.01</v>
      </c>
      <c r="Y554" s="6" t="n">
        <f aca="false">P554*Q554*(1-U554)</f>
        <v>2500.24</v>
      </c>
      <c r="Z554" s="6" t="n">
        <f aca="false">Y554-W554</f>
        <v>921.07</v>
      </c>
      <c r="AA554" s="8" t="n">
        <f aca="false">IF(Y554=0,0,Z554/Y554)</f>
        <v>0.368392634307106</v>
      </c>
      <c r="AB554" s="3" t="str">
        <f aca="false">IF(ABS(V554-Y554)&gt;1,"Mismatch","OK")</f>
        <v>Mismatch</v>
      </c>
      <c r="AC554" s="3" t="str">
        <f aca="false">IF(ABS(X554-Z554)&gt;1,"Mismatch","OK")</f>
        <v>Mismatch</v>
      </c>
      <c r="AD554" s="5" t="n">
        <f aca="false">IF(OR(B554="",C554=""),"",C554-B554)</f>
        <v>6</v>
      </c>
      <c r="AE554" s="3" t="str">
        <f aca="false">IF(AD554="","Unknown",IF(AD554&lt;0,"Invalid - Ship Before Order","OK"))</f>
        <v>OK</v>
      </c>
      <c r="AF554" s="5" t="n">
        <f aca="false">IF(B554="","",MONTH(B554))</f>
        <v>1</v>
      </c>
      <c r="AG554" s="5" t="n">
        <f aca="false">IF(B554="","",YEAR(B554))</f>
        <v>2025</v>
      </c>
      <c r="AH554" s="3" t="s">
        <v>52</v>
      </c>
      <c r="AI554" s="3" t="s">
        <v>53</v>
      </c>
      <c r="AJ554" s="3" t="str">
        <f aca="false">IF(AND(AI554="Completed",AH554="Failed"),"Inconsistent - Completed Order with Failed Payment","OK")</f>
        <v>OK</v>
      </c>
      <c r="AK554" s="3" t="s">
        <v>54</v>
      </c>
      <c r="AL554" s="3" t="str">
        <f aca="false">IF(OR(T554="Negative - Invalid",T554="Above Allowed Range - Invalid",AE554="Invalid - Ship Before Order",AK554&lt;&gt;"Unique",AB554="Mismatch",AC554="Mismatch",AJ554&lt;&gt;"OK"),"Invalid",IF(OR(H554="Yes",O554="Yes",T554="Missing"),"Warning","Clean"))</f>
        <v>Invalid</v>
      </c>
    </row>
    <row r="555" customFormat="false" ht="15" hidden="false" customHeight="true" outlineLevel="0" collapsed="false">
      <c r="A555" s="3" t="s">
        <v>1800</v>
      </c>
      <c r="B555" s="4" t="n">
        <v>45772</v>
      </c>
      <c r="C555" s="4" t="n">
        <v>45775</v>
      </c>
      <c r="D555" s="3" t="s">
        <v>1801</v>
      </c>
      <c r="E555" s="3" t="s">
        <v>155</v>
      </c>
      <c r="F555" s="3" t="s">
        <v>58</v>
      </c>
      <c r="G555" s="3" t="s">
        <v>88</v>
      </c>
      <c r="H555" s="3" t="s">
        <v>43</v>
      </c>
      <c r="I555" s="3" t="s">
        <v>211</v>
      </c>
      <c r="J555" s="3" t="s">
        <v>212</v>
      </c>
      <c r="K555" s="3" t="s">
        <v>46</v>
      </c>
      <c r="L555" s="3" t="s">
        <v>151</v>
      </c>
      <c r="M555" s="3" t="s">
        <v>1802</v>
      </c>
      <c r="N555" s="3" t="s">
        <v>72</v>
      </c>
      <c r="O555" s="3" t="s">
        <v>43</v>
      </c>
      <c r="P555" s="5" t="n">
        <v>9</v>
      </c>
      <c r="Q555" s="6" t="n">
        <v>1294.11</v>
      </c>
      <c r="R555" s="3" t="s">
        <v>84</v>
      </c>
      <c r="S555" s="7" t="n">
        <v>0.25</v>
      </c>
      <c r="T555" s="3" t="s">
        <v>51</v>
      </c>
      <c r="U555" s="7" t="n">
        <f aca="false">IF(T555="Valid",S555,0)</f>
        <v>0.25</v>
      </c>
      <c r="V555" s="6" t="n">
        <v>8735.24</v>
      </c>
      <c r="W555" s="6" t="n">
        <v>6620.07</v>
      </c>
      <c r="X555" s="6" t="n">
        <v>2115.17</v>
      </c>
      <c r="Y555" s="6" t="n">
        <f aca="false">P555*Q555*(1-U555)</f>
        <v>8735.2425</v>
      </c>
      <c r="Z555" s="6" t="n">
        <f aca="false">Y555-W555</f>
        <v>2115.1725</v>
      </c>
      <c r="AA555" s="8" t="n">
        <f aca="false">IF(Y555=0,0,Z555/Y555)</f>
        <v>0.242142390437358</v>
      </c>
      <c r="AB555" s="3" t="str">
        <f aca="false">IF(ABS(V555-Y555)&gt;1,"Mismatch","OK")</f>
        <v>OK</v>
      </c>
      <c r="AC555" s="3" t="str">
        <f aca="false">IF(ABS(X555-Z555)&gt;1,"Mismatch","OK")</f>
        <v>OK</v>
      </c>
      <c r="AD555" s="5" t="n">
        <f aca="false">IF(OR(B555="",C555=""),"",C555-B555)</f>
        <v>3</v>
      </c>
      <c r="AE555" s="3" t="str">
        <f aca="false">IF(AD555="","Unknown",IF(AD555&lt;0,"Invalid - Ship Before Order","OK"))</f>
        <v>OK</v>
      </c>
      <c r="AF555" s="5" t="n">
        <f aca="false">IF(B555="","",MONTH(B555))</f>
        <v>4</v>
      </c>
      <c r="AG555" s="5" t="n">
        <f aca="false">IF(B555="","",YEAR(B555))</f>
        <v>2025</v>
      </c>
      <c r="AH555" s="3" t="s">
        <v>52</v>
      </c>
      <c r="AI555" s="3" t="s">
        <v>53</v>
      </c>
      <c r="AJ555" s="3" t="str">
        <f aca="false">IF(AND(AI555="Completed",AH555="Failed"),"Inconsistent - Completed Order with Failed Payment","OK")</f>
        <v>OK</v>
      </c>
      <c r="AK555" s="3" t="s">
        <v>54</v>
      </c>
      <c r="AL555" s="3" t="str">
        <f aca="false">IF(OR(T555="Negative - Invalid",T555="Above Allowed Range - Invalid",AE555="Invalid - Ship Before Order",AK555&lt;&gt;"Unique",AB555="Mismatch",AC555="Mismatch",AJ555&lt;&gt;"OK"),"Invalid",IF(OR(H555="Yes",O555="Yes",T555="Missing"),"Warning","Clean"))</f>
        <v>Clean</v>
      </c>
    </row>
    <row r="556" customFormat="false" ht="15" hidden="false" customHeight="true" outlineLevel="0" collapsed="false">
      <c r="A556" s="3" t="s">
        <v>1803</v>
      </c>
      <c r="B556" s="4" t="n">
        <v>45577</v>
      </c>
      <c r="C556" s="4" t="n">
        <v>45582</v>
      </c>
      <c r="D556" s="3" t="s">
        <v>1804</v>
      </c>
      <c r="E556" s="3" t="s">
        <v>77</v>
      </c>
      <c r="F556" s="3" t="s">
        <v>41</v>
      </c>
      <c r="G556" s="3" t="s">
        <v>237</v>
      </c>
      <c r="H556" s="3" t="s">
        <v>238</v>
      </c>
      <c r="I556" s="3" t="s">
        <v>262</v>
      </c>
      <c r="J556" s="3" t="s">
        <v>263</v>
      </c>
      <c r="K556" s="3" t="s">
        <v>62</v>
      </c>
      <c r="L556" s="3" t="s">
        <v>81</v>
      </c>
      <c r="M556" s="3" t="s">
        <v>1805</v>
      </c>
      <c r="N556" s="3" t="s">
        <v>83</v>
      </c>
      <c r="O556" s="3" t="s">
        <v>43</v>
      </c>
      <c r="P556" s="5" t="n">
        <v>4</v>
      </c>
      <c r="Q556" s="6" t="n">
        <v>1071.22</v>
      </c>
      <c r="R556" s="3" t="s">
        <v>128</v>
      </c>
      <c r="S556" s="7" t="n">
        <v>0.05</v>
      </c>
      <c r="T556" s="3" t="s">
        <v>51</v>
      </c>
      <c r="U556" s="7" t="n">
        <f aca="false">IF(T556="Valid",S556,0)</f>
        <v>0.05</v>
      </c>
      <c r="V556" s="6" t="n">
        <v>4070.64</v>
      </c>
      <c r="W556" s="6" t="n">
        <v>2831.62</v>
      </c>
      <c r="X556" s="6" t="n">
        <v>1239.02</v>
      </c>
      <c r="Y556" s="6" t="n">
        <f aca="false">P556*Q556*(1-U556)</f>
        <v>4070.636</v>
      </c>
      <c r="Z556" s="6" t="n">
        <f aca="false">Y556-W556</f>
        <v>1239.016</v>
      </c>
      <c r="AA556" s="8" t="n">
        <f aca="false">IF(Y556=0,0,Z556/Y556)</f>
        <v>0.304378971738077</v>
      </c>
      <c r="AB556" s="3" t="str">
        <f aca="false">IF(ABS(V556-Y556)&gt;1,"Mismatch","OK")</f>
        <v>OK</v>
      </c>
      <c r="AC556" s="3" t="str">
        <f aca="false">IF(ABS(X556-Z556)&gt;1,"Mismatch","OK")</f>
        <v>OK</v>
      </c>
      <c r="AD556" s="5" t="n">
        <f aca="false">IF(OR(B556="",C556=""),"",C556-B556)</f>
        <v>5</v>
      </c>
      <c r="AE556" s="3" t="str">
        <f aca="false">IF(AD556="","Unknown",IF(AD556&lt;0,"Invalid - Ship Before Order","OK"))</f>
        <v>OK</v>
      </c>
      <c r="AF556" s="5" t="n">
        <f aca="false">IF(B556="","",MONTH(B556))</f>
        <v>10</v>
      </c>
      <c r="AG556" s="5" t="n">
        <f aca="false">IF(B556="","",YEAR(B556))</f>
        <v>2024</v>
      </c>
      <c r="AH556" s="3" t="s">
        <v>52</v>
      </c>
      <c r="AI556" s="3" t="s">
        <v>53</v>
      </c>
      <c r="AJ556" s="3" t="str">
        <f aca="false">IF(AND(AI556="Completed",AH556="Failed"),"Inconsistent - Completed Order with Failed Payment","OK")</f>
        <v>OK</v>
      </c>
      <c r="AK556" s="3" t="s">
        <v>54</v>
      </c>
      <c r="AL556" s="3" t="str">
        <f aca="false">IF(OR(T556="Negative - Invalid",T556="Above Allowed Range - Invalid",AE556="Invalid - Ship Before Order",AK556&lt;&gt;"Unique",AB556="Mismatch",AC556="Mismatch",AJ556&lt;&gt;"OK"),"Invalid",IF(OR(H556="Yes",O556="Yes",T556="Missing"),"Warning","Clean"))</f>
        <v>Warning</v>
      </c>
    </row>
    <row r="557" customFormat="false" ht="15" hidden="false" customHeight="true" outlineLevel="0" collapsed="false">
      <c r="A557" s="3" t="s">
        <v>1806</v>
      </c>
      <c r="B557" s="4" t="n">
        <v>45692</v>
      </c>
      <c r="C557" s="4" t="n">
        <v>45698</v>
      </c>
      <c r="D557" s="3" t="s">
        <v>1807</v>
      </c>
      <c r="E557" s="3" t="s">
        <v>87</v>
      </c>
      <c r="F557" s="3" t="s">
        <v>58</v>
      </c>
      <c r="G557" s="3" t="s">
        <v>78</v>
      </c>
      <c r="H557" s="3" t="s">
        <v>43</v>
      </c>
      <c r="I557" s="3" t="s">
        <v>79</v>
      </c>
      <c r="J557" s="3" t="s">
        <v>80</v>
      </c>
      <c r="K557" s="3" t="s">
        <v>46</v>
      </c>
      <c r="L557" s="3" t="s">
        <v>151</v>
      </c>
      <c r="M557" s="3" t="s">
        <v>1808</v>
      </c>
      <c r="N557" s="3" t="s">
        <v>83</v>
      </c>
      <c r="O557" s="3" t="s">
        <v>43</v>
      </c>
      <c r="P557" s="5" t="n">
        <v>6</v>
      </c>
      <c r="Q557" s="6" t="n">
        <v>1042.8</v>
      </c>
      <c r="R557" s="3" t="s">
        <v>128</v>
      </c>
      <c r="S557" s="7" t="n">
        <v>0.05</v>
      </c>
      <c r="T557" s="3" t="s">
        <v>51</v>
      </c>
      <c r="U557" s="7" t="n">
        <f aca="false">IF(T557="Valid",S557,0)</f>
        <v>0.05</v>
      </c>
      <c r="V557" s="6" t="n">
        <v>5943.96</v>
      </c>
      <c r="W557" s="6" t="n">
        <v>3604.14</v>
      </c>
      <c r="X557" s="6" t="n">
        <v>2339.82</v>
      </c>
      <c r="Y557" s="6" t="n">
        <f aca="false">P557*Q557*(1-U557)</f>
        <v>5943.96</v>
      </c>
      <c r="Z557" s="6" t="n">
        <f aca="false">Y557-W557</f>
        <v>2339.82</v>
      </c>
      <c r="AA557" s="8" t="n">
        <f aca="false">IF(Y557=0,0,Z557/Y557)</f>
        <v>0.393646659802556</v>
      </c>
      <c r="AB557" s="3" t="str">
        <f aca="false">IF(ABS(V557-Y557)&gt;1,"Mismatch","OK")</f>
        <v>OK</v>
      </c>
      <c r="AC557" s="3" t="str">
        <f aca="false">IF(ABS(X557-Z557)&gt;1,"Mismatch","OK")</f>
        <v>OK</v>
      </c>
      <c r="AD557" s="5" t="n">
        <f aca="false">IF(OR(B557="",C557=""),"",C557-B557)</f>
        <v>6</v>
      </c>
      <c r="AE557" s="3" t="str">
        <f aca="false">IF(AD557="","Unknown",IF(AD557&lt;0,"Invalid - Ship Before Order","OK"))</f>
        <v>OK</v>
      </c>
      <c r="AF557" s="5" t="n">
        <f aca="false">IF(B557="","",MONTH(B557))</f>
        <v>2</v>
      </c>
      <c r="AG557" s="5" t="n">
        <f aca="false">IF(B557="","",YEAR(B557))</f>
        <v>2025</v>
      </c>
      <c r="AH557" s="3" t="s">
        <v>52</v>
      </c>
      <c r="AI557" s="3" t="s">
        <v>53</v>
      </c>
      <c r="AJ557" s="3" t="str">
        <f aca="false">IF(AND(AI557="Completed",AH557="Failed"),"Inconsistent - Completed Order with Failed Payment","OK")</f>
        <v>OK</v>
      </c>
      <c r="AK557" s="3" t="s">
        <v>54</v>
      </c>
      <c r="AL557" s="3" t="str">
        <f aca="false">IF(OR(T557="Negative - Invalid",T557="Above Allowed Range - Invalid",AE557="Invalid - Ship Before Order",AK557&lt;&gt;"Unique",AB557="Mismatch",AC557="Mismatch",AJ557&lt;&gt;"OK"),"Invalid",IF(OR(H557="Yes",O557="Yes",T557="Missing"),"Warning","Clean"))</f>
        <v>Clean</v>
      </c>
    </row>
    <row r="558" customFormat="false" ht="15" hidden="false" customHeight="true" outlineLevel="0" collapsed="false">
      <c r="A558" s="3" t="s">
        <v>1809</v>
      </c>
      <c r="B558" s="4" t="n">
        <v>45466</v>
      </c>
      <c r="C558" s="4" t="n">
        <v>45472</v>
      </c>
      <c r="D558" s="3" t="s">
        <v>1810</v>
      </c>
      <c r="E558" s="3" t="s">
        <v>104</v>
      </c>
      <c r="F558" s="3" t="s">
        <v>41</v>
      </c>
      <c r="G558" s="3" t="s">
        <v>42</v>
      </c>
      <c r="H558" s="3" t="s">
        <v>43</v>
      </c>
      <c r="I558" s="3" t="s">
        <v>270</v>
      </c>
      <c r="J558" s="3" t="s">
        <v>271</v>
      </c>
      <c r="K558" s="3" t="s">
        <v>62</v>
      </c>
      <c r="L558" s="3" t="s">
        <v>63</v>
      </c>
      <c r="M558" s="3" t="s">
        <v>1811</v>
      </c>
      <c r="N558" s="3" t="s">
        <v>72</v>
      </c>
      <c r="O558" s="3" t="s">
        <v>43</v>
      </c>
      <c r="P558" s="5" t="n">
        <v>1</v>
      </c>
      <c r="Q558" s="6" t="n">
        <v>4426.66</v>
      </c>
      <c r="R558" s="3" t="s">
        <v>66</v>
      </c>
      <c r="S558" s="7" t="n">
        <v>0</v>
      </c>
      <c r="T558" s="3" t="s">
        <v>51</v>
      </c>
      <c r="U558" s="7" t="n">
        <f aca="false">IF(T558="Valid",S558,0)</f>
        <v>0</v>
      </c>
      <c r="V558" s="6" t="n">
        <v>4426.66</v>
      </c>
      <c r="W558" s="6" t="n">
        <v>3035.2</v>
      </c>
      <c r="X558" s="6" t="n">
        <v>1816.23</v>
      </c>
      <c r="Y558" s="6" t="n">
        <f aca="false">P558*Q558*(1-U558)</f>
        <v>4426.66</v>
      </c>
      <c r="Z558" s="6" t="n">
        <f aca="false">Y558-W558</f>
        <v>1391.46</v>
      </c>
      <c r="AA558" s="8" t="n">
        <f aca="false">IF(Y558=0,0,Z558/Y558)</f>
        <v>0.314336316771561</v>
      </c>
      <c r="AB558" s="3" t="str">
        <f aca="false">IF(ABS(V558-Y558)&gt;1,"Mismatch","OK")</f>
        <v>OK</v>
      </c>
      <c r="AC558" s="3" t="str">
        <f aca="false">IF(ABS(X558-Z558)&gt;1,"Mismatch","OK")</f>
        <v>Mismatch</v>
      </c>
      <c r="AD558" s="5" t="n">
        <f aca="false">IF(OR(B558="",C558=""),"",C558-B558)</f>
        <v>6</v>
      </c>
      <c r="AE558" s="3" t="str">
        <f aca="false">IF(AD558="","Unknown",IF(AD558&lt;0,"Invalid - Ship Before Order","OK"))</f>
        <v>OK</v>
      </c>
      <c r="AF558" s="5" t="n">
        <f aca="false">IF(B558="","",MONTH(B558))</f>
        <v>6</v>
      </c>
      <c r="AG558" s="5" t="n">
        <f aca="false">IF(B558="","",YEAR(B558))</f>
        <v>2024</v>
      </c>
      <c r="AH558" s="3" t="s">
        <v>52</v>
      </c>
      <c r="AI558" s="3" t="s">
        <v>130</v>
      </c>
      <c r="AJ558" s="3" t="str">
        <f aca="false">IF(AND(AI558="Completed",AH558="Failed"),"Inconsistent - Completed Order with Failed Payment","OK")</f>
        <v>OK</v>
      </c>
      <c r="AK558" s="3" t="s">
        <v>54</v>
      </c>
      <c r="AL558" s="3" t="str">
        <f aca="false">IF(OR(T558="Negative - Invalid",T558="Above Allowed Range - Invalid",AE558="Invalid - Ship Before Order",AK558&lt;&gt;"Unique",AB558="Mismatch",AC558="Mismatch",AJ558&lt;&gt;"OK"),"Invalid",IF(OR(H558="Yes",O558="Yes",T558="Missing"),"Warning","Clean"))</f>
        <v>Invalid</v>
      </c>
    </row>
    <row r="559" customFormat="false" ht="15" hidden="false" customHeight="true" outlineLevel="0" collapsed="false">
      <c r="A559" s="3" t="s">
        <v>1812</v>
      </c>
      <c r="B559" s="4" t="n">
        <v>45420</v>
      </c>
      <c r="C559" s="4" t="n">
        <v>45426</v>
      </c>
      <c r="D559" s="3" t="s">
        <v>1813</v>
      </c>
      <c r="E559" s="3" t="s">
        <v>96</v>
      </c>
      <c r="F559" s="3" t="s">
        <v>121</v>
      </c>
      <c r="G559" s="3" t="s">
        <v>42</v>
      </c>
      <c r="H559" s="3" t="s">
        <v>43</v>
      </c>
      <c r="I559" s="3" t="s">
        <v>270</v>
      </c>
      <c r="J559" s="3" t="s">
        <v>271</v>
      </c>
      <c r="K559" s="3" t="s">
        <v>99</v>
      </c>
      <c r="L559" s="3" t="s">
        <v>201</v>
      </c>
      <c r="M559" s="3" t="s">
        <v>1814</v>
      </c>
      <c r="N559" s="3" t="s">
        <v>72</v>
      </c>
      <c r="O559" s="3" t="s">
        <v>43</v>
      </c>
      <c r="P559" s="5" t="n">
        <v>9</v>
      </c>
      <c r="Q559" s="6" t="n">
        <v>3769.46</v>
      </c>
      <c r="R559" s="3" t="s">
        <v>128</v>
      </c>
      <c r="S559" s="7" t="n">
        <v>0.05</v>
      </c>
      <c r="T559" s="3" t="s">
        <v>51</v>
      </c>
      <c r="U559" s="7" t="n">
        <f aca="false">IF(T559="Valid",S559,0)</f>
        <v>0.05</v>
      </c>
      <c r="V559" s="6" t="n">
        <v>32228.88</v>
      </c>
      <c r="W559" s="6" t="n">
        <v>24971.36</v>
      </c>
      <c r="X559" s="6" t="n">
        <v>7257.52</v>
      </c>
      <c r="Y559" s="6" t="n">
        <f aca="false">P559*Q559*(1-U559)</f>
        <v>32228.883</v>
      </c>
      <c r="Z559" s="6" t="n">
        <f aca="false">Y559-W559</f>
        <v>7257.523</v>
      </c>
      <c r="AA559" s="8" t="n">
        <f aca="false">IF(Y559=0,0,Z559/Y559)</f>
        <v>0.225186923170747</v>
      </c>
      <c r="AB559" s="3" t="str">
        <f aca="false">IF(ABS(V559-Y559)&gt;1,"Mismatch","OK")</f>
        <v>OK</v>
      </c>
      <c r="AC559" s="3" t="str">
        <f aca="false">IF(ABS(X559-Z559)&gt;1,"Mismatch","OK")</f>
        <v>OK</v>
      </c>
      <c r="AD559" s="5" t="n">
        <f aca="false">IF(OR(B559="",C559=""),"",C559-B559)</f>
        <v>6</v>
      </c>
      <c r="AE559" s="3" t="str">
        <f aca="false">IF(AD559="","Unknown",IF(AD559&lt;0,"Invalid - Ship Before Order","OK"))</f>
        <v>OK</v>
      </c>
      <c r="AF559" s="5" t="n">
        <f aca="false">IF(B559="","",MONTH(B559))</f>
        <v>5</v>
      </c>
      <c r="AG559" s="5" t="n">
        <f aca="false">IF(B559="","",YEAR(B559))</f>
        <v>2024</v>
      </c>
      <c r="AH559" s="3" t="s">
        <v>52</v>
      </c>
      <c r="AI559" s="3" t="s">
        <v>93</v>
      </c>
      <c r="AJ559" s="3" t="str">
        <f aca="false">IF(AND(AI559="Completed",AH559="Failed"),"Inconsistent - Completed Order with Failed Payment","OK")</f>
        <v>OK</v>
      </c>
      <c r="AK559" s="3" t="s">
        <v>54</v>
      </c>
      <c r="AL559" s="3" t="str">
        <f aca="false">IF(OR(T559="Negative - Invalid",T559="Above Allowed Range - Invalid",AE559="Invalid - Ship Before Order",AK559&lt;&gt;"Unique",AB559="Mismatch",AC559="Mismatch",AJ559&lt;&gt;"OK"),"Invalid",IF(OR(H559="Yes",O559="Yes",T559="Missing"),"Warning","Clean"))</f>
        <v>Clean</v>
      </c>
    </row>
    <row r="560" customFormat="false" ht="15" hidden="false" customHeight="true" outlineLevel="0" collapsed="false">
      <c r="A560" s="3" t="s">
        <v>1815</v>
      </c>
      <c r="B560" s="4" t="n">
        <v>45904</v>
      </c>
      <c r="C560" s="4" t="n">
        <v>45904</v>
      </c>
      <c r="D560" s="3" t="s">
        <v>1816</v>
      </c>
      <c r="E560" s="3" t="s">
        <v>115</v>
      </c>
      <c r="F560" s="3" t="s">
        <v>116</v>
      </c>
      <c r="G560" s="3" t="s">
        <v>42</v>
      </c>
      <c r="H560" s="3" t="s">
        <v>43</v>
      </c>
      <c r="I560" s="3" t="s">
        <v>149</v>
      </c>
      <c r="J560" s="3" t="s">
        <v>150</v>
      </c>
      <c r="K560" s="3" t="s">
        <v>99</v>
      </c>
      <c r="L560" s="3" t="s">
        <v>308</v>
      </c>
      <c r="M560" s="3" t="s">
        <v>1817</v>
      </c>
      <c r="N560" s="3" t="s">
        <v>72</v>
      </c>
      <c r="O560" s="3" t="s">
        <v>43</v>
      </c>
      <c r="P560" s="5" t="n">
        <v>8</v>
      </c>
      <c r="Q560" s="6" t="n">
        <v>3079.95</v>
      </c>
      <c r="R560" s="3" t="s">
        <v>50</v>
      </c>
      <c r="S560" s="7" t="n">
        <v>0.2</v>
      </c>
      <c r="T560" s="3" t="s">
        <v>51</v>
      </c>
      <c r="U560" s="7" t="n">
        <f aca="false">IF(T560="Valid",S560,0)</f>
        <v>0.2</v>
      </c>
      <c r="V560" s="6" t="n">
        <v>19711.68</v>
      </c>
      <c r="W560" s="6" t="n">
        <v>14461.8</v>
      </c>
      <c r="X560" s="6" t="n">
        <v>5249.88</v>
      </c>
      <c r="Y560" s="6" t="n">
        <f aca="false">P560*Q560*(1-U560)</f>
        <v>19711.68</v>
      </c>
      <c r="Z560" s="6" t="n">
        <f aca="false">Y560-W560</f>
        <v>5249.88</v>
      </c>
      <c r="AA560" s="8" t="n">
        <f aca="false">IF(Y560=0,0,Z560/Y560)</f>
        <v>0.266333463205572</v>
      </c>
      <c r="AB560" s="3" t="str">
        <f aca="false">IF(ABS(V560-Y560)&gt;1,"Mismatch","OK")</f>
        <v>OK</v>
      </c>
      <c r="AC560" s="3" t="str">
        <f aca="false">IF(ABS(X560-Z560)&gt;1,"Mismatch","OK")</f>
        <v>OK</v>
      </c>
      <c r="AD560" s="5" t="n">
        <f aca="false">IF(OR(B560="",C560=""),"",C560-B560)</f>
        <v>0</v>
      </c>
      <c r="AE560" s="3" t="str">
        <f aca="false">IF(AD560="","Unknown",IF(AD560&lt;0,"Invalid - Ship Before Order","OK"))</f>
        <v>OK</v>
      </c>
      <c r="AF560" s="5" t="n">
        <f aca="false">IF(B560="","",MONTH(B560))</f>
        <v>9</v>
      </c>
      <c r="AG560" s="5" t="n">
        <f aca="false">IF(B560="","",YEAR(B560))</f>
        <v>2025</v>
      </c>
      <c r="AH560" s="3" t="s">
        <v>52</v>
      </c>
      <c r="AI560" s="3" t="s">
        <v>53</v>
      </c>
      <c r="AJ560" s="3" t="str">
        <f aca="false">IF(AND(AI560="Completed",AH560="Failed"),"Inconsistent - Completed Order with Failed Payment","OK")</f>
        <v>OK</v>
      </c>
      <c r="AK560" s="3" t="s">
        <v>54</v>
      </c>
      <c r="AL560" s="3" t="str">
        <f aca="false">IF(OR(T560="Negative - Invalid",T560="Above Allowed Range - Invalid",AE560="Invalid - Ship Before Order",AK560&lt;&gt;"Unique",AB560="Mismatch",AC560="Mismatch",AJ560&lt;&gt;"OK"),"Invalid",IF(OR(H560="Yes",O560="Yes",T560="Missing"),"Warning","Clean"))</f>
        <v>Clean</v>
      </c>
    </row>
    <row r="561" customFormat="false" ht="15" hidden="false" customHeight="true" outlineLevel="0" collapsed="false">
      <c r="A561" s="3" t="s">
        <v>1818</v>
      </c>
      <c r="B561" s="4" t="n">
        <v>45930</v>
      </c>
      <c r="C561" s="4" t="n">
        <v>45937</v>
      </c>
      <c r="D561" s="3" t="s">
        <v>1819</v>
      </c>
      <c r="E561" s="3" t="s">
        <v>192</v>
      </c>
      <c r="F561" s="3" t="s">
        <v>116</v>
      </c>
      <c r="G561" s="3" t="s">
        <v>59</v>
      </c>
      <c r="H561" s="3" t="s">
        <v>43</v>
      </c>
      <c r="I561" s="3" t="s">
        <v>174</v>
      </c>
      <c r="J561" s="3" t="s">
        <v>175</v>
      </c>
      <c r="K561" s="3" t="s">
        <v>99</v>
      </c>
      <c r="L561" s="3" t="s">
        <v>105</v>
      </c>
      <c r="M561" s="3" t="s">
        <v>1820</v>
      </c>
      <c r="N561" s="3" t="s">
        <v>49</v>
      </c>
      <c r="O561" s="3" t="s">
        <v>43</v>
      </c>
      <c r="P561" s="5" t="n">
        <v>5</v>
      </c>
      <c r="Q561" s="6" t="n">
        <v>3277.82</v>
      </c>
      <c r="R561" s="3" t="s">
        <v>203</v>
      </c>
      <c r="S561" s="7" t="n">
        <v>0.1</v>
      </c>
      <c r="T561" s="3" t="s">
        <v>51</v>
      </c>
      <c r="U561" s="7" t="n">
        <f aca="false">IF(T561="Valid",S561,0)</f>
        <v>0.1</v>
      </c>
      <c r="V561" s="6" t="n">
        <v>14750.19</v>
      </c>
      <c r="W561" s="6" t="n">
        <v>9482.58</v>
      </c>
      <c r="X561" s="6" t="n">
        <v>5267.61</v>
      </c>
      <c r="Y561" s="6" t="n">
        <f aca="false">P561*Q561*(1-U561)</f>
        <v>14750.19</v>
      </c>
      <c r="Z561" s="6" t="n">
        <f aca="false">Y561-W561</f>
        <v>5267.61</v>
      </c>
      <c r="AA561" s="8" t="n">
        <f aca="false">IF(Y561=0,0,Z561/Y561)</f>
        <v>0.357121501485744</v>
      </c>
      <c r="AB561" s="3" t="str">
        <f aca="false">IF(ABS(V561-Y561)&gt;1,"Mismatch","OK")</f>
        <v>OK</v>
      </c>
      <c r="AC561" s="3" t="str">
        <f aca="false">IF(ABS(X561-Z561)&gt;1,"Mismatch","OK")</f>
        <v>OK</v>
      </c>
      <c r="AD561" s="5" t="n">
        <f aca="false">IF(OR(B561="",C561=""),"",C561-B561)</f>
        <v>7</v>
      </c>
      <c r="AE561" s="3" t="str">
        <f aca="false">IF(AD561="","Unknown",IF(AD561&lt;0,"Invalid - Ship Before Order","OK"))</f>
        <v>OK</v>
      </c>
      <c r="AF561" s="5" t="n">
        <f aca="false">IF(B561="","",MONTH(B561))</f>
        <v>9</v>
      </c>
      <c r="AG561" s="5" t="n">
        <f aca="false">IF(B561="","",YEAR(B561))</f>
        <v>2025</v>
      </c>
      <c r="AH561" s="3" t="s">
        <v>52</v>
      </c>
      <c r="AI561" s="3" t="s">
        <v>130</v>
      </c>
      <c r="AJ561" s="3" t="str">
        <f aca="false">IF(AND(AI561="Completed",AH561="Failed"),"Inconsistent - Completed Order with Failed Payment","OK")</f>
        <v>OK</v>
      </c>
      <c r="AK561" s="3" t="s">
        <v>54</v>
      </c>
      <c r="AL561" s="3" t="str">
        <f aca="false">IF(OR(T561="Negative - Invalid",T561="Above Allowed Range - Invalid",AE561="Invalid - Ship Before Order",AK561&lt;&gt;"Unique",AB561="Mismatch",AC561="Mismatch",AJ561&lt;&gt;"OK"),"Invalid",IF(OR(H561="Yes",O561="Yes",T561="Missing"),"Warning","Clean"))</f>
        <v>Clean</v>
      </c>
    </row>
    <row r="562" customFormat="false" ht="15" hidden="false" customHeight="true" outlineLevel="0" collapsed="false">
      <c r="A562" s="3" t="s">
        <v>1821</v>
      </c>
      <c r="B562" s="4" t="n">
        <v>45307</v>
      </c>
      <c r="C562" s="4" t="n">
        <v>45313</v>
      </c>
      <c r="D562" s="3" t="s">
        <v>1822</v>
      </c>
      <c r="E562" s="3" t="s">
        <v>77</v>
      </c>
      <c r="F562" s="3" t="s">
        <v>41</v>
      </c>
      <c r="G562" s="3" t="s">
        <v>88</v>
      </c>
      <c r="H562" s="3" t="s">
        <v>43</v>
      </c>
      <c r="I562" s="3" t="s">
        <v>221</v>
      </c>
      <c r="J562" s="3" t="s">
        <v>222</v>
      </c>
      <c r="K562" s="3" t="s">
        <v>46</v>
      </c>
      <c r="L562" s="3" t="s">
        <v>151</v>
      </c>
      <c r="M562" s="3" t="s">
        <v>1823</v>
      </c>
      <c r="N562" s="3" t="s">
        <v>83</v>
      </c>
      <c r="O562" s="3" t="s">
        <v>43</v>
      </c>
      <c r="P562" s="5" t="n">
        <v>4</v>
      </c>
      <c r="Q562" s="6" t="n">
        <v>282.53</v>
      </c>
      <c r="R562" s="3" t="s">
        <v>66</v>
      </c>
      <c r="S562" s="7" t="n">
        <v>0</v>
      </c>
      <c r="T562" s="3" t="s">
        <v>51</v>
      </c>
      <c r="U562" s="7" t="n">
        <f aca="false">IF(T562="Valid",S562,0)</f>
        <v>0</v>
      </c>
      <c r="V562" s="6" t="n">
        <v>1130.12</v>
      </c>
      <c r="W562" s="6" t="n">
        <v>848.62</v>
      </c>
      <c r="X562" s="6" t="n">
        <v>281.5</v>
      </c>
      <c r="Y562" s="6" t="n">
        <f aca="false">P562*Q562*(1-U562)</f>
        <v>1130.12</v>
      </c>
      <c r="Z562" s="6" t="n">
        <f aca="false">Y562-W562</f>
        <v>281.5</v>
      </c>
      <c r="AA562" s="8" t="n">
        <f aca="false">IF(Y562=0,0,Z562/Y562)</f>
        <v>0.249088592361873</v>
      </c>
      <c r="AB562" s="3" t="str">
        <f aca="false">IF(ABS(V562-Y562)&gt;1,"Mismatch","OK")</f>
        <v>OK</v>
      </c>
      <c r="AC562" s="3" t="str">
        <f aca="false">IF(ABS(X562-Z562)&gt;1,"Mismatch","OK")</f>
        <v>OK</v>
      </c>
      <c r="AD562" s="5" t="n">
        <f aca="false">IF(OR(B562="",C562=""),"",C562-B562)</f>
        <v>6</v>
      </c>
      <c r="AE562" s="3" t="str">
        <f aca="false">IF(AD562="","Unknown",IF(AD562&lt;0,"Invalid - Ship Before Order","OK"))</f>
        <v>OK</v>
      </c>
      <c r="AF562" s="5" t="n">
        <f aca="false">IF(B562="","",MONTH(B562))</f>
        <v>1</v>
      </c>
      <c r="AG562" s="5" t="n">
        <f aca="false">IF(B562="","",YEAR(B562))</f>
        <v>2024</v>
      </c>
      <c r="AH562" s="3" t="s">
        <v>52</v>
      </c>
      <c r="AI562" s="3" t="s">
        <v>93</v>
      </c>
      <c r="AJ562" s="3" t="str">
        <f aca="false">IF(AND(AI562="Completed",AH562="Failed"),"Inconsistent - Completed Order with Failed Payment","OK")</f>
        <v>OK</v>
      </c>
      <c r="AK562" s="3" t="s">
        <v>54</v>
      </c>
      <c r="AL562" s="3" t="str">
        <f aca="false">IF(OR(T562="Negative - Invalid",T562="Above Allowed Range - Invalid",AE562="Invalid - Ship Before Order",AK562&lt;&gt;"Unique",AB562="Mismatch",AC562="Mismatch",AJ562&lt;&gt;"OK"),"Invalid",IF(OR(H562="Yes",O562="Yes",T562="Missing"),"Warning","Clean"))</f>
        <v>Clean</v>
      </c>
    </row>
    <row r="563" customFormat="false" ht="15" hidden="false" customHeight="true" outlineLevel="0" collapsed="false">
      <c r="A563" s="3" t="s">
        <v>1824</v>
      </c>
      <c r="B563" s="4" t="n">
        <v>45852</v>
      </c>
      <c r="C563" s="4" t="n">
        <v>45856</v>
      </c>
      <c r="D563" s="3" t="s">
        <v>1825</v>
      </c>
      <c r="E563" s="3" t="s">
        <v>115</v>
      </c>
      <c r="F563" s="3" t="s">
        <v>41</v>
      </c>
      <c r="G563" s="3" t="s">
        <v>42</v>
      </c>
      <c r="H563" s="3" t="s">
        <v>43</v>
      </c>
      <c r="I563" s="3" t="s">
        <v>149</v>
      </c>
      <c r="J563" s="3" t="s">
        <v>150</v>
      </c>
      <c r="K563" s="3" t="s">
        <v>99</v>
      </c>
      <c r="L563" s="3" t="s">
        <v>105</v>
      </c>
      <c r="M563" s="3" t="s">
        <v>1826</v>
      </c>
      <c r="N563" s="3" t="s">
        <v>72</v>
      </c>
      <c r="O563" s="3" t="s">
        <v>43</v>
      </c>
      <c r="P563" s="5" t="n">
        <v>4</v>
      </c>
      <c r="Q563" s="6" t="n">
        <v>725.22</v>
      </c>
      <c r="R563" s="3" t="s">
        <v>66</v>
      </c>
      <c r="S563" s="7" t="n">
        <v>0</v>
      </c>
      <c r="T563" s="3" t="s">
        <v>51</v>
      </c>
      <c r="U563" s="7" t="n">
        <f aca="false">IF(T563="Valid",S563,0)</f>
        <v>0</v>
      </c>
      <c r="V563" s="6" t="n">
        <v>2900.88</v>
      </c>
      <c r="W563" s="6" t="n">
        <v>2391.85</v>
      </c>
      <c r="X563" s="6" t="n">
        <v>509.03</v>
      </c>
      <c r="Y563" s="6" t="n">
        <f aca="false">P563*Q563*(1-U563)</f>
        <v>2900.88</v>
      </c>
      <c r="Z563" s="6" t="n">
        <f aca="false">Y563-W563</f>
        <v>509.03</v>
      </c>
      <c r="AA563" s="8" t="n">
        <f aca="false">IF(Y563=0,0,Z563/Y563)</f>
        <v>0.175474338821323</v>
      </c>
      <c r="AB563" s="3" t="str">
        <f aca="false">IF(ABS(V563-Y563)&gt;1,"Mismatch","OK")</f>
        <v>OK</v>
      </c>
      <c r="AC563" s="3" t="str">
        <f aca="false">IF(ABS(X563-Z563)&gt;1,"Mismatch","OK")</f>
        <v>OK</v>
      </c>
      <c r="AD563" s="5" t="n">
        <f aca="false">IF(OR(B563="",C563=""),"",C563-B563)</f>
        <v>4</v>
      </c>
      <c r="AE563" s="3" t="str">
        <f aca="false">IF(AD563="","Unknown",IF(AD563&lt;0,"Invalid - Ship Before Order","OK"))</f>
        <v>OK</v>
      </c>
      <c r="AF563" s="5" t="n">
        <f aca="false">IF(B563="","",MONTH(B563))</f>
        <v>7</v>
      </c>
      <c r="AG563" s="5" t="n">
        <f aca="false">IF(B563="","",YEAR(B563))</f>
        <v>2025</v>
      </c>
      <c r="AH563" s="3" t="s">
        <v>138</v>
      </c>
      <c r="AI563" s="3" t="s">
        <v>130</v>
      </c>
      <c r="AJ563" s="3" t="str">
        <f aca="false">IF(AND(AI563="Completed",AH563="Failed"),"Inconsistent - Completed Order with Failed Payment","OK")</f>
        <v>OK</v>
      </c>
      <c r="AK563" s="3" t="s">
        <v>54</v>
      </c>
      <c r="AL563" s="3" t="str">
        <f aca="false">IF(OR(T563="Negative - Invalid",T563="Above Allowed Range - Invalid",AE563="Invalid - Ship Before Order",AK563&lt;&gt;"Unique",AB563="Mismatch",AC563="Mismatch",AJ563&lt;&gt;"OK"),"Invalid",IF(OR(H563="Yes",O563="Yes",T563="Missing"),"Warning","Clean"))</f>
        <v>Clean</v>
      </c>
    </row>
    <row r="564" customFormat="false" ht="15" hidden="false" customHeight="true" outlineLevel="0" collapsed="false">
      <c r="A564" s="3" t="s">
        <v>1827</v>
      </c>
      <c r="B564" s="4" t="n">
        <v>45422</v>
      </c>
      <c r="C564" s="4" t="n">
        <v>45428</v>
      </c>
      <c r="D564" s="3" t="s">
        <v>1828</v>
      </c>
      <c r="E564" s="3" t="s">
        <v>40</v>
      </c>
      <c r="F564" s="3" t="s">
        <v>41</v>
      </c>
      <c r="G564" s="3" t="s">
        <v>42</v>
      </c>
      <c r="H564" s="3" t="s">
        <v>43</v>
      </c>
      <c r="I564" s="3" t="s">
        <v>149</v>
      </c>
      <c r="J564" s="3" t="s">
        <v>150</v>
      </c>
      <c r="K564" s="3" t="s">
        <v>46</v>
      </c>
      <c r="L564" s="3" t="s">
        <v>183</v>
      </c>
      <c r="M564" s="3" t="s">
        <v>1829</v>
      </c>
      <c r="N564" s="3" t="s">
        <v>65</v>
      </c>
      <c r="O564" s="3" t="s">
        <v>43</v>
      </c>
      <c r="P564" s="5" t="n">
        <v>7</v>
      </c>
      <c r="Q564" s="6" t="n">
        <v>121.54</v>
      </c>
      <c r="R564" s="3" t="s">
        <v>50</v>
      </c>
      <c r="S564" s="7" t="n">
        <v>0.2</v>
      </c>
      <c r="T564" s="3" t="s">
        <v>51</v>
      </c>
      <c r="U564" s="7" t="n">
        <f aca="false">IF(T564="Valid",S564,0)</f>
        <v>0.2</v>
      </c>
      <c r="V564" s="6" t="n">
        <v>680.62</v>
      </c>
      <c r="W564" s="6" t="n">
        <v>463.49</v>
      </c>
      <c r="X564" s="6" t="n">
        <v>217.13</v>
      </c>
      <c r="Y564" s="6" t="n">
        <f aca="false">P564*Q564*(1-U564)</f>
        <v>680.624</v>
      </c>
      <c r="Z564" s="6" t="n">
        <f aca="false">Y564-W564</f>
        <v>217.134</v>
      </c>
      <c r="AA564" s="8" t="n">
        <f aca="false">IF(Y564=0,0,Z564/Y564)</f>
        <v>0.319021956322434</v>
      </c>
      <c r="AB564" s="3" t="str">
        <f aca="false">IF(ABS(V564-Y564)&gt;1,"Mismatch","OK")</f>
        <v>OK</v>
      </c>
      <c r="AC564" s="3" t="str">
        <f aca="false">IF(ABS(X564-Z564)&gt;1,"Mismatch","OK")</f>
        <v>OK</v>
      </c>
      <c r="AD564" s="5" t="n">
        <f aca="false">IF(OR(B564="",C564=""),"",C564-B564)</f>
        <v>6</v>
      </c>
      <c r="AE564" s="3" t="str">
        <f aca="false">IF(AD564="","Unknown",IF(AD564&lt;0,"Invalid - Ship Before Order","OK"))</f>
        <v>OK</v>
      </c>
      <c r="AF564" s="5" t="n">
        <f aca="false">IF(B564="","",MONTH(B564))</f>
        <v>5</v>
      </c>
      <c r="AG564" s="5" t="n">
        <f aca="false">IF(B564="","",YEAR(B564))</f>
        <v>2024</v>
      </c>
      <c r="AH564" s="3" t="s">
        <v>185</v>
      </c>
      <c r="AI564" s="3" t="s">
        <v>130</v>
      </c>
      <c r="AJ564" s="3" t="str">
        <f aca="false">IF(AND(AI564="Completed",AH564="Failed"),"Inconsistent - Completed Order with Failed Payment","OK")</f>
        <v>OK</v>
      </c>
      <c r="AK564" s="3" t="s">
        <v>54</v>
      </c>
      <c r="AL564" s="3" t="str">
        <f aca="false">IF(OR(T564="Negative - Invalid",T564="Above Allowed Range - Invalid",AE564="Invalid - Ship Before Order",AK564&lt;&gt;"Unique",AB564="Mismatch",AC564="Mismatch",AJ564&lt;&gt;"OK"),"Invalid",IF(OR(H564="Yes",O564="Yes",T564="Missing"),"Warning","Clean"))</f>
        <v>Clean</v>
      </c>
    </row>
    <row r="565" customFormat="false" ht="15" hidden="false" customHeight="true" outlineLevel="0" collapsed="false">
      <c r="A565" s="3" t="s">
        <v>1830</v>
      </c>
      <c r="B565" s="4" t="n">
        <v>45418</v>
      </c>
      <c r="C565" s="4" t="n">
        <v>45424</v>
      </c>
      <c r="D565" s="3" t="s">
        <v>1831</v>
      </c>
      <c r="E565" s="3" t="s">
        <v>77</v>
      </c>
      <c r="F565" s="3" t="s">
        <v>116</v>
      </c>
      <c r="G565" s="3" t="s">
        <v>88</v>
      </c>
      <c r="H565" s="3" t="s">
        <v>43</v>
      </c>
      <c r="I565" s="3" t="s">
        <v>221</v>
      </c>
      <c r="J565" s="3" t="s">
        <v>222</v>
      </c>
      <c r="K565" s="3" t="s">
        <v>62</v>
      </c>
      <c r="L565" s="3" t="s">
        <v>63</v>
      </c>
      <c r="M565" s="3" t="s">
        <v>1832</v>
      </c>
      <c r="N565" s="3" t="s">
        <v>83</v>
      </c>
      <c r="O565" s="3" t="s">
        <v>43</v>
      </c>
      <c r="P565" s="5" t="n">
        <v>9</v>
      </c>
      <c r="Q565" s="6" t="n">
        <v>790.97</v>
      </c>
      <c r="R565" s="3" t="s">
        <v>50</v>
      </c>
      <c r="S565" s="7" t="n">
        <v>0.2</v>
      </c>
      <c r="T565" s="3" t="s">
        <v>51</v>
      </c>
      <c r="U565" s="7" t="n">
        <f aca="false">IF(T565="Valid",S565,0)</f>
        <v>0.2</v>
      </c>
      <c r="V565" s="6" t="n">
        <v>5694.98</v>
      </c>
      <c r="W565" s="6" t="n">
        <v>4618.33</v>
      </c>
      <c r="X565" s="6" t="n">
        <v>1076.65</v>
      </c>
      <c r="Y565" s="6" t="n">
        <f aca="false">P565*Q565*(1-U565)</f>
        <v>5694.984</v>
      </c>
      <c r="Z565" s="6" t="n">
        <f aca="false">Y565-W565</f>
        <v>1076.654</v>
      </c>
      <c r="AA565" s="8" t="n">
        <f aca="false">IF(Y565=0,0,Z565/Y565)</f>
        <v>0.189053033336002</v>
      </c>
      <c r="AB565" s="3" t="str">
        <f aca="false">IF(ABS(V565-Y565)&gt;1,"Mismatch","OK")</f>
        <v>OK</v>
      </c>
      <c r="AC565" s="3" t="str">
        <f aca="false">IF(ABS(X565-Z565)&gt;1,"Mismatch","OK")</f>
        <v>OK</v>
      </c>
      <c r="AD565" s="5" t="n">
        <f aca="false">IF(OR(B565="",C565=""),"",C565-B565)</f>
        <v>6</v>
      </c>
      <c r="AE565" s="3" t="str">
        <f aca="false">IF(AD565="","Unknown",IF(AD565&lt;0,"Invalid - Ship Before Order","OK"))</f>
        <v>OK</v>
      </c>
      <c r="AF565" s="5" t="n">
        <f aca="false">IF(B565="","",MONTH(B565))</f>
        <v>5</v>
      </c>
      <c r="AG565" s="5" t="n">
        <f aca="false">IF(B565="","",YEAR(B565))</f>
        <v>2024</v>
      </c>
      <c r="AH565" s="3" t="s">
        <v>138</v>
      </c>
      <c r="AI565" s="3" t="s">
        <v>93</v>
      </c>
      <c r="AJ565" s="3" t="str">
        <f aca="false">IF(AND(AI565="Completed",AH565="Failed"),"Inconsistent - Completed Order with Failed Payment","OK")</f>
        <v>OK</v>
      </c>
      <c r="AK565" s="3" t="s">
        <v>54</v>
      </c>
      <c r="AL565" s="3" t="str">
        <f aca="false">IF(OR(T565="Negative - Invalid",T565="Above Allowed Range - Invalid",AE565="Invalid - Ship Before Order",AK565&lt;&gt;"Unique",AB565="Mismatch",AC565="Mismatch",AJ565&lt;&gt;"OK"),"Invalid",IF(OR(H565="Yes",O565="Yes",T565="Missing"),"Warning","Clean"))</f>
        <v>Clean</v>
      </c>
    </row>
    <row r="566" customFormat="false" ht="15" hidden="false" customHeight="true" outlineLevel="0" collapsed="false">
      <c r="A566" s="3" t="s">
        <v>1833</v>
      </c>
      <c r="B566" s="4" t="n">
        <v>45606</v>
      </c>
      <c r="C566" s="4" t="n">
        <v>45610</v>
      </c>
      <c r="D566" s="3" t="s">
        <v>1834</v>
      </c>
      <c r="E566" s="3" t="s">
        <v>159</v>
      </c>
      <c r="F566" s="3" t="s">
        <v>116</v>
      </c>
      <c r="G566" s="3" t="s">
        <v>78</v>
      </c>
      <c r="H566" s="3" t="s">
        <v>43</v>
      </c>
      <c r="I566" s="3" t="s">
        <v>110</v>
      </c>
      <c r="J566" s="3" t="s">
        <v>111</v>
      </c>
      <c r="K566" s="3" t="s">
        <v>62</v>
      </c>
      <c r="L566" s="3" t="s">
        <v>63</v>
      </c>
      <c r="M566" s="3" t="s">
        <v>1835</v>
      </c>
      <c r="N566" s="3" t="s">
        <v>72</v>
      </c>
      <c r="O566" s="3" t="s">
        <v>43</v>
      </c>
      <c r="P566" s="5" t="n">
        <v>2</v>
      </c>
      <c r="Q566" s="6" t="n">
        <v>921.34</v>
      </c>
      <c r="R566" s="3" t="s">
        <v>50</v>
      </c>
      <c r="S566" s="7" t="n">
        <v>0.2</v>
      </c>
      <c r="T566" s="3" t="s">
        <v>51</v>
      </c>
      <c r="U566" s="7" t="n">
        <f aca="false">IF(T566="Valid",S566,0)</f>
        <v>0.2</v>
      </c>
      <c r="V566" s="6" t="n">
        <v>1474.14</v>
      </c>
      <c r="W566" s="6" t="n">
        <v>968.46</v>
      </c>
      <c r="X566" s="6" t="n">
        <v>505.68</v>
      </c>
      <c r="Y566" s="6" t="n">
        <f aca="false">P566*Q566*(1-U566)</f>
        <v>1474.144</v>
      </c>
      <c r="Z566" s="6" t="n">
        <f aca="false">Y566-W566</f>
        <v>505.684</v>
      </c>
      <c r="AA566" s="8" t="n">
        <f aca="false">IF(Y566=0,0,Z566/Y566)</f>
        <v>0.343035687151323</v>
      </c>
      <c r="AB566" s="3" t="str">
        <f aca="false">IF(ABS(V566-Y566)&gt;1,"Mismatch","OK")</f>
        <v>OK</v>
      </c>
      <c r="AC566" s="3" t="str">
        <f aca="false">IF(ABS(X566-Z566)&gt;1,"Mismatch","OK")</f>
        <v>OK</v>
      </c>
      <c r="AD566" s="5" t="n">
        <f aca="false">IF(OR(B566="",C566=""),"",C566-B566)</f>
        <v>4</v>
      </c>
      <c r="AE566" s="3" t="str">
        <f aca="false">IF(AD566="","Unknown",IF(AD566&lt;0,"Invalid - Ship Before Order","OK"))</f>
        <v>OK</v>
      </c>
      <c r="AF566" s="5" t="n">
        <f aca="false">IF(B566="","",MONTH(B566))</f>
        <v>11</v>
      </c>
      <c r="AG566" s="5" t="n">
        <f aca="false">IF(B566="","",YEAR(B566))</f>
        <v>2024</v>
      </c>
      <c r="AH566" s="3" t="s">
        <v>52</v>
      </c>
      <c r="AI566" s="3" t="s">
        <v>53</v>
      </c>
      <c r="AJ566" s="3" t="str">
        <f aca="false">IF(AND(AI566="Completed",AH566="Failed"),"Inconsistent - Completed Order with Failed Payment","OK")</f>
        <v>OK</v>
      </c>
      <c r="AK566" s="3" t="s">
        <v>54</v>
      </c>
      <c r="AL566" s="3" t="str">
        <f aca="false">IF(OR(T566="Negative - Invalid",T566="Above Allowed Range - Invalid",AE566="Invalid - Ship Before Order",AK566&lt;&gt;"Unique",AB566="Mismatch",AC566="Mismatch",AJ566&lt;&gt;"OK"),"Invalid",IF(OR(H566="Yes",O566="Yes",T566="Missing"),"Warning","Clean"))</f>
        <v>Clean</v>
      </c>
    </row>
    <row r="567" customFormat="false" ht="15" hidden="false" customHeight="true" outlineLevel="0" collapsed="false">
      <c r="A567" s="3" t="s">
        <v>1836</v>
      </c>
      <c r="B567" s="4" t="n">
        <v>45876</v>
      </c>
      <c r="C567" s="4" t="n">
        <v>45882</v>
      </c>
      <c r="D567" s="3" t="s">
        <v>1837</v>
      </c>
      <c r="E567" s="3" t="s">
        <v>57</v>
      </c>
      <c r="F567" s="3" t="s">
        <v>116</v>
      </c>
      <c r="G567" s="3" t="s">
        <v>42</v>
      </c>
      <c r="H567" s="3" t="s">
        <v>43</v>
      </c>
      <c r="I567" s="3" t="s">
        <v>384</v>
      </c>
      <c r="J567" s="3" t="s">
        <v>385</v>
      </c>
      <c r="K567" s="3" t="s">
        <v>99</v>
      </c>
      <c r="L567" s="3" t="s">
        <v>201</v>
      </c>
      <c r="M567" s="3" t="s">
        <v>1838</v>
      </c>
      <c r="N567" s="3" t="s">
        <v>83</v>
      </c>
      <c r="O567" s="3" t="s">
        <v>43</v>
      </c>
      <c r="P567" s="5" t="n">
        <v>6</v>
      </c>
      <c r="Q567" s="6" t="n">
        <v>1921.86</v>
      </c>
      <c r="R567" s="3" t="s">
        <v>50</v>
      </c>
      <c r="S567" s="7" t="n">
        <v>0.2</v>
      </c>
      <c r="T567" s="3" t="s">
        <v>51</v>
      </c>
      <c r="U567" s="7" t="n">
        <f aca="false">IF(T567="Valid",S567,0)</f>
        <v>0.2</v>
      </c>
      <c r="V567" s="6" t="n">
        <v>9224.93</v>
      </c>
      <c r="W567" s="6" t="n">
        <v>7005.2</v>
      </c>
      <c r="X567" s="6" t="n">
        <v>2219.73</v>
      </c>
      <c r="Y567" s="6" t="n">
        <f aca="false">P567*Q567*(1-U567)</f>
        <v>9224.928</v>
      </c>
      <c r="Z567" s="6" t="n">
        <f aca="false">Y567-W567</f>
        <v>2219.728</v>
      </c>
      <c r="AA567" s="8" t="n">
        <f aca="false">IF(Y567=0,0,Z567/Y567)</f>
        <v>0.24062279944082</v>
      </c>
      <c r="AB567" s="3" t="str">
        <f aca="false">IF(ABS(V567-Y567)&gt;1,"Mismatch","OK")</f>
        <v>OK</v>
      </c>
      <c r="AC567" s="3" t="str">
        <f aca="false">IF(ABS(X567-Z567)&gt;1,"Mismatch","OK")</f>
        <v>OK</v>
      </c>
      <c r="AD567" s="5" t="n">
        <f aca="false">IF(OR(B567="",C567=""),"",C567-B567)</f>
        <v>6</v>
      </c>
      <c r="AE567" s="3" t="str">
        <f aca="false">IF(AD567="","Unknown",IF(AD567&lt;0,"Invalid - Ship Before Order","OK"))</f>
        <v>OK</v>
      </c>
      <c r="AF567" s="5" t="n">
        <f aca="false">IF(B567="","",MONTH(B567))</f>
        <v>8</v>
      </c>
      <c r="AG567" s="5" t="n">
        <f aca="false">IF(B567="","",YEAR(B567))</f>
        <v>2025</v>
      </c>
      <c r="AH567" s="3" t="s">
        <v>129</v>
      </c>
      <c r="AI567" s="3" t="s">
        <v>93</v>
      </c>
      <c r="AJ567" s="3" t="str">
        <f aca="false">IF(AND(AI567="Completed",AH567="Failed"),"Inconsistent - Completed Order with Failed Payment","OK")</f>
        <v>OK</v>
      </c>
      <c r="AK567" s="3" t="s">
        <v>54</v>
      </c>
      <c r="AL567" s="3" t="str">
        <f aca="false">IF(OR(T567="Negative - Invalid",T567="Above Allowed Range - Invalid",AE567="Invalid - Ship Before Order",AK567&lt;&gt;"Unique",AB567="Mismatch",AC567="Mismatch",AJ567&lt;&gt;"OK"),"Invalid",IF(OR(H567="Yes",O567="Yes",T567="Missing"),"Warning","Clean"))</f>
        <v>Clean</v>
      </c>
    </row>
    <row r="568" customFormat="false" ht="15" hidden="false" customHeight="true" outlineLevel="0" collapsed="false">
      <c r="A568" s="3" t="s">
        <v>1839</v>
      </c>
      <c r="B568" s="4" t="n">
        <v>45515</v>
      </c>
      <c r="C568" s="4" t="n">
        <v>45523</v>
      </c>
      <c r="D568" s="3" t="s">
        <v>1840</v>
      </c>
      <c r="E568" s="3" t="s">
        <v>159</v>
      </c>
      <c r="F568" s="3" t="s">
        <v>58</v>
      </c>
      <c r="G568" s="3" t="s">
        <v>88</v>
      </c>
      <c r="H568" s="3" t="s">
        <v>43</v>
      </c>
      <c r="I568" s="3" t="s">
        <v>89</v>
      </c>
      <c r="J568" s="3" t="s">
        <v>90</v>
      </c>
      <c r="K568" s="3" t="s">
        <v>46</v>
      </c>
      <c r="L568" s="3" t="s">
        <v>47</v>
      </c>
      <c r="M568" s="3" t="s">
        <v>1841</v>
      </c>
      <c r="N568" s="3" t="s">
        <v>65</v>
      </c>
      <c r="O568" s="3" t="s">
        <v>43</v>
      </c>
      <c r="P568" s="5" t="n">
        <v>2</v>
      </c>
      <c r="Q568" s="6" t="n">
        <v>2617.89</v>
      </c>
      <c r="R568" s="3" t="s">
        <v>203</v>
      </c>
      <c r="S568" s="7" t="n">
        <v>0.1</v>
      </c>
      <c r="T568" s="3" t="s">
        <v>51</v>
      </c>
      <c r="U568" s="7" t="n">
        <f aca="false">IF(T568="Valid",S568,0)</f>
        <v>0.1</v>
      </c>
      <c r="V568" s="6" t="n">
        <v>4712.2</v>
      </c>
      <c r="W568" s="6" t="n">
        <v>3851.91</v>
      </c>
      <c r="X568" s="6" t="n">
        <v>860.29</v>
      </c>
      <c r="Y568" s="6" t="n">
        <f aca="false">P568*Q568*(1-U568)</f>
        <v>4712.202</v>
      </c>
      <c r="Z568" s="6" t="n">
        <f aca="false">Y568-W568</f>
        <v>860.292</v>
      </c>
      <c r="AA568" s="8" t="n">
        <f aca="false">IF(Y568=0,0,Z568/Y568)</f>
        <v>0.182566876377541</v>
      </c>
      <c r="AB568" s="3" t="str">
        <f aca="false">IF(ABS(V568-Y568)&gt;1,"Mismatch","OK")</f>
        <v>OK</v>
      </c>
      <c r="AC568" s="3" t="str">
        <f aca="false">IF(ABS(X568-Z568)&gt;1,"Mismatch","OK")</f>
        <v>OK</v>
      </c>
      <c r="AD568" s="5" t="n">
        <f aca="false">IF(OR(B568="",C568=""),"",C568-B568)</f>
        <v>8</v>
      </c>
      <c r="AE568" s="3" t="str">
        <f aca="false">IF(AD568="","Unknown",IF(AD568&lt;0,"Invalid - Ship Before Order","OK"))</f>
        <v>OK</v>
      </c>
      <c r="AF568" s="5" t="n">
        <f aca="false">IF(B568="","",MONTH(B568))</f>
        <v>8</v>
      </c>
      <c r="AG568" s="5" t="n">
        <f aca="false">IF(B568="","",YEAR(B568))</f>
        <v>2024</v>
      </c>
      <c r="AH568" s="3" t="s">
        <v>185</v>
      </c>
      <c r="AI568" s="3" t="s">
        <v>130</v>
      </c>
      <c r="AJ568" s="3" t="str">
        <f aca="false">IF(AND(AI568="Completed",AH568="Failed"),"Inconsistent - Completed Order with Failed Payment","OK")</f>
        <v>OK</v>
      </c>
      <c r="AK568" s="3" t="s">
        <v>54</v>
      </c>
      <c r="AL568" s="3" t="str">
        <f aca="false">IF(OR(T568="Negative - Invalid",T568="Above Allowed Range - Invalid",AE568="Invalid - Ship Before Order",AK568&lt;&gt;"Unique",AB568="Mismatch",AC568="Mismatch",AJ568&lt;&gt;"OK"),"Invalid",IF(OR(H568="Yes",O568="Yes",T568="Missing"),"Warning","Clean"))</f>
        <v>Clean</v>
      </c>
    </row>
    <row r="569" customFormat="false" ht="15" hidden="false" customHeight="true" outlineLevel="0" collapsed="false">
      <c r="A569" s="3" t="s">
        <v>1842</v>
      </c>
      <c r="B569" s="4" t="n">
        <v>45328</v>
      </c>
      <c r="C569" s="4" t="n">
        <v>45332</v>
      </c>
      <c r="D569" s="3" t="s">
        <v>1843</v>
      </c>
      <c r="E569" s="3" t="s">
        <v>77</v>
      </c>
      <c r="F569" s="3" t="s">
        <v>121</v>
      </c>
      <c r="G569" s="3" t="s">
        <v>42</v>
      </c>
      <c r="H569" s="3" t="s">
        <v>43</v>
      </c>
      <c r="I569" s="3" t="s">
        <v>163</v>
      </c>
      <c r="J569" s="3" t="s">
        <v>164</v>
      </c>
      <c r="K569" s="3" t="s">
        <v>62</v>
      </c>
      <c r="L569" s="3" t="s">
        <v>81</v>
      </c>
      <c r="M569" s="3" t="s">
        <v>634</v>
      </c>
      <c r="N569" s="3" t="s">
        <v>65</v>
      </c>
      <c r="O569" s="3" t="s">
        <v>43</v>
      </c>
      <c r="P569" s="5" t="n">
        <v>1</v>
      </c>
      <c r="Q569" s="6" t="n">
        <v>1374.06</v>
      </c>
      <c r="R569" s="3" t="s">
        <v>128</v>
      </c>
      <c r="S569" s="7" t="n">
        <v>0.05</v>
      </c>
      <c r="T569" s="3" t="s">
        <v>51</v>
      </c>
      <c r="U569" s="7" t="n">
        <f aca="false">IF(T569="Valid",S569,0)</f>
        <v>0.05</v>
      </c>
      <c r="V569" s="6" t="n">
        <v>1305.36</v>
      </c>
      <c r="W569" s="6" t="n">
        <v>731.89</v>
      </c>
      <c r="X569" s="6" t="n">
        <v>573.47</v>
      </c>
      <c r="Y569" s="6" t="n">
        <f aca="false">P569*Q569*(1-U569)</f>
        <v>1305.357</v>
      </c>
      <c r="Z569" s="6" t="n">
        <f aca="false">Y569-W569</f>
        <v>573.467</v>
      </c>
      <c r="AA569" s="8" t="n">
        <f aca="false">IF(Y569=0,0,Z569/Y569)</f>
        <v>0.439318132893913</v>
      </c>
      <c r="AB569" s="3" t="str">
        <f aca="false">IF(ABS(V569-Y569)&gt;1,"Mismatch","OK")</f>
        <v>OK</v>
      </c>
      <c r="AC569" s="3" t="str">
        <f aca="false">IF(ABS(X569-Z569)&gt;1,"Mismatch","OK")</f>
        <v>OK</v>
      </c>
      <c r="AD569" s="5" t="n">
        <f aca="false">IF(OR(B569="",C569=""),"",C569-B569)</f>
        <v>4</v>
      </c>
      <c r="AE569" s="3" t="str">
        <f aca="false">IF(AD569="","Unknown",IF(AD569&lt;0,"Invalid - Ship Before Order","OK"))</f>
        <v>OK</v>
      </c>
      <c r="AF569" s="5" t="n">
        <f aca="false">IF(B569="","",MONTH(B569))</f>
        <v>2</v>
      </c>
      <c r="AG569" s="5" t="n">
        <f aca="false">IF(B569="","",YEAR(B569))</f>
        <v>2024</v>
      </c>
      <c r="AH569" s="3" t="s">
        <v>52</v>
      </c>
      <c r="AI569" s="3" t="s">
        <v>53</v>
      </c>
      <c r="AJ569" s="3" t="str">
        <f aca="false">IF(AND(AI569="Completed",AH569="Failed"),"Inconsistent - Completed Order with Failed Payment","OK")</f>
        <v>OK</v>
      </c>
      <c r="AK569" s="3" t="s">
        <v>54</v>
      </c>
      <c r="AL569" s="3" t="str">
        <f aca="false">IF(OR(T569="Negative - Invalid",T569="Above Allowed Range - Invalid",AE569="Invalid - Ship Before Order",AK569&lt;&gt;"Unique",AB569="Mismatch",AC569="Mismatch",AJ569&lt;&gt;"OK"),"Invalid",IF(OR(H569="Yes",O569="Yes",T569="Missing"),"Warning","Clean"))</f>
        <v>Clean</v>
      </c>
    </row>
    <row r="570" customFormat="false" ht="15" hidden="false" customHeight="true" outlineLevel="0" collapsed="false">
      <c r="A570" s="3" t="s">
        <v>1844</v>
      </c>
      <c r="B570" s="4" t="n">
        <v>45312</v>
      </c>
      <c r="C570" s="4" t="n">
        <v>45315</v>
      </c>
      <c r="D570" s="3" t="s">
        <v>1845</v>
      </c>
      <c r="E570" s="3" t="s">
        <v>298</v>
      </c>
      <c r="F570" s="3" t="s">
        <v>116</v>
      </c>
      <c r="G570" s="3" t="s">
        <v>42</v>
      </c>
      <c r="H570" s="3" t="s">
        <v>43</v>
      </c>
      <c r="I570" s="3" t="s">
        <v>149</v>
      </c>
      <c r="J570" s="3" t="s">
        <v>150</v>
      </c>
      <c r="K570" s="3" t="s">
        <v>99</v>
      </c>
      <c r="L570" s="3" t="s">
        <v>308</v>
      </c>
      <c r="M570" s="3" t="s">
        <v>1846</v>
      </c>
      <c r="N570" s="3" t="s">
        <v>65</v>
      </c>
      <c r="O570" s="3" t="s">
        <v>43</v>
      </c>
      <c r="P570" s="5" t="n">
        <v>1</v>
      </c>
      <c r="Q570" s="6" t="n">
        <v>3806.3</v>
      </c>
      <c r="R570" s="3" t="s">
        <v>84</v>
      </c>
      <c r="S570" s="7" t="n">
        <v>0.25</v>
      </c>
      <c r="T570" s="3" t="s">
        <v>51</v>
      </c>
      <c r="U570" s="7" t="n">
        <f aca="false">IF(T570="Valid",S570,0)</f>
        <v>0.25</v>
      </c>
      <c r="V570" s="6" t="n">
        <v>2854.73</v>
      </c>
      <c r="W570" s="6" t="n">
        <v>1968.12</v>
      </c>
      <c r="X570" s="6" t="n">
        <v>886.61</v>
      </c>
      <c r="Y570" s="6" t="n">
        <f aca="false">P570*Q570*(1-U570)</f>
        <v>2854.725</v>
      </c>
      <c r="Z570" s="6" t="n">
        <f aca="false">Y570-W570</f>
        <v>886.605000000001</v>
      </c>
      <c r="AA570" s="8" t="n">
        <f aca="false">IF(Y570=0,0,Z570/Y570)</f>
        <v>0.310574573733022</v>
      </c>
      <c r="AB570" s="3" t="str">
        <f aca="false">IF(ABS(V570-Y570)&gt;1,"Mismatch","OK")</f>
        <v>OK</v>
      </c>
      <c r="AC570" s="3" t="str">
        <f aca="false">IF(ABS(X570-Z570)&gt;1,"Mismatch","OK")</f>
        <v>OK</v>
      </c>
      <c r="AD570" s="5" t="n">
        <f aca="false">IF(OR(B570="",C570=""),"",C570-B570)</f>
        <v>3</v>
      </c>
      <c r="AE570" s="3" t="str">
        <f aca="false">IF(AD570="","Unknown",IF(AD570&lt;0,"Invalid - Ship Before Order","OK"))</f>
        <v>OK</v>
      </c>
      <c r="AF570" s="5" t="n">
        <f aca="false">IF(B570="","",MONTH(B570))</f>
        <v>1</v>
      </c>
      <c r="AG570" s="5" t="n">
        <f aca="false">IF(B570="","",YEAR(B570))</f>
        <v>2024</v>
      </c>
      <c r="AH570" s="3" t="s">
        <v>52</v>
      </c>
      <c r="AI570" s="3" t="s">
        <v>53</v>
      </c>
      <c r="AJ570" s="3" t="str">
        <f aca="false">IF(AND(AI570="Completed",AH570="Failed"),"Inconsistent - Completed Order with Failed Payment","OK")</f>
        <v>OK</v>
      </c>
      <c r="AK570" s="3" t="s">
        <v>54</v>
      </c>
      <c r="AL570" s="3" t="str">
        <f aca="false">IF(OR(T570="Negative - Invalid",T570="Above Allowed Range - Invalid",AE570="Invalid - Ship Before Order",AK570&lt;&gt;"Unique",AB570="Mismatch",AC570="Mismatch",AJ570&lt;&gt;"OK"),"Invalid",IF(OR(H570="Yes",O570="Yes",T570="Missing"),"Warning","Clean"))</f>
        <v>Clean</v>
      </c>
    </row>
    <row r="571" customFormat="false" ht="15" hidden="false" customHeight="true" outlineLevel="0" collapsed="false">
      <c r="A571" s="3" t="s">
        <v>1847</v>
      </c>
      <c r="B571" s="4" t="n">
        <v>45908</v>
      </c>
      <c r="C571" s="4" t="n">
        <v>45910</v>
      </c>
      <c r="D571" s="3" t="s">
        <v>1848</v>
      </c>
      <c r="E571" s="3" t="s">
        <v>145</v>
      </c>
      <c r="F571" s="3" t="s">
        <v>121</v>
      </c>
      <c r="G571" s="3" t="s">
        <v>88</v>
      </c>
      <c r="H571" s="3" t="s">
        <v>43</v>
      </c>
      <c r="I571" s="3" t="s">
        <v>89</v>
      </c>
      <c r="J571" s="3" t="s">
        <v>90</v>
      </c>
      <c r="K571" s="3" t="s">
        <v>62</v>
      </c>
      <c r="L571" s="3" t="s">
        <v>81</v>
      </c>
      <c r="M571" s="3" t="s">
        <v>1849</v>
      </c>
      <c r="N571" s="3" t="s">
        <v>83</v>
      </c>
      <c r="O571" s="3" t="s">
        <v>43</v>
      </c>
      <c r="P571" s="5" t="n">
        <v>6</v>
      </c>
      <c r="Q571" s="6" t="n">
        <v>3251.17</v>
      </c>
      <c r="R571" s="3" t="s">
        <v>84</v>
      </c>
      <c r="S571" s="7" t="n">
        <v>0.25</v>
      </c>
      <c r="T571" s="3" t="s">
        <v>51</v>
      </c>
      <c r="U571" s="7" t="n">
        <f aca="false">IF(T571="Valid",S571,0)</f>
        <v>0.25</v>
      </c>
      <c r="V571" s="6" t="n">
        <v>14630.26</v>
      </c>
      <c r="W571" s="6" t="n">
        <v>11906.36</v>
      </c>
      <c r="X571" s="6" t="n">
        <v>2723.9</v>
      </c>
      <c r="Y571" s="6" t="n">
        <f aca="false">P571*Q571*(1-U571)</f>
        <v>14630.265</v>
      </c>
      <c r="Z571" s="6" t="n">
        <f aca="false">Y571-W571</f>
        <v>2723.905</v>
      </c>
      <c r="AA571" s="8" t="n">
        <f aca="false">IF(Y571=0,0,Z571/Y571)</f>
        <v>0.186182888689986</v>
      </c>
      <c r="AB571" s="3" t="str">
        <f aca="false">IF(ABS(V571-Y571)&gt;1,"Mismatch","OK")</f>
        <v>OK</v>
      </c>
      <c r="AC571" s="3" t="str">
        <f aca="false">IF(ABS(X571-Z571)&gt;1,"Mismatch","OK")</f>
        <v>OK</v>
      </c>
      <c r="AD571" s="5" t="n">
        <f aca="false">IF(OR(B571="",C571=""),"",C571-B571)</f>
        <v>2</v>
      </c>
      <c r="AE571" s="3" t="str">
        <f aca="false">IF(AD571="","Unknown",IF(AD571&lt;0,"Invalid - Ship Before Order","OK"))</f>
        <v>OK</v>
      </c>
      <c r="AF571" s="5" t="n">
        <f aca="false">IF(B571="","",MONTH(B571))</f>
        <v>9</v>
      </c>
      <c r="AG571" s="5" t="n">
        <f aca="false">IF(B571="","",YEAR(B571))</f>
        <v>2025</v>
      </c>
      <c r="AH571" s="3" t="s">
        <v>129</v>
      </c>
      <c r="AI571" s="3" t="s">
        <v>130</v>
      </c>
      <c r="AJ571" s="3" t="str">
        <f aca="false">IF(AND(AI571="Completed",AH571="Failed"),"Inconsistent - Completed Order with Failed Payment","OK")</f>
        <v>OK</v>
      </c>
      <c r="AK571" s="3" t="s">
        <v>54</v>
      </c>
      <c r="AL571" s="3" t="str">
        <f aca="false">IF(OR(T571="Negative - Invalid",T571="Above Allowed Range - Invalid",AE571="Invalid - Ship Before Order",AK571&lt;&gt;"Unique",AB571="Mismatch",AC571="Mismatch",AJ571&lt;&gt;"OK"),"Invalid",IF(OR(H571="Yes",O571="Yes",T571="Missing"),"Warning","Clean"))</f>
        <v>Clean</v>
      </c>
    </row>
    <row r="572" customFormat="false" ht="15" hidden="false" customHeight="true" outlineLevel="0" collapsed="false">
      <c r="A572" s="3" t="s">
        <v>1850</v>
      </c>
      <c r="B572" s="4" t="n">
        <v>45887</v>
      </c>
      <c r="C572" s="4" t="n">
        <v>45891</v>
      </c>
      <c r="D572" s="3" t="s">
        <v>1851</v>
      </c>
      <c r="E572" s="3" t="s">
        <v>77</v>
      </c>
      <c r="F572" s="3" t="s">
        <v>41</v>
      </c>
      <c r="G572" s="3" t="s">
        <v>59</v>
      </c>
      <c r="H572" s="3" t="s">
        <v>43</v>
      </c>
      <c r="I572" s="3" t="s">
        <v>262</v>
      </c>
      <c r="J572" s="3" t="s">
        <v>263</v>
      </c>
      <c r="K572" s="3" t="s">
        <v>62</v>
      </c>
      <c r="L572" s="3" t="s">
        <v>81</v>
      </c>
      <c r="M572" s="3" t="s">
        <v>1852</v>
      </c>
      <c r="N572" s="3" t="s">
        <v>49</v>
      </c>
      <c r="O572" s="3" t="s">
        <v>43</v>
      </c>
      <c r="P572" s="5" t="n">
        <v>3</v>
      </c>
      <c r="Q572" s="6" t="n">
        <v>3946.44</v>
      </c>
      <c r="R572" s="3" t="s">
        <v>84</v>
      </c>
      <c r="S572" s="7" t="n">
        <v>0.25</v>
      </c>
      <c r="T572" s="3" t="s">
        <v>51</v>
      </c>
      <c r="U572" s="7" t="n">
        <f aca="false">IF(T572="Valid",S572,0)</f>
        <v>0.25</v>
      </c>
      <c r="V572" s="6" t="n">
        <v>8879.49</v>
      </c>
      <c r="W572" s="6" t="n">
        <v>6344.57</v>
      </c>
      <c r="X572" s="6" t="n">
        <v>2534.92</v>
      </c>
      <c r="Y572" s="6" t="n">
        <f aca="false">P572*Q572*(1-U572)</f>
        <v>8879.49</v>
      </c>
      <c r="Z572" s="6" t="n">
        <f aca="false">Y572-W572</f>
        <v>2534.92</v>
      </c>
      <c r="AA572" s="8" t="n">
        <f aca="false">IF(Y572=0,0,Z572/Y572)</f>
        <v>0.285480359795439</v>
      </c>
      <c r="AB572" s="3" t="str">
        <f aca="false">IF(ABS(V572-Y572)&gt;1,"Mismatch","OK")</f>
        <v>OK</v>
      </c>
      <c r="AC572" s="3" t="str">
        <f aca="false">IF(ABS(X572-Z572)&gt;1,"Mismatch","OK")</f>
        <v>OK</v>
      </c>
      <c r="AD572" s="5" t="n">
        <f aca="false">IF(OR(B572="",C572=""),"",C572-B572)</f>
        <v>4</v>
      </c>
      <c r="AE572" s="3" t="str">
        <f aca="false">IF(AD572="","Unknown",IF(AD572&lt;0,"Invalid - Ship Before Order","OK"))</f>
        <v>OK</v>
      </c>
      <c r="AF572" s="5" t="n">
        <f aca="false">IF(B572="","",MONTH(B572))</f>
        <v>8</v>
      </c>
      <c r="AG572" s="5" t="n">
        <f aca="false">IF(B572="","",YEAR(B572))</f>
        <v>2025</v>
      </c>
      <c r="AH572" s="3" t="s">
        <v>185</v>
      </c>
      <c r="AI572" s="3" t="s">
        <v>130</v>
      </c>
      <c r="AJ572" s="3" t="str">
        <f aca="false">IF(AND(AI572="Completed",AH572="Failed"),"Inconsistent - Completed Order with Failed Payment","OK")</f>
        <v>OK</v>
      </c>
      <c r="AK572" s="3" t="s">
        <v>54</v>
      </c>
      <c r="AL572" s="3" t="str">
        <f aca="false">IF(OR(T572="Negative - Invalid",T572="Above Allowed Range - Invalid",AE572="Invalid - Ship Before Order",AK572&lt;&gt;"Unique",AB572="Mismatch",AC572="Mismatch",AJ572&lt;&gt;"OK"),"Invalid",IF(OR(H572="Yes",O572="Yes",T572="Missing"),"Warning","Clean"))</f>
        <v>Clean</v>
      </c>
    </row>
    <row r="573" customFormat="false" ht="15" hidden="false" customHeight="true" outlineLevel="0" collapsed="false">
      <c r="A573" s="3" t="s">
        <v>1853</v>
      </c>
      <c r="B573" s="4" t="n">
        <v>45698</v>
      </c>
      <c r="C573" s="4" t="n">
        <v>45702</v>
      </c>
      <c r="D573" s="3" t="s">
        <v>1854</v>
      </c>
      <c r="E573" s="3" t="s">
        <v>141</v>
      </c>
      <c r="F573" s="3" t="s">
        <v>58</v>
      </c>
      <c r="G573" s="3" t="s">
        <v>42</v>
      </c>
      <c r="H573" s="3" t="s">
        <v>43</v>
      </c>
      <c r="I573" s="3" t="s">
        <v>163</v>
      </c>
      <c r="J573" s="3" t="s">
        <v>164</v>
      </c>
      <c r="K573" s="3" t="s">
        <v>99</v>
      </c>
      <c r="L573" s="3" t="s">
        <v>201</v>
      </c>
      <c r="M573" s="3" t="s">
        <v>1855</v>
      </c>
      <c r="N573" s="3" t="s">
        <v>237</v>
      </c>
      <c r="O573" s="3" t="s">
        <v>238</v>
      </c>
      <c r="P573" s="5" t="n">
        <v>5</v>
      </c>
      <c r="Q573" s="6" t="n">
        <v>4276.29</v>
      </c>
      <c r="R573" s="3" t="s">
        <v>66</v>
      </c>
      <c r="S573" s="7" t="n">
        <v>0</v>
      </c>
      <c r="T573" s="3" t="s">
        <v>51</v>
      </c>
      <c r="U573" s="7" t="n">
        <f aca="false">IF(T573="Valid",S573,0)</f>
        <v>0</v>
      </c>
      <c r="V573" s="6" t="n">
        <v>21381.45</v>
      </c>
      <c r="W573" s="6" t="n">
        <v>13240.21</v>
      </c>
      <c r="X573" s="6" t="n">
        <v>8141.24</v>
      </c>
      <c r="Y573" s="6" t="n">
        <f aca="false">P573*Q573*(1-U573)</f>
        <v>21381.45</v>
      </c>
      <c r="Z573" s="6" t="n">
        <f aca="false">Y573-W573</f>
        <v>8141.24</v>
      </c>
      <c r="AA573" s="8" t="n">
        <f aca="false">IF(Y573=0,0,Z573/Y573)</f>
        <v>0.380761828594413</v>
      </c>
      <c r="AB573" s="3" t="str">
        <f aca="false">IF(ABS(V573-Y573)&gt;1,"Mismatch","OK")</f>
        <v>OK</v>
      </c>
      <c r="AC573" s="3" t="str">
        <f aca="false">IF(ABS(X573-Z573)&gt;1,"Mismatch","OK")</f>
        <v>OK</v>
      </c>
      <c r="AD573" s="5" t="n">
        <f aca="false">IF(OR(B573="",C573=""),"",C573-B573)</f>
        <v>4</v>
      </c>
      <c r="AE573" s="3" t="str">
        <f aca="false">IF(AD573="","Unknown",IF(AD573&lt;0,"Invalid - Ship Before Order","OK"))</f>
        <v>OK</v>
      </c>
      <c r="AF573" s="5" t="n">
        <f aca="false">IF(B573="","",MONTH(B573))</f>
        <v>2</v>
      </c>
      <c r="AG573" s="5" t="n">
        <f aca="false">IF(B573="","",YEAR(B573))</f>
        <v>2025</v>
      </c>
      <c r="AH573" s="3" t="s">
        <v>185</v>
      </c>
      <c r="AI573" s="3" t="s">
        <v>130</v>
      </c>
      <c r="AJ573" s="3" t="str">
        <f aca="false">IF(AND(AI573="Completed",AH573="Failed"),"Inconsistent - Completed Order with Failed Payment","OK")</f>
        <v>OK</v>
      </c>
      <c r="AK573" s="3" t="s">
        <v>417</v>
      </c>
      <c r="AL573" s="3" t="str">
        <f aca="false">IF(OR(T573="Negative - Invalid",T573="Above Allowed Range - Invalid",AE573="Invalid - Ship Before Order",AK573&lt;&gt;"Unique",AB573="Mismatch",AC573="Mismatch",AJ573&lt;&gt;"OK"),"Invalid",IF(OR(H573="Yes",O573="Yes",T573="Missing"),"Warning","Clean"))</f>
        <v>Invalid</v>
      </c>
    </row>
    <row r="574" customFormat="false" ht="15" hidden="false" customHeight="true" outlineLevel="0" collapsed="false">
      <c r="A574" s="3" t="s">
        <v>1856</v>
      </c>
      <c r="B574" s="4" t="n">
        <v>45293</v>
      </c>
      <c r="C574" s="4" t="n">
        <v>45300</v>
      </c>
      <c r="D574" s="3" t="s">
        <v>1857</v>
      </c>
      <c r="E574" s="3" t="s">
        <v>192</v>
      </c>
      <c r="F574" s="3" t="s">
        <v>116</v>
      </c>
      <c r="G574" s="3" t="s">
        <v>42</v>
      </c>
      <c r="H574" s="3" t="s">
        <v>43</v>
      </c>
      <c r="I574" s="3" t="s">
        <v>384</v>
      </c>
      <c r="J574" s="3" t="s">
        <v>385</v>
      </c>
      <c r="K574" s="3" t="s">
        <v>99</v>
      </c>
      <c r="L574" s="3" t="s">
        <v>201</v>
      </c>
      <c r="M574" s="3" t="s">
        <v>1858</v>
      </c>
      <c r="N574" s="3" t="s">
        <v>83</v>
      </c>
      <c r="O574" s="3" t="s">
        <v>43</v>
      </c>
      <c r="P574" s="5" t="n">
        <v>3</v>
      </c>
      <c r="Q574" s="6" t="n">
        <v>739.56</v>
      </c>
      <c r="R574" s="3" t="s">
        <v>50</v>
      </c>
      <c r="S574" s="7" t="n">
        <v>0.2</v>
      </c>
      <c r="T574" s="3" t="s">
        <v>51</v>
      </c>
      <c r="U574" s="7" t="n">
        <f aca="false">IF(T574="Valid",S574,0)</f>
        <v>0.2</v>
      </c>
      <c r="V574" s="6" t="n">
        <v>1774.94</v>
      </c>
      <c r="W574" s="6" t="n">
        <v>1007.4</v>
      </c>
      <c r="X574" s="6" t="n">
        <v>767.54</v>
      </c>
      <c r="Y574" s="6" t="n">
        <f aca="false">P574*Q574*(1-U574)</f>
        <v>1774.944</v>
      </c>
      <c r="Z574" s="6" t="n">
        <f aca="false">Y574-W574</f>
        <v>767.544</v>
      </c>
      <c r="AA574" s="8" t="n">
        <f aca="false">IF(Y574=0,0,Z574/Y574)</f>
        <v>0.43243279787982</v>
      </c>
      <c r="AB574" s="3" t="str">
        <f aca="false">IF(ABS(V574-Y574)&gt;1,"Mismatch","OK")</f>
        <v>OK</v>
      </c>
      <c r="AC574" s="3" t="str">
        <f aca="false">IF(ABS(X574-Z574)&gt;1,"Mismatch","OK")</f>
        <v>OK</v>
      </c>
      <c r="AD574" s="5" t="n">
        <f aca="false">IF(OR(B574="",C574=""),"",C574-B574)</f>
        <v>7</v>
      </c>
      <c r="AE574" s="3" t="str">
        <f aca="false">IF(AD574="","Unknown",IF(AD574&lt;0,"Invalid - Ship Before Order","OK"))</f>
        <v>OK</v>
      </c>
      <c r="AF574" s="5" t="n">
        <f aca="false">IF(B574="","",MONTH(B574))</f>
        <v>1</v>
      </c>
      <c r="AG574" s="5" t="n">
        <f aca="false">IF(B574="","",YEAR(B574))</f>
        <v>2024</v>
      </c>
      <c r="AH574" s="3" t="s">
        <v>52</v>
      </c>
      <c r="AI574" s="3" t="s">
        <v>53</v>
      </c>
      <c r="AJ574" s="3" t="str">
        <f aca="false">IF(AND(AI574="Completed",AH574="Failed"),"Inconsistent - Completed Order with Failed Payment","OK")</f>
        <v>OK</v>
      </c>
      <c r="AK574" s="3" t="s">
        <v>54</v>
      </c>
      <c r="AL574" s="3" t="str">
        <f aca="false">IF(OR(T574="Negative - Invalid",T574="Above Allowed Range - Invalid",AE574="Invalid - Ship Before Order",AK574&lt;&gt;"Unique",AB574="Mismatch",AC574="Mismatch",AJ574&lt;&gt;"OK"),"Invalid",IF(OR(H574="Yes",O574="Yes",T574="Missing"),"Warning","Clean"))</f>
        <v>Clean</v>
      </c>
    </row>
    <row r="575" customFormat="false" ht="15" hidden="false" customHeight="true" outlineLevel="0" collapsed="false">
      <c r="A575" s="3" t="s">
        <v>1859</v>
      </c>
      <c r="B575" s="4" t="n">
        <v>45922</v>
      </c>
      <c r="C575" s="4" t="n">
        <v>45926</v>
      </c>
      <c r="D575" s="3" t="s">
        <v>1860</v>
      </c>
      <c r="E575" s="3" t="s">
        <v>69</v>
      </c>
      <c r="F575" s="3" t="s">
        <v>41</v>
      </c>
      <c r="G575" s="3" t="s">
        <v>78</v>
      </c>
      <c r="H575" s="3" t="s">
        <v>43</v>
      </c>
      <c r="I575" s="3" t="s">
        <v>110</v>
      </c>
      <c r="J575" s="3" t="s">
        <v>111</v>
      </c>
      <c r="K575" s="3" t="s">
        <v>99</v>
      </c>
      <c r="L575" s="3" t="s">
        <v>201</v>
      </c>
      <c r="M575" s="3" t="s">
        <v>1861</v>
      </c>
      <c r="N575" s="3" t="s">
        <v>83</v>
      </c>
      <c r="O575" s="3" t="s">
        <v>43</v>
      </c>
      <c r="P575" s="5" t="n">
        <v>1</v>
      </c>
      <c r="Q575" s="6" t="n">
        <v>573.65</v>
      </c>
      <c r="R575" s="3" t="s">
        <v>66</v>
      </c>
      <c r="S575" s="7" t="n">
        <v>0</v>
      </c>
      <c r="T575" s="3" t="s">
        <v>51</v>
      </c>
      <c r="U575" s="7" t="n">
        <f aca="false">IF(T575="Valid",S575,0)</f>
        <v>0</v>
      </c>
      <c r="V575" s="6" t="n">
        <v>573.65</v>
      </c>
      <c r="W575" s="6" t="n">
        <v>322.67</v>
      </c>
      <c r="X575" s="6" t="n">
        <v>250.98</v>
      </c>
      <c r="Y575" s="6" t="n">
        <f aca="false">P575*Q575*(1-U575)</f>
        <v>573.65</v>
      </c>
      <c r="Z575" s="6" t="n">
        <f aca="false">Y575-W575</f>
        <v>250.98</v>
      </c>
      <c r="AA575" s="8" t="n">
        <f aca="false">IF(Y575=0,0,Z575/Y575)</f>
        <v>0.43751416368866</v>
      </c>
      <c r="AB575" s="3" t="str">
        <f aca="false">IF(ABS(V575-Y575)&gt;1,"Mismatch","OK")</f>
        <v>OK</v>
      </c>
      <c r="AC575" s="3" t="str">
        <f aca="false">IF(ABS(X575-Z575)&gt;1,"Mismatch","OK")</f>
        <v>OK</v>
      </c>
      <c r="AD575" s="5" t="n">
        <f aca="false">IF(OR(B575="",C575=""),"",C575-B575)</f>
        <v>4</v>
      </c>
      <c r="AE575" s="3" t="str">
        <f aca="false">IF(AD575="","Unknown",IF(AD575&lt;0,"Invalid - Ship Before Order","OK"))</f>
        <v>OK</v>
      </c>
      <c r="AF575" s="5" t="n">
        <f aca="false">IF(B575="","",MONTH(B575))</f>
        <v>9</v>
      </c>
      <c r="AG575" s="5" t="n">
        <f aca="false">IF(B575="","",YEAR(B575))</f>
        <v>2025</v>
      </c>
      <c r="AH575" s="3" t="s">
        <v>52</v>
      </c>
      <c r="AI575" s="3" t="s">
        <v>53</v>
      </c>
      <c r="AJ575" s="3" t="str">
        <f aca="false">IF(AND(AI575="Completed",AH575="Failed"),"Inconsistent - Completed Order with Failed Payment","OK")</f>
        <v>OK</v>
      </c>
      <c r="AK575" s="3" t="s">
        <v>54</v>
      </c>
      <c r="AL575" s="3" t="str">
        <f aca="false">IF(OR(T575="Negative - Invalid",T575="Above Allowed Range - Invalid",AE575="Invalid - Ship Before Order",AK575&lt;&gt;"Unique",AB575="Mismatch",AC575="Mismatch",AJ575&lt;&gt;"OK"),"Invalid",IF(OR(H575="Yes",O575="Yes",T575="Missing"),"Warning","Clean"))</f>
        <v>Clean</v>
      </c>
    </row>
    <row r="576" customFormat="false" ht="15" hidden="false" customHeight="true" outlineLevel="0" collapsed="false">
      <c r="A576" s="3" t="s">
        <v>1862</v>
      </c>
      <c r="B576" s="4" t="n">
        <v>45342</v>
      </c>
      <c r="C576" s="4" t="n">
        <v>45347</v>
      </c>
      <c r="D576" s="3" t="s">
        <v>841</v>
      </c>
      <c r="E576" s="3" t="s">
        <v>192</v>
      </c>
      <c r="F576" s="3" t="s">
        <v>121</v>
      </c>
      <c r="G576" s="3" t="s">
        <v>42</v>
      </c>
      <c r="H576" s="3" t="s">
        <v>43</v>
      </c>
      <c r="I576" s="3" t="s">
        <v>149</v>
      </c>
      <c r="J576" s="3" t="s">
        <v>150</v>
      </c>
      <c r="K576" s="3" t="s">
        <v>99</v>
      </c>
      <c r="L576" s="3" t="s">
        <v>308</v>
      </c>
      <c r="M576" s="3" t="s">
        <v>1863</v>
      </c>
      <c r="N576" s="3" t="s">
        <v>83</v>
      </c>
      <c r="O576" s="3" t="s">
        <v>43</v>
      </c>
      <c r="P576" s="5" t="n">
        <v>4</v>
      </c>
      <c r="Q576" s="6" t="n">
        <v>1355.8</v>
      </c>
      <c r="R576" s="3" t="s">
        <v>66</v>
      </c>
      <c r="S576" s="7" t="n">
        <v>0</v>
      </c>
      <c r="T576" s="3" t="s">
        <v>51</v>
      </c>
      <c r="U576" s="7" t="n">
        <f aca="false">IF(T576="Valid",S576,0)</f>
        <v>0</v>
      </c>
      <c r="V576" s="6" t="n">
        <v>5423.2</v>
      </c>
      <c r="W576" s="6" t="n">
        <v>4072.44</v>
      </c>
      <c r="X576" s="6" t="n">
        <v>1350.76</v>
      </c>
      <c r="Y576" s="6" t="n">
        <f aca="false">P576*Q576*(1-U576)</f>
        <v>5423.2</v>
      </c>
      <c r="Z576" s="6" t="n">
        <f aca="false">Y576-W576</f>
        <v>1350.76</v>
      </c>
      <c r="AA576" s="8" t="n">
        <f aca="false">IF(Y576=0,0,Z576/Y576)</f>
        <v>0.24907065938929</v>
      </c>
      <c r="AB576" s="3" t="str">
        <f aca="false">IF(ABS(V576-Y576)&gt;1,"Mismatch","OK")</f>
        <v>OK</v>
      </c>
      <c r="AC576" s="3" t="str">
        <f aca="false">IF(ABS(X576-Z576)&gt;1,"Mismatch","OK")</f>
        <v>OK</v>
      </c>
      <c r="AD576" s="5" t="n">
        <f aca="false">IF(OR(B576="",C576=""),"",C576-B576)</f>
        <v>5</v>
      </c>
      <c r="AE576" s="3" t="str">
        <f aca="false">IF(AD576="","Unknown",IF(AD576&lt;0,"Invalid - Ship Before Order","OK"))</f>
        <v>OK</v>
      </c>
      <c r="AF576" s="5" t="n">
        <f aca="false">IF(B576="","",MONTH(B576))</f>
        <v>2</v>
      </c>
      <c r="AG576" s="5" t="n">
        <f aca="false">IF(B576="","",YEAR(B576))</f>
        <v>2024</v>
      </c>
      <c r="AH576" s="3" t="s">
        <v>52</v>
      </c>
      <c r="AI576" s="3" t="s">
        <v>53</v>
      </c>
      <c r="AJ576" s="3" t="str">
        <f aca="false">IF(AND(AI576="Completed",AH576="Failed"),"Inconsistent - Completed Order with Failed Payment","OK")</f>
        <v>OK</v>
      </c>
      <c r="AK576" s="3" t="s">
        <v>54</v>
      </c>
      <c r="AL576" s="3" t="str">
        <f aca="false">IF(OR(T576="Negative - Invalid",T576="Above Allowed Range - Invalid",AE576="Invalid - Ship Before Order",AK576&lt;&gt;"Unique",AB576="Mismatch",AC576="Mismatch",AJ576&lt;&gt;"OK"),"Invalid",IF(OR(H576="Yes",O576="Yes",T576="Missing"),"Warning","Clean"))</f>
        <v>Clean</v>
      </c>
    </row>
    <row r="577" customFormat="false" ht="15" hidden="false" customHeight="true" outlineLevel="0" collapsed="false">
      <c r="A577" s="3" t="s">
        <v>1864</v>
      </c>
      <c r="B577" s="4" t="n">
        <v>45727</v>
      </c>
      <c r="C577" s="4" t="n">
        <v>45730</v>
      </c>
      <c r="D577" s="3" t="s">
        <v>1865</v>
      </c>
      <c r="E577" s="3" t="s">
        <v>159</v>
      </c>
      <c r="F577" s="3" t="s">
        <v>121</v>
      </c>
      <c r="G577" s="3" t="s">
        <v>78</v>
      </c>
      <c r="H577" s="3" t="s">
        <v>43</v>
      </c>
      <c r="I577" s="3" t="s">
        <v>216</v>
      </c>
      <c r="J577" s="3" t="s">
        <v>217</v>
      </c>
      <c r="K577" s="3" t="s">
        <v>62</v>
      </c>
      <c r="L577" s="3" t="s">
        <v>81</v>
      </c>
      <c r="M577" s="3" t="s">
        <v>1866</v>
      </c>
      <c r="N577" s="3" t="s">
        <v>65</v>
      </c>
      <c r="O577" s="3" t="s">
        <v>43</v>
      </c>
      <c r="P577" s="5" t="n">
        <v>4</v>
      </c>
      <c r="Q577" s="6" t="n">
        <v>1244.82</v>
      </c>
      <c r="R577" s="3" t="s">
        <v>50</v>
      </c>
      <c r="S577" s="7" t="n">
        <v>0.2</v>
      </c>
      <c r="T577" s="3" t="s">
        <v>51</v>
      </c>
      <c r="U577" s="7" t="n">
        <f aca="false">IF(T577="Valid",S577,0)</f>
        <v>0.2</v>
      </c>
      <c r="V577" s="6" t="n">
        <v>3983.42</v>
      </c>
      <c r="W577" s="6" t="n">
        <v>3174.91</v>
      </c>
      <c r="X577" s="6" t="n">
        <v>808.51</v>
      </c>
      <c r="Y577" s="6" t="n">
        <f aca="false">P577*Q577*(1-U577)</f>
        <v>3983.424</v>
      </c>
      <c r="Z577" s="6" t="n">
        <f aca="false">Y577-W577</f>
        <v>808.514</v>
      </c>
      <c r="AA577" s="8" t="n">
        <f aca="false">IF(Y577=0,0,Z577/Y577)</f>
        <v>0.202969606047461</v>
      </c>
      <c r="AB577" s="3" t="str">
        <f aca="false">IF(ABS(V577-Y577)&gt;1,"Mismatch","OK")</f>
        <v>OK</v>
      </c>
      <c r="AC577" s="3" t="str">
        <f aca="false">IF(ABS(X577-Z577)&gt;1,"Mismatch","OK")</f>
        <v>OK</v>
      </c>
      <c r="AD577" s="5" t="n">
        <f aca="false">IF(OR(B577="",C577=""),"",C577-B577)</f>
        <v>3</v>
      </c>
      <c r="AE577" s="3" t="str">
        <f aca="false">IF(AD577="","Unknown",IF(AD577&lt;0,"Invalid - Ship Before Order","OK"))</f>
        <v>OK</v>
      </c>
      <c r="AF577" s="5" t="n">
        <f aca="false">IF(B577="","",MONTH(B577))</f>
        <v>3</v>
      </c>
      <c r="AG577" s="5" t="n">
        <f aca="false">IF(B577="","",YEAR(B577))</f>
        <v>2025</v>
      </c>
      <c r="AH577" s="3" t="s">
        <v>185</v>
      </c>
      <c r="AI577" s="3" t="s">
        <v>130</v>
      </c>
      <c r="AJ577" s="3" t="str">
        <f aca="false">IF(AND(AI577="Completed",AH577="Failed"),"Inconsistent - Completed Order with Failed Payment","OK")</f>
        <v>OK</v>
      </c>
      <c r="AK577" s="3" t="s">
        <v>54</v>
      </c>
      <c r="AL577" s="3" t="str">
        <f aca="false">IF(OR(T577="Negative - Invalid",T577="Above Allowed Range - Invalid",AE577="Invalid - Ship Before Order",AK577&lt;&gt;"Unique",AB577="Mismatch",AC577="Mismatch",AJ577&lt;&gt;"OK"),"Invalid",IF(OR(H577="Yes",O577="Yes",T577="Missing"),"Warning","Clean"))</f>
        <v>Clean</v>
      </c>
    </row>
    <row r="578" customFormat="false" ht="15" hidden="false" customHeight="true" outlineLevel="0" collapsed="false">
      <c r="A578" s="3" t="s">
        <v>1867</v>
      </c>
      <c r="B578" s="4" t="n">
        <v>45339</v>
      </c>
      <c r="C578" s="4" t="n">
        <v>45345</v>
      </c>
      <c r="D578" s="3" t="s">
        <v>1868</v>
      </c>
      <c r="E578" s="3" t="s">
        <v>168</v>
      </c>
      <c r="F578" s="3" t="s">
        <v>121</v>
      </c>
      <c r="G578" s="3" t="s">
        <v>237</v>
      </c>
      <c r="H578" s="3" t="s">
        <v>238</v>
      </c>
      <c r="I578" s="3" t="s">
        <v>174</v>
      </c>
      <c r="J578" s="3" t="s">
        <v>175</v>
      </c>
      <c r="K578" s="3" t="s">
        <v>46</v>
      </c>
      <c r="L578" s="3" t="s">
        <v>183</v>
      </c>
      <c r="M578" s="3" t="s">
        <v>1869</v>
      </c>
      <c r="N578" s="3" t="s">
        <v>83</v>
      </c>
      <c r="O578" s="3" t="s">
        <v>43</v>
      </c>
      <c r="P578" s="5" t="n">
        <v>9</v>
      </c>
      <c r="Q578" s="6" t="n">
        <v>2614.46</v>
      </c>
      <c r="R578" s="3" t="s">
        <v>66</v>
      </c>
      <c r="S578" s="7" t="n">
        <v>0</v>
      </c>
      <c r="T578" s="3" t="s">
        <v>51</v>
      </c>
      <c r="U578" s="7" t="n">
        <f aca="false">IF(T578="Valid",S578,0)</f>
        <v>0</v>
      </c>
      <c r="V578" s="6" t="n">
        <v>23530.14</v>
      </c>
      <c r="W578" s="6" t="n">
        <v>19537.79</v>
      </c>
      <c r="X578" s="6" t="n">
        <v>3992.35</v>
      </c>
      <c r="Y578" s="6" t="n">
        <f aca="false">P578*Q578*(1-U578)</f>
        <v>23530.14</v>
      </c>
      <c r="Z578" s="6" t="n">
        <f aca="false">Y578-W578</f>
        <v>3992.35</v>
      </c>
      <c r="AA578" s="8" t="n">
        <f aca="false">IF(Y578=0,0,Z578/Y578)</f>
        <v>0.169669623725146</v>
      </c>
      <c r="AB578" s="3" t="str">
        <f aca="false">IF(ABS(V578-Y578)&gt;1,"Mismatch","OK")</f>
        <v>OK</v>
      </c>
      <c r="AC578" s="3" t="str">
        <f aca="false">IF(ABS(X578-Z578)&gt;1,"Mismatch","OK")</f>
        <v>OK</v>
      </c>
      <c r="AD578" s="5" t="n">
        <f aca="false">IF(OR(B578="",C578=""),"",C578-B578)</f>
        <v>6</v>
      </c>
      <c r="AE578" s="3" t="str">
        <f aca="false">IF(AD578="","Unknown",IF(AD578&lt;0,"Invalid - Ship Before Order","OK"))</f>
        <v>OK</v>
      </c>
      <c r="AF578" s="5" t="n">
        <f aca="false">IF(B578="","",MONTH(B578))</f>
        <v>2</v>
      </c>
      <c r="AG578" s="5" t="n">
        <f aca="false">IF(B578="","",YEAR(B578))</f>
        <v>2024</v>
      </c>
      <c r="AH578" s="3" t="s">
        <v>129</v>
      </c>
      <c r="AI578" s="3" t="s">
        <v>130</v>
      </c>
      <c r="AJ578" s="3" t="str">
        <f aca="false">IF(AND(AI578="Completed",AH578="Failed"),"Inconsistent - Completed Order with Failed Payment","OK")</f>
        <v>OK</v>
      </c>
      <c r="AK578" s="3" t="s">
        <v>54</v>
      </c>
      <c r="AL578" s="3" t="str">
        <f aca="false">IF(OR(T578="Negative - Invalid",T578="Above Allowed Range - Invalid",AE578="Invalid - Ship Before Order",AK578&lt;&gt;"Unique",AB578="Mismatch",AC578="Mismatch",AJ578&lt;&gt;"OK"),"Invalid",IF(OR(H578="Yes",O578="Yes",T578="Missing"),"Warning","Clean"))</f>
        <v>Warning</v>
      </c>
    </row>
    <row r="579" customFormat="false" ht="15" hidden="false" customHeight="true" outlineLevel="0" collapsed="false">
      <c r="A579" s="3" t="s">
        <v>1870</v>
      </c>
      <c r="B579" s="4" t="n">
        <v>45897</v>
      </c>
      <c r="C579" s="4" t="n">
        <v>45903</v>
      </c>
      <c r="D579" s="3" t="s">
        <v>1871</v>
      </c>
      <c r="E579" s="3" t="s">
        <v>141</v>
      </c>
      <c r="F579" s="3" t="s">
        <v>116</v>
      </c>
      <c r="G579" s="3" t="s">
        <v>88</v>
      </c>
      <c r="H579" s="3" t="s">
        <v>43</v>
      </c>
      <c r="I579" s="3" t="s">
        <v>97</v>
      </c>
      <c r="J579" s="3" t="s">
        <v>98</v>
      </c>
      <c r="K579" s="3" t="s">
        <v>62</v>
      </c>
      <c r="L579" s="3" t="s">
        <v>81</v>
      </c>
      <c r="M579" s="3" t="s">
        <v>1872</v>
      </c>
      <c r="N579" s="3" t="s">
        <v>83</v>
      </c>
      <c r="O579" s="3" t="s">
        <v>43</v>
      </c>
      <c r="P579" s="5" t="n">
        <v>7</v>
      </c>
      <c r="Q579" s="6" t="n">
        <v>268.45</v>
      </c>
      <c r="R579" s="3" t="s">
        <v>66</v>
      </c>
      <c r="S579" s="7" t="n">
        <v>0</v>
      </c>
      <c r="T579" s="3" t="s">
        <v>51</v>
      </c>
      <c r="U579" s="7" t="n">
        <f aca="false">IF(T579="Valid",S579,0)</f>
        <v>0</v>
      </c>
      <c r="V579" s="6" t="n">
        <v>1879.15</v>
      </c>
      <c r="W579" s="6" t="n">
        <v>1134.9</v>
      </c>
      <c r="X579" s="6" t="n">
        <v>744.25</v>
      </c>
      <c r="Y579" s="6" t="n">
        <f aca="false">P579*Q579*(1-U579)</f>
        <v>1879.15</v>
      </c>
      <c r="Z579" s="6" t="n">
        <f aca="false">Y579-W579</f>
        <v>744.25</v>
      </c>
      <c r="AA579" s="8" t="n">
        <f aca="false">IF(Y579=0,0,Z579/Y579)</f>
        <v>0.396056727775856</v>
      </c>
      <c r="AB579" s="3" t="str">
        <f aca="false">IF(ABS(V579-Y579)&gt;1,"Mismatch","OK")</f>
        <v>OK</v>
      </c>
      <c r="AC579" s="3" t="str">
        <f aca="false">IF(ABS(X579-Z579)&gt;1,"Mismatch","OK")</f>
        <v>OK</v>
      </c>
      <c r="AD579" s="5" t="n">
        <f aca="false">IF(OR(B579="",C579=""),"",C579-B579)</f>
        <v>6</v>
      </c>
      <c r="AE579" s="3" t="str">
        <f aca="false">IF(AD579="","Unknown",IF(AD579&lt;0,"Invalid - Ship Before Order","OK"))</f>
        <v>OK</v>
      </c>
      <c r="AF579" s="5" t="n">
        <f aca="false">IF(B579="","",MONTH(B579))</f>
        <v>8</v>
      </c>
      <c r="AG579" s="5" t="n">
        <f aca="false">IF(B579="","",YEAR(B579))</f>
        <v>2025</v>
      </c>
      <c r="AH579" s="3" t="s">
        <v>52</v>
      </c>
      <c r="AI579" s="3" t="s">
        <v>53</v>
      </c>
      <c r="AJ579" s="3" t="str">
        <f aca="false">IF(AND(AI579="Completed",AH579="Failed"),"Inconsistent - Completed Order with Failed Payment","OK")</f>
        <v>OK</v>
      </c>
      <c r="AK579" s="3" t="s">
        <v>54</v>
      </c>
      <c r="AL579" s="3" t="str">
        <f aca="false">IF(OR(T579="Negative - Invalid",T579="Above Allowed Range - Invalid",AE579="Invalid - Ship Before Order",AK579&lt;&gt;"Unique",AB579="Mismatch",AC579="Mismatch",AJ579&lt;&gt;"OK"),"Invalid",IF(OR(H579="Yes",O579="Yes",T579="Missing"),"Warning","Clean"))</f>
        <v>Clean</v>
      </c>
    </row>
    <row r="580" customFormat="false" ht="15" hidden="false" customHeight="true" outlineLevel="0" collapsed="false">
      <c r="A580" s="3" t="s">
        <v>1873</v>
      </c>
      <c r="B580" s="4" t="n">
        <v>45343</v>
      </c>
      <c r="C580" s="4" t="n">
        <v>45345</v>
      </c>
      <c r="D580" s="3" t="s">
        <v>329</v>
      </c>
      <c r="E580" s="3" t="s">
        <v>104</v>
      </c>
      <c r="F580" s="3" t="s">
        <v>58</v>
      </c>
      <c r="G580" s="3" t="s">
        <v>88</v>
      </c>
      <c r="H580" s="3" t="s">
        <v>43</v>
      </c>
      <c r="I580" s="3" t="s">
        <v>211</v>
      </c>
      <c r="J580" s="3" t="s">
        <v>212</v>
      </c>
      <c r="K580" s="3" t="s">
        <v>99</v>
      </c>
      <c r="L580" s="3" t="s">
        <v>105</v>
      </c>
      <c r="M580" s="3" t="s">
        <v>1874</v>
      </c>
      <c r="N580" s="3" t="s">
        <v>72</v>
      </c>
      <c r="O580" s="3" t="s">
        <v>43</v>
      </c>
      <c r="P580" s="5" t="n">
        <v>6</v>
      </c>
      <c r="Q580" s="6" t="n">
        <v>2633.65</v>
      </c>
      <c r="R580" s="3" t="s">
        <v>128</v>
      </c>
      <c r="S580" s="7" t="n">
        <v>0.05</v>
      </c>
      <c r="T580" s="3" t="s">
        <v>51</v>
      </c>
      <c r="U580" s="7" t="n">
        <f aca="false">IF(T580="Valid",S580,0)</f>
        <v>0.05</v>
      </c>
      <c r="V580" s="6" t="n">
        <v>15011.81</v>
      </c>
      <c r="W580" s="6" t="n">
        <v>9660.36</v>
      </c>
      <c r="X580" s="6" t="n">
        <v>5351.45</v>
      </c>
      <c r="Y580" s="6" t="n">
        <f aca="false">P580*Q580*(1-U580)</f>
        <v>15011.805</v>
      </c>
      <c r="Z580" s="6" t="n">
        <f aca="false">Y580-W580</f>
        <v>5351.445</v>
      </c>
      <c r="AA580" s="8" t="n">
        <f aca="false">IF(Y580=0,0,Z580/Y580)</f>
        <v>0.356482448313178</v>
      </c>
      <c r="AB580" s="3" t="str">
        <f aca="false">IF(ABS(V580-Y580)&gt;1,"Mismatch","OK")</f>
        <v>OK</v>
      </c>
      <c r="AC580" s="3" t="str">
        <f aca="false">IF(ABS(X580-Z580)&gt;1,"Mismatch","OK")</f>
        <v>OK</v>
      </c>
      <c r="AD580" s="5" t="n">
        <f aca="false">IF(OR(B580="",C580=""),"",C580-B580)</f>
        <v>2</v>
      </c>
      <c r="AE580" s="3" t="str">
        <f aca="false">IF(AD580="","Unknown",IF(AD580&lt;0,"Invalid - Ship Before Order","OK"))</f>
        <v>OK</v>
      </c>
      <c r="AF580" s="5" t="n">
        <f aca="false">IF(B580="","",MONTH(B580))</f>
        <v>2</v>
      </c>
      <c r="AG580" s="5" t="n">
        <f aca="false">IF(B580="","",YEAR(B580))</f>
        <v>2024</v>
      </c>
      <c r="AH580" s="3" t="s">
        <v>52</v>
      </c>
      <c r="AI580" s="3" t="s">
        <v>53</v>
      </c>
      <c r="AJ580" s="3" t="str">
        <f aca="false">IF(AND(AI580="Completed",AH580="Failed"),"Inconsistent - Completed Order with Failed Payment","OK")</f>
        <v>OK</v>
      </c>
      <c r="AK580" s="3" t="s">
        <v>54</v>
      </c>
      <c r="AL580" s="3" t="str">
        <f aca="false">IF(OR(T580="Negative - Invalid",T580="Above Allowed Range - Invalid",AE580="Invalid - Ship Before Order",AK580&lt;&gt;"Unique",AB580="Mismatch",AC580="Mismatch",AJ580&lt;&gt;"OK"),"Invalid",IF(OR(H580="Yes",O580="Yes",T580="Missing"),"Warning","Clean"))</f>
        <v>Clean</v>
      </c>
    </row>
    <row r="581" customFormat="false" ht="15" hidden="false" customHeight="true" outlineLevel="0" collapsed="false">
      <c r="A581" s="3" t="s">
        <v>1875</v>
      </c>
      <c r="B581" s="4" t="n">
        <v>45462</v>
      </c>
      <c r="C581" s="4" t="n">
        <v>45467</v>
      </c>
      <c r="D581" s="3" t="s">
        <v>1876</v>
      </c>
      <c r="E581" s="3" t="s">
        <v>155</v>
      </c>
      <c r="F581" s="3" t="s">
        <v>58</v>
      </c>
      <c r="G581" s="3" t="s">
        <v>78</v>
      </c>
      <c r="H581" s="3" t="s">
        <v>43</v>
      </c>
      <c r="I581" s="3" t="s">
        <v>281</v>
      </c>
      <c r="J581" s="3" t="s">
        <v>282</v>
      </c>
      <c r="K581" s="3" t="s">
        <v>46</v>
      </c>
      <c r="L581" s="3" t="s">
        <v>151</v>
      </c>
      <c r="M581" s="3" t="s">
        <v>1877</v>
      </c>
      <c r="N581" s="3" t="s">
        <v>65</v>
      </c>
      <c r="O581" s="3" t="s">
        <v>43</v>
      </c>
      <c r="P581" s="5" t="n">
        <v>1</v>
      </c>
      <c r="Q581" s="6" t="n">
        <v>3202.41</v>
      </c>
      <c r="R581" s="3" t="s">
        <v>66</v>
      </c>
      <c r="S581" s="7" t="n">
        <v>0</v>
      </c>
      <c r="T581" s="3" t="s">
        <v>51</v>
      </c>
      <c r="U581" s="7" t="n">
        <f aca="false">IF(T581="Valid",S581,0)</f>
        <v>0</v>
      </c>
      <c r="V581" s="6" t="n">
        <v>3202.41</v>
      </c>
      <c r="W581" s="6" t="n">
        <v>2608.44</v>
      </c>
      <c r="X581" s="6" t="n">
        <v>593.97</v>
      </c>
      <c r="Y581" s="6" t="n">
        <f aca="false">P581*Q581*(1-U581)</f>
        <v>3202.41</v>
      </c>
      <c r="Z581" s="6" t="n">
        <f aca="false">Y581-W581</f>
        <v>593.97</v>
      </c>
      <c r="AA581" s="8" t="n">
        <f aca="false">IF(Y581=0,0,Z581/Y581)</f>
        <v>0.185475938433867</v>
      </c>
      <c r="AB581" s="3" t="str">
        <f aca="false">IF(ABS(V581-Y581)&gt;1,"Mismatch","OK")</f>
        <v>OK</v>
      </c>
      <c r="AC581" s="3" t="str">
        <f aca="false">IF(ABS(X581-Z581)&gt;1,"Mismatch","OK")</f>
        <v>OK</v>
      </c>
      <c r="AD581" s="5" t="n">
        <f aca="false">IF(OR(B581="",C581=""),"",C581-B581)</f>
        <v>5</v>
      </c>
      <c r="AE581" s="3" t="str">
        <f aca="false">IF(AD581="","Unknown",IF(AD581&lt;0,"Invalid - Ship Before Order","OK"))</f>
        <v>OK</v>
      </c>
      <c r="AF581" s="5" t="n">
        <f aca="false">IF(B581="","",MONTH(B581))</f>
        <v>6</v>
      </c>
      <c r="AG581" s="5" t="n">
        <f aca="false">IF(B581="","",YEAR(B581))</f>
        <v>2024</v>
      </c>
      <c r="AH581" s="3" t="s">
        <v>52</v>
      </c>
      <c r="AI581" s="3" t="s">
        <v>53</v>
      </c>
      <c r="AJ581" s="3" t="str">
        <f aca="false">IF(AND(AI581="Completed",AH581="Failed"),"Inconsistent - Completed Order with Failed Payment","OK")</f>
        <v>OK</v>
      </c>
      <c r="AK581" s="3" t="s">
        <v>54</v>
      </c>
      <c r="AL581" s="3" t="str">
        <f aca="false">IF(OR(T581="Negative - Invalid",T581="Above Allowed Range - Invalid",AE581="Invalid - Ship Before Order",AK581&lt;&gt;"Unique",AB581="Mismatch",AC581="Mismatch",AJ581&lt;&gt;"OK"),"Invalid",IF(OR(H581="Yes",O581="Yes",T581="Missing"),"Warning","Clean"))</f>
        <v>Clean</v>
      </c>
    </row>
    <row r="582" customFormat="false" ht="15" hidden="false" customHeight="true" outlineLevel="0" collapsed="false">
      <c r="A582" s="3" t="s">
        <v>1878</v>
      </c>
      <c r="B582" s="4" t="n">
        <v>45722</v>
      </c>
      <c r="C582" s="4" t="n">
        <v>45729</v>
      </c>
      <c r="D582" s="3" t="s">
        <v>1879</v>
      </c>
      <c r="E582" s="3" t="s">
        <v>298</v>
      </c>
      <c r="F582" s="3" t="s">
        <v>41</v>
      </c>
      <c r="G582" s="3" t="s">
        <v>78</v>
      </c>
      <c r="H582" s="3" t="s">
        <v>43</v>
      </c>
      <c r="I582" s="3" t="s">
        <v>216</v>
      </c>
      <c r="J582" s="3" t="s">
        <v>217</v>
      </c>
      <c r="K582" s="3" t="s">
        <v>62</v>
      </c>
      <c r="L582" s="3" t="s">
        <v>91</v>
      </c>
      <c r="M582" s="3" t="s">
        <v>1880</v>
      </c>
      <c r="N582" s="3" t="s">
        <v>83</v>
      </c>
      <c r="O582" s="3" t="s">
        <v>43</v>
      </c>
      <c r="P582" s="5" t="n">
        <v>3</v>
      </c>
      <c r="Q582" s="6" t="n">
        <v>163.72</v>
      </c>
      <c r="R582" s="3" t="s">
        <v>107</v>
      </c>
      <c r="S582" s="7" t="n">
        <v>0.15</v>
      </c>
      <c r="T582" s="3" t="s">
        <v>51</v>
      </c>
      <c r="U582" s="7" t="n">
        <f aca="false">IF(T582="Valid",S582,0)</f>
        <v>0.15</v>
      </c>
      <c r="V582" s="6" t="n">
        <v>417.49</v>
      </c>
      <c r="W582" s="6" t="n">
        <v>261.67</v>
      </c>
      <c r="X582" s="6" t="n">
        <v>155.82</v>
      </c>
      <c r="Y582" s="6" t="n">
        <f aca="false">P582*Q582*(1-U582)</f>
        <v>417.486</v>
      </c>
      <c r="Z582" s="6" t="n">
        <f aca="false">Y582-W582</f>
        <v>155.816</v>
      </c>
      <c r="AA582" s="8" t="n">
        <f aca="false">IF(Y582=0,0,Z582/Y582)</f>
        <v>0.373224491360189</v>
      </c>
      <c r="AB582" s="3" t="str">
        <f aca="false">IF(ABS(V582-Y582)&gt;1,"Mismatch","OK")</f>
        <v>OK</v>
      </c>
      <c r="AC582" s="3" t="str">
        <f aca="false">IF(ABS(X582-Z582)&gt;1,"Mismatch","OK")</f>
        <v>OK</v>
      </c>
      <c r="AD582" s="5" t="n">
        <f aca="false">IF(OR(B582="",C582=""),"",C582-B582)</f>
        <v>7</v>
      </c>
      <c r="AE582" s="3" t="str">
        <f aca="false">IF(AD582="","Unknown",IF(AD582&lt;0,"Invalid - Ship Before Order","OK"))</f>
        <v>OK</v>
      </c>
      <c r="AF582" s="5" t="n">
        <f aca="false">IF(B582="","",MONTH(B582))</f>
        <v>3</v>
      </c>
      <c r="AG582" s="5" t="n">
        <f aca="false">IF(B582="","",YEAR(B582))</f>
        <v>2025</v>
      </c>
      <c r="AH582" s="3" t="s">
        <v>185</v>
      </c>
      <c r="AI582" s="3" t="s">
        <v>130</v>
      </c>
      <c r="AJ582" s="3" t="str">
        <f aca="false">IF(AND(AI582="Completed",AH582="Failed"),"Inconsistent - Completed Order with Failed Payment","OK")</f>
        <v>OK</v>
      </c>
      <c r="AK582" s="3" t="s">
        <v>54</v>
      </c>
      <c r="AL582" s="3" t="str">
        <f aca="false">IF(OR(T582="Negative - Invalid",T582="Above Allowed Range - Invalid",AE582="Invalid - Ship Before Order",AK582&lt;&gt;"Unique",AB582="Mismatch",AC582="Mismatch",AJ582&lt;&gt;"OK"),"Invalid",IF(OR(H582="Yes",O582="Yes",T582="Missing"),"Warning","Clean"))</f>
        <v>Clean</v>
      </c>
    </row>
    <row r="583" customFormat="false" ht="15" hidden="false" customHeight="true" outlineLevel="0" collapsed="false">
      <c r="A583" s="3" t="s">
        <v>1881</v>
      </c>
      <c r="B583" s="4" t="n">
        <v>45878</v>
      </c>
      <c r="C583" s="4" t="n">
        <v>45879</v>
      </c>
      <c r="D583" s="3" t="s">
        <v>1882</v>
      </c>
      <c r="E583" s="3" t="s">
        <v>104</v>
      </c>
      <c r="F583" s="3" t="s">
        <v>41</v>
      </c>
      <c r="G583" s="3" t="s">
        <v>42</v>
      </c>
      <c r="H583" s="3" t="s">
        <v>43</v>
      </c>
      <c r="I583" s="3" t="s">
        <v>384</v>
      </c>
      <c r="J583" s="3" t="s">
        <v>385</v>
      </c>
      <c r="K583" s="3" t="s">
        <v>46</v>
      </c>
      <c r="L583" s="3" t="s">
        <v>70</v>
      </c>
      <c r="M583" s="3" t="s">
        <v>1883</v>
      </c>
      <c r="N583" s="3" t="s">
        <v>49</v>
      </c>
      <c r="O583" s="3" t="s">
        <v>43</v>
      </c>
      <c r="P583" s="5" t="n">
        <v>4</v>
      </c>
      <c r="Q583" s="6" t="n">
        <v>4080.95</v>
      </c>
      <c r="R583" s="3" t="s">
        <v>66</v>
      </c>
      <c r="S583" s="7" t="n">
        <v>0</v>
      </c>
      <c r="T583" s="3" t="s">
        <v>51</v>
      </c>
      <c r="U583" s="7" t="n">
        <f aca="false">IF(T583="Valid",S583,0)</f>
        <v>0</v>
      </c>
      <c r="V583" s="6" t="n">
        <v>16323.8</v>
      </c>
      <c r="W583" s="6" t="n">
        <v>9965.79</v>
      </c>
      <c r="X583" s="6" t="n">
        <v>6358.01</v>
      </c>
      <c r="Y583" s="6" t="n">
        <f aca="false">P583*Q583*(1-U583)</f>
        <v>16323.8</v>
      </c>
      <c r="Z583" s="6" t="n">
        <f aca="false">Y583-W583</f>
        <v>6358.01</v>
      </c>
      <c r="AA583" s="8" t="n">
        <f aca="false">IF(Y583=0,0,Z583/Y583)</f>
        <v>0.38949325524694</v>
      </c>
      <c r="AB583" s="3" t="str">
        <f aca="false">IF(ABS(V583-Y583)&gt;1,"Mismatch","OK")</f>
        <v>OK</v>
      </c>
      <c r="AC583" s="3" t="str">
        <f aca="false">IF(ABS(X583-Z583)&gt;1,"Mismatch","OK")</f>
        <v>OK</v>
      </c>
      <c r="AD583" s="5" t="n">
        <f aca="false">IF(OR(B583="",C583=""),"",C583-B583)</f>
        <v>1</v>
      </c>
      <c r="AE583" s="3" t="str">
        <f aca="false">IF(AD583="","Unknown",IF(AD583&lt;0,"Invalid - Ship Before Order","OK"))</f>
        <v>OK</v>
      </c>
      <c r="AF583" s="5" t="n">
        <f aca="false">IF(B583="","",MONTH(B583))</f>
        <v>8</v>
      </c>
      <c r="AG583" s="5" t="n">
        <f aca="false">IF(B583="","",YEAR(B583))</f>
        <v>2025</v>
      </c>
      <c r="AH583" s="3" t="s">
        <v>129</v>
      </c>
      <c r="AI583" s="3" t="s">
        <v>130</v>
      </c>
      <c r="AJ583" s="3" t="str">
        <f aca="false">IF(AND(AI583="Completed",AH583="Failed"),"Inconsistent - Completed Order with Failed Payment","OK")</f>
        <v>OK</v>
      </c>
      <c r="AK583" s="3" t="s">
        <v>54</v>
      </c>
      <c r="AL583" s="3" t="str">
        <f aca="false">IF(OR(T583="Negative - Invalid",T583="Above Allowed Range - Invalid",AE583="Invalid - Ship Before Order",AK583&lt;&gt;"Unique",AB583="Mismatch",AC583="Mismatch",AJ583&lt;&gt;"OK"),"Invalid",IF(OR(H583="Yes",O583="Yes",T583="Missing"),"Warning","Clean"))</f>
        <v>Clean</v>
      </c>
    </row>
    <row r="584" customFormat="false" ht="15" hidden="false" customHeight="true" outlineLevel="0" collapsed="false">
      <c r="A584" s="3" t="s">
        <v>1884</v>
      </c>
      <c r="B584" s="4" t="n">
        <v>45580</v>
      </c>
      <c r="C584" s="4" t="n">
        <v>45585</v>
      </c>
      <c r="D584" s="3" t="s">
        <v>1885</v>
      </c>
      <c r="E584" s="3" t="s">
        <v>87</v>
      </c>
      <c r="F584" s="3" t="s">
        <v>41</v>
      </c>
      <c r="G584" s="3" t="s">
        <v>59</v>
      </c>
      <c r="H584" s="3" t="s">
        <v>43</v>
      </c>
      <c r="I584" s="3" t="s">
        <v>60</v>
      </c>
      <c r="J584" s="3" t="s">
        <v>61</v>
      </c>
      <c r="K584" s="3" t="s">
        <v>46</v>
      </c>
      <c r="L584" s="3" t="s">
        <v>70</v>
      </c>
      <c r="M584" s="3" t="s">
        <v>1886</v>
      </c>
      <c r="N584" s="3" t="s">
        <v>72</v>
      </c>
      <c r="O584" s="3" t="s">
        <v>43</v>
      </c>
      <c r="P584" s="5" t="n">
        <v>5</v>
      </c>
      <c r="Q584" s="6" t="n">
        <v>671.24</v>
      </c>
      <c r="R584" s="3" t="s">
        <v>66</v>
      </c>
      <c r="S584" s="7" t="n">
        <v>0</v>
      </c>
      <c r="T584" s="3" t="s">
        <v>51</v>
      </c>
      <c r="U584" s="7" t="n">
        <f aca="false">IF(T584="Valid",S584,0)</f>
        <v>0</v>
      </c>
      <c r="V584" s="6" t="n">
        <v>3356.2</v>
      </c>
      <c r="W584" s="6" t="n">
        <v>2205.72</v>
      </c>
      <c r="X584" s="6" t="n">
        <v>1150.48</v>
      </c>
      <c r="Y584" s="6" t="n">
        <f aca="false">P584*Q584*(1-U584)</f>
        <v>3356.2</v>
      </c>
      <c r="Z584" s="6" t="n">
        <f aca="false">Y584-W584</f>
        <v>1150.48</v>
      </c>
      <c r="AA584" s="8" t="n">
        <f aca="false">IF(Y584=0,0,Z584/Y584)</f>
        <v>0.34279244383529</v>
      </c>
      <c r="AB584" s="3" t="str">
        <f aca="false">IF(ABS(V584-Y584)&gt;1,"Mismatch","OK")</f>
        <v>OK</v>
      </c>
      <c r="AC584" s="3" t="str">
        <f aca="false">IF(ABS(X584-Z584)&gt;1,"Mismatch","OK")</f>
        <v>OK</v>
      </c>
      <c r="AD584" s="5" t="n">
        <f aca="false">IF(OR(B584="",C584=""),"",C584-B584)</f>
        <v>5</v>
      </c>
      <c r="AE584" s="3" t="str">
        <f aca="false">IF(AD584="","Unknown",IF(AD584&lt;0,"Invalid - Ship Before Order","OK"))</f>
        <v>OK</v>
      </c>
      <c r="AF584" s="5" t="n">
        <f aca="false">IF(B584="","",MONTH(B584))</f>
        <v>10</v>
      </c>
      <c r="AG584" s="5" t="n">
        <f aca="false">IF(B584="","",YEAR(B584))</f>
        <v>2024</v>
      </c>
      <c r="AH584" s="3" t="s">
        <v>138</v>
      </c>
      <c r="AI584" s="3" t="s">
        <v>130</v>
      </c>
      <c r="AJ584" s="3" t="str">
        <f aca="false">IF(AND(AI584="Completed",AH584="Failed"),"Inconsistent - Completed Order with Failed Payment","OK")</f>
        <v>OK</v>
      </c>
      <c r="AK584" s="3" t="s">
        <v>54</v>
      </c>
      <c r="AL584" s="3" t="str">
        <f aca="false">IF(OR(T584="Negative - Invalid",T584="Above Allowed Range - Invalid",AE584="Invalid - Ship Before Order",AK584&lt;&gt;"Unique",AB584="Mismatch",AC584="Mismatch",AJ584&lt;&gt;"OK"),"Invalid",IF(OR(H584="Yes",O584="Yes",T584="Missing"),"Warning","Clean"))</f>
        <v>Clean</v>
      </c>
    </row>
    <row r="585" customFormat="false" ht="15" hidden="false" customHeight="true" outlineLevel="0" collapsed="false">
      <c r="A585" s="3" t="s">
        <v>1887</v>
      </c>
      <c r="B585" s="4" t="n">
        <v>45350</v>
      </c>
      <c r="C585" s="4" t="n">
        <v>45350</v>
      </c>
      <c r="D585" s="3" t="s">
        <v>1888</v>
      </c>
      <c r="E585" s="3" t="s">
        <v>168</v>
      </c>
      <c r="F585" s="3" t="s">
        <v>58</v>
      </c>
      <c r="G585" s="3" t="s">
        <v>59</v>
      </c>
      <c r="H585" s="3" t="s">
        <v>43</v>
      </c>
      <c r="I585" s="3" t="s">
        <v>125</v>
      </c>
      <c r="J585" s="3" t="s">
        <v>126</v>
      </c>
      <c r="K585" s="3" t="s">
        <v>46</v>
      </c>
      <c r="L585" s="3" t="s">
        <v>151</v>
      </c>
      <c r="M585" s="3" t="s">
        <v>1889</v>
      </c>
      <c r="N585" s="3" t="s">
        <v>72</v>
      </c>
      <c r="O585" s="3" t="s">
        <v>43</v>
      </c>
      <c r="P585" s="5" t="n">
        <v>1</v>
      </c>
      <c r="Q585" s="6" t="n">
        <v>2626.84</v>
      </c>
      <c r="R585" s="3" t="s">
        <v>50</v>
      </c>
      <c r="S585" s="7" t="n">
        <v>0.2</v>
      </c>
      <c r="T585" s="3" t="s">
        <v>51</v>
      </c>
      <c r="U585" s="7" t="n">
        <f aca="false">IF(T585="Valid",S585,0)</f>
        <v>0.2</v>
      </c>
      <c r="V585" s="6" t="n">
        <v>2101.47</v>
      </c>
      <c r="W585" s="6" t="n">
        <v>1217.83</v>
      </c>
      <c r="X585" s="6" t="n">
        <v>883.64</v>
      </c>
      <c r="Y585" s="6" t="n">
        <f aca="false">P585*Q585*(1-U585)</f>
        <v>2101.472</v>
      </c>
      <c r="Z585" s="6" t="n">
        <f aca="false">Y585-W585</f>
        <v>883.642</v>
      </c>
      <c r="AA585" s="8" t="n">
        <f aca="false">IF(Y585=0,0,Z585/Y585)</f>
        <v>0.420487163283641</v>
      </c>
      <c r="AB585" s="3" t="str">
        <f aca="false">IF(ABS(V585-Y585)&gt;1,"Mismatch","OK")</f>
        <v>OK</v>
      </c>
      <c r="AC585" s="3" t="str">
        <f aca="false">IF(ABS(X585-Z585)&gt;1,"Mismatch","OK")</f>
        <v>OK</v>
      </c>
      <c r="AD585" s="5" t="n">
        <f aca="false">IF(OR(B585="",C585=""),"",C585-B585)</f>
        <v>0</v>
      </c>
      <c r="AE585" s="3" t="str">
        <f aca="false">IF(AD585="","Unknown",IF(AD585&lt;0,"Invalid - Ship Before Order","OK"))</f>
        <v>OK</v>
      </c>
      <c r="AF585" s="5" t="n">
        <f aca="false">IF(B585="","",MONTH(B585))</f>
        <v>2</v>
      </c>
      <c r="AG585" s="5" t="n">
        <f aca="false">IF(B585="","",YEAR(B585))</f>
        <v>2024</v>
      </c>
      <c r="AH585" s="3" t="s">
        <v>185</v>
      </c>
      <c r="AI585" s="3" t="s">
        <v>130</v>
      </c>
      <c r="AJ585" s="3" t="str">
        <f aca="false">IF(AND(AI585="Completed",AH585="Failed"),"Inconsistent - Completed Order with Failed Payment","OK")</f>
        <v>OK</v>
      </c>
      <c r="AK585" s="3" t="s">
        <v>54</v>
      </c>
      <c r="AL585" s="3" t="str">
        <f aca="false">IF(OR(T585="Negative - Invalid",T585="Above Allowed Range - Invalid",AE585="Invalid - Ship Before Order",AK585&lt;&gt;"Unique",AB585="Mismatch",AC585="Mismatch",AJ585&lt;&gt;"OK"),"Invalid",IF(OR(H585="Yes",O585="Yes",T585="Missing"),"Warning","Clean"))</f>
        <v>Clean</v>
      </c>
    </row>
    <row r="586" customFormat="false" ht="15" hidden="false" customHeight="true" outlineLevel="0" collapsed="false">
      <c r="A586" s="3" t="s">
        <v>1890</v>
      </c>
      <c r="B586" s="4" t="n">
        <v>45508</v>
      </c>
      <c r="C586" s="4" t="n">
        <v>45514</v>
      </c>
      <c r="D586" s="3" t="s">
        <v>1891</v>
      </c>
      <c r="E586" s="3" t="s">
        <v>96</v>
      </c>
      <c r="F586" s="3" t="s">
        <v>41</v>
      </c>
      <c r="G586" s="3" t="s">
        <v>59</v>
      </c>
      <c r="H586" s="3" t="s">
        <v>43</v>
      </c>
      <c r="I586" s="3" t="s">
        <v>174</v>
      </c>
      <c r="J586" s="3" t="s">
        <v>175</v>
      </c>
      <c r="K586" s="3" t="s">
        <v>46</v>
      </c>
      <c r="L586" s="3" t="s">
        <v>70</v>
      </c>
      <c r="M586" s="3" t="s">
        <v>1892</v>
      </c>
      <c r="N586" s="3" t="s">
        <v>65</v>
      </c>
      <c r="O586" s="3" t="s">
        <v>43</v>
      </c>
      <c r="P586" s="5" t="n">
        <v>1</v>
      </c>
      <c r="Q586" s="6" t="n">
        <v>984.93</v>
      </c>
      <c r="R586" s="3" t="s">
        <v>107</v>
      </c>
      <c r="S586" s="7" t="n">
        <v>0.15</v>
      </c>
      <c r="T586" s="3" t="s">
        <v>51</v>
      </c>
      <c r="U586" s="7" t="n">
        <f aca="false">IF(T586="Valid",S586,0)</f>
        <v>0.15</v>
      </c>
      <c r="V586" s="6" t="n">
        <v>837.19</v>
      </c>
      <c r="W586" s="6" t="n">
        <v>583.79</v>
      </c>
      <c r="X586" s="6" t="n">
        <v>253.4</v>
      </c>
      <c r="Y586" s="6" t="n">
        <f aca="false">P586*Q586*(1-U586)</f>
        <v>837.1905</v>
      </c>
      <c r="Z586" s="6" t="n">
        <f aca="false">Y586-W586</f>
        <v>253.4005</v>
      </c>
      <c r="AA586" s="8" t="n">
        <f aca="false">IF(Y586=0,0,Z586/Y586)</f>
        <v>0.302679617124179</v>
      </c>
      <c r="AB586" s="3" t="str">
        <f aca="false">IF(ABS(V586-Y586)&gt;1,"Mismatch","OK")</f>
        <v>OK</v>
      </c>
      <c r="AC586" s="3" t="str">
        <f aca="false">IF(ABS(X586-Z586)&gt;1,"Mismatch","OK")</f>
        <v>OK</v>
      </c>
      <c r="AD586" s="5" t="n">
        <f aca="false">IF(OR(B586="",C586=""),"",C586-B586)</f>
        <v>6</v>
      </c>
      <c r="AE586" s="3" t="str">
        <f aca="false">IF(AD586="","Unknown",IF(AD586&lt;0,"Invalid - Ship Before Order","OK"))</f>
        <v>OK</v>
      </c>
      <c r="AF586" s="5" t="n">
        <f aca="false">IF(B586="","",MONTH(B586))</f>
        <v>8</v>
      </c>
      <c r="AG586" s="5" t="n">
        <f aca="false">IF(B586="","",YEAR(B586))</f>
        <v>2024</v>
      </c>
      <c r="AH586" s="3" t="s">
        <v>138</v>
      </c>
      <c r="AI586" s="3" t="s">
        <v>130</v>
      </c>
      <c r="AJ586" s="3" t="str">
        <f aca="false">IF(AND(AI586="Completed",AH586="Failed"),"Inconsistent - Completed Order with Failed Payment","OK")</f>
        <v>OK</v>
      </c>
      <c r="AK586" s="3" t="s">
        <v>54</v>
      </c>
      <c r="AL586" s="3" t="str">
        <f aca="false">IF(OR(T586="Negative - Invalid",T586="Above Allowed Range - Invalid",AE586="Invalid - Ship Before Order",AK586&lt;&gt;"Unique",AB586="Mismatch",AC586="Mismatch",AJ586&lt;&gt;"OK"),"Invalid",IF(OR(H586="Yes",O586="Yes",T586="Missing"),"Warning","Clean"))</f>
        <v>Clean</v>
      </c>
    </row>
    <row r="587" customFormat="false" ht="15" hidden="false" customHeight="true" outlineLevel="0" collapsed="false">
      <c r="A587" s="3" t="s">
        <v>1893</v>
      </c>
      <c r="B587" s="4" t="n">
        <v>45830</v>
      </c>
      <c r="C587" s="4" t="n">
        <v>45833</v>
      </c>
      <c r="D587" s="3" t="s">
        <v>1894</v>
      </c>
      <c r="E587" s="3" t="s">
        <v>192</v>
      </c>
      <c r="F587" s="3" t="s">
        <v>58</v>
      </c>
      <c r="G587" s="3" t="s">
        <v>88</v>
      </c>
      <c r="H587" s="3" t="s">
        <v>43</v>
      </c>
      <c r="I587" s="3" t="s">
        <v>89</v>
      </c>
      <c r="J587" s="3" t="s">
        <v>90</v>
      </c>
      <c r="K587" s="3" t="s">
        <v>99</v>
      </c>
      <c r="L587" s="3" t="s">
        <v>201</v>
      </c>
      <c r="M587" s="3" t="s">
        <v>1895</v>
      </c>
      <c r="N587" s="3" t="s">
        <v>72</v>
      </c>
      <c r="O587" s="3" t="s">
        <v>43</v>
      </c>
      <c r="P587" s="5" t="n">
        <v>8</v>
      </c>
      <c r="Q587" s="6" t="n">
        <v>3453.66</v>
      </c>
      <c r="R587" s="3" t="s">
        <v>66</v>
      </c>
      <c r="S587" s="7" t="n">
        <v>0</v>
      </c>
      <c r="T587" s="3" t="s">
        <v>51</v>
      </c>
      <c r="U587" s="7" t="n">
        <f aca="false">IF(T587="Valid",S587,0)</f>
        <v>0</v>
      </c>
      <c r="V587" s="6" t="n">
        <v>27629.28</v>
      </c>
      <c r="W587" s="6" t="n">
        <v>22026.48</v>
      </c>
      <c r="X587" s="6" t="n">
        <v>5602.8</v>
      </c>
      <c r="Y587" s="6" t="n">
        <f aca="false">P587*Q587*(1-U587)</f>
        <v>27629.28</v>
      </c>
      <c r="Z587" s="6" t="n">
        <f aca="false">Y587-W587</f>
        <v>5602.8</v>
      </c>
      <c r="AA587" s="8" t="n">
        <f aca="false">IF(Y587=0,0,Z587/Y587)</f>
        <v>0.202784871701326</v>
      </c>
      <c r="AB587" s="3" t="str">
        <f aca="false">IF(ABS(V587-Y587)&gt;1,"Mismatch","OK")</f>
        <v>OK</v>
      </c>
      <c r="AC587" s="3" t="str">
        <f aca="false">IF(ABS(X587-Z587)&gt;1,"Mismatch","OK")</f>
        <v>OK</v>
      </c>
      <c r="AD587" s="5" t="n">
        <f aca="false">IF(OR(B587="",C587=""),"",C587-B587)</f>
        <v>3</v>
      </c>
      <c r="AE587" s="3" t="str">
        <f aca="false">IF(AD587="","Unknown",IF(AD587&lt;0,"Invalid - Ship Before Order","OK"))</f>
        <v>OK</v>
      </c>
      <c r="AF587" s="5" t="n">
        <f aca="false">IF(B587="","",MONTH(B587))</f>
        <v>6</v>
      </c>
      <c r="AG587" s="5" t="n">
        <f aca="false">IF(B587="","",YEAR(B587))</f>
        <v>2025</v>
      </c>
      <c r="AH587" s="3" t="s">
        <v>52</v>
      </c>
      <c r="AI587" s="3" t="s">
        <v>53</v>
      </c>
      <c r="AJ587" s="3" t="str">
        <f aca="false">IF(AND(AI587="Completed",AH587="Failed"),"Inconsistent - Completed Order with Failed Payment","OK")</f>
        <v>OK</v>
      </c>
      <c r="AK587" s="3" t="s">
        <v>54</v>
      </c>
      <c r="AL587" s="3" t="str">
        <f aca="false">IF(OR(T587="Negative - Invalid",T587="Above Allowed Range - Invalid",AE587="Invalid - Ship Before Order",AK587&lt;&gt;"Unique",AB587="Mismatch",AC587="Mismatch",AJ587&lt;&gt;"OK"),"Invalid",IF(OR(H587="Yes",O587="Yes",T587="Missing"),"Warning","Clean"))</f>
        <v>Clean</v>
      </c>
    </row>
    <row r="588" customFormat="false" ht="15" hidden="false" customHeight="true" outlineLevel="0" collapsed="false">
      <c r="A588" s="3" t="s">
        <v>1896</v>
      </c>
      <c r="B588" s="4" t="n">
        <v>45759</v>
      </c>
      <c r="C588" s="4" t="n">
        <v>45759</v>
      </c>
      <c r="D588" s="3" t="s">
        <v>1897</v>
      </c>
      <c r="E588" s="3" t="s">
        <v>57</v>
      </c>
      <c r="F588" s="3" t="s">
        <v>121</v>
      </c>
      <c r="G588" s="3" t="s">
        <v>42</v>
      </c>
      <c r="H588" s="3" t="s">
        <v>43</v>
      </c>
      <c r="I588" s="3" t="s">
        <v>149</v>
      </c>
      <c r="J588" s="3" t="s">
        <v>150</v>
      </c>
      <c r="K588" s="3" t="s">
        <v>46</v>
      </c>
      <c r="L588" s="3" t="s">
        <v>183</v>
      </c>
      <c r="M588" s="3" t="s">
        <v>1898</v>
      </c>
      <c r="N588" s="3" t="s">
        <v>49</v>
      </c>
      <c r="O588" s="3" t="s">
        <v>43</v>
      </c>
      <c r="P588" s="5" t="n">
        <v>7</v>
      </c>
      <c r="Q588" s="6" t="n">
        <v>1334.2</v>
      </c>
      <c r="R588" s="3" t="s">
        <v>50</v>
      </c>
      <c r="S588" s="7" t="n">
        <v>0.2</v>
      </c>
      <c r="T588" s="3" t="s">
        <v>51</v>
      </c>
      <c r="U588" s="7" t="n">
        <f aca="false">IF(T588="Valid",S588,0)</f>
        <v>0.2</v>
      </c>
      <c r="V588" s="6" t="n">
        <v>7471.52</v>
      </c>
      <c r="W588" s="6" t="n">
        <v>6184.32</v>
      </c>
      <c r="X588" s="6" t="n">
        <v>1287.2</v>
      </c>
      <c r="Y588" s="6" t="n">
        <f aca="false">P588*Q588*(1-U588)</f>
        <v>7471.52</v>
      </c>
      <c r="Z588" s="6" t="n">
        <f aca="false">Y588-W588</f>
        <v>1287.2</v>
      </c>
      <c r="AA588" s="8" t="n">
        <f aca="false">IF(Y588=0,0,Z588/Y588)</f>
        <v>0.172280874574384</v>
      </c>
      <c r="AB588" s="3" t="str">
        <f aca="false">IF(ABS(V588-Y588)&gt;1,"Mismatch","OK")</f>
        <v>OK</v>
      </c>
      <c r="AC588" s="3" t="str">
        <f aca="false">IF(ABS(X588-Z588)&gt;1,"Mismatch","OK")</f>
        <v>OK</v>
      </c>
      <c r="AD588" s="5" t="n">
        <f aca="false">IF(OR(B588="",C588=""),"",C588-B588)</f>
        <v>0</v>
      </c>
      <c r="AE588" s="3" t="str">
        <f aca="false">IF(AD588="","Unknown",IF(AD588&lt;0,"Invalid - Ship Before Order","OK"))</f>
        <v>OK</v>
      </c>
      <c r="AF588" s="5" t="n">
        <f aca="false">IF(B588="","",MONTH(B588))</f>
        <v>4</v>
      </c>
      <c r="AG588" s="5" t="n">
        <f aca="false">IF(B588="","",YEAR(B588))</f>
        <v>2025</v>
      </c>
      <c r="AH588" s="3" t="s">
        <v>52</v>
      </c>
      <c r="AI588" s="3" t="s">
        <v>53</v>
      </c>
      <c r="AJ588" s="3" t="str">
        <f aca="false">IF(AND(AI588="Completed",AH588="Failed"),"Inconsistent - Completed Order with Failed Payment","OK")</f>
        <v>OK</v>
      </c>
      <c r="AK588" s="3" t="s">
        <v>54</v>
      </c>
      <c r="AL588" s="3" t="str">
        <f aca="false">IF(OR(T588="Negative - Invalid",T588="Above Allowed Range - Invalid",AE588="Invalid - Ship Before Order",AK588&lt;&gt;"Unique",AB588="Mismatch",AC588="Mismatch",AJ588&lt;&gt;"OK"),"Invalid",IF(OR(H588="Yes",O588="Yes",T588="Missing"),"Warning","Clean"))</f>
        <v>Clean</v>
      </c>
    </row>
    <row r="589" customFormat="false" ht="15" hidden="false" customHeight="true" outlineLevel="0" collapsed="false">
      <c r="A589" s="3" t="s">
        <v>1899</v>
      </c>
      <c r="B589" s="4" t="n">
        <v>45861</v>
      </c>
      <c r="C589" s="4" t="n">
        <v>45869</v>
      </c>
      <c r="D589" s="3" t="s">
        <v>1900</v>
      </c>
      <c r="E589" s="3" t="s">
        <v>298</v>
      </c>
      <c r="F589" s="3" t="s">
        <v>121</v>
      </c>
      <c r="G589" s="3" t="s">
        <v>88</v>
      </c>
      <c r="H589" s="3" t="s">
        <v>43</v>
      </c>
      <c r="I589" s="3" t="s">
        <v>97</v>
      </c>
      <c r="J589" s="3" t="s">
        <v>98</v>
      </c>
      <c r="K589" s="3" t="s">
        <v>99</v>
      </c>
      <c r="L589" s="3" t="s">
        <v>100</v>
      </c>
      <c r="M589" s="3" t="s">
        <v>1901</v>
      </c>
      <c r="N589" s="3" t="s">
        <v>72</v>
      </c>
      <c r="O589" s="3" t="s">
        <v>43</v>
      </c>
      <c r="P589" s="5" t="n">
        <v>1</v>
      </c>
      <c r="Q589" s="6" t="n">
        <v>4253.84</v>
      </c>
      <c r="R589" s="3" t="s">
        <v>107</v>
      </c>
      <c r="S589" s="7" t="n">
        <v>0.15</v>
      </c>
      <c r="T589" s="3" t="s">
        <v>51</v>
      </c>
      <c r="U589" s="7" t="n">
        <f aca="false">IF(T589="Valid",S589,0)</f>
        <v>0.15</v>
      </c>
      <c r="V589" s="6" t="n">
        <v>3615.76</v>
      </c>
      <c r="W589" s="6" t="n">
        <v>2951.52</v>
      </c>
      <c r="X589" s="6" t="n">
        <v>664.24</v>
      </c>
      <c r="Y589" s="6" t="n">
        <f aca="false">P589*Q589*(1-U589)</f>
        <v>3615.764</v>
      </c>
      <c r="Z589" s="6" t="n">
        <f aca="false">Y589-W589</f>
        <v>664.244</v>
      </c>
      <c r="AA589" s="8" t="n">
        <f aca="false">IF(Y589=0,0,Z589/Y589)</f>
        <v>0.183707786238261</v>
      </c>
      <c r="AB589" s="3" t="str">
        <f aca="false">IF(ABS(V589-Y589)&gt;1,"Mismatch","OK")</f>
        <v>OK</v>
      </c>
      <c r="AC589" s="3" t="str">
        <f aca="false">IF(ABS(X589-Z589)&gt;1,"Mismatch","OK")</f>
        <v>OK</v>
      </c>
      <c r="AD589" s="5" t="n">
        <f aca="false">IF(OR(B589="",C589=""),"",C589-B589)</f>
        <v>8</v>
      </c>
      <c r="AE589" s="3" t="str">
        <f aca="false">IF(AD589="","Unknown",IF(AD589&lt;0,"Invalid - Ship Before Order","OK"))</f>
        <v>OK</v>
      </c>
      <c r="AF589" s="5" t="n">
        <f aca="false">IF(B589="","",MONTH(B589))</f>
        <v>7</v>
      </c>
      <c r="AG589" s="5" t="n">
        <f aca="false">IF(B589="","",YEAR(B589))</f>
        <v>2025</v>
      </c>
      <c r="AH589" s="3" t="s">
        <v>129</v>
      </c>
      <c r="AI589" s="3" t="s">
        <v>93</v>
      </c>
      <c r="AJ589" s="3" t="str">
        <f aca="false">IF(AND(AI589="Completed",AH589="Failed"),"Inconsistent - Completed Order with Failed Payment","OK")</f>
        <v>OK</v>
      </c>
      <c r="AK589" s="3" t="s">
        <v>54</v>
      </c>
      <c r="AL589" s="3" t="str">
        <f aca="false">IF(OR(T589="Negative - Invalid",T589="Above Allowed Range - Invalid",AE589="Invalid - Ship Before Order",AK589&lt;&gt;"Unique",AB589="Mismatch",AC589="Mismatch",AJ589&lt;&gt;"OK"),"Invalid",IF(OR(H589="Yes",O589="Yes",T589="Missing"),"Warning","Clean"))</f>
        <v>Clean</v>
      </c>
    </row>
    <row r="590" customFormat="false" ht="15" hidden="false" customHeight="true" outlineLevel="0" collapsed="false">
      <c r="A590" s="3" t="s">
        <v>1902</v>
      </c>
      <c r="B590" s="4" t="n">
        <v>45727</v>
      </c>
      <c r="C590" s="4" t="n">
        <v>45731</v>
      </c>
      <c r="D590" s="3" t="s">
        <v>1903</v>
      </c>
      <c r="E590" s="3" t="s">
        <v>155</v>
      </c>
      <c r="F590" s="3" t="s">
        <v>121</v>
      </c>
      <c r="G590" s="3" t="s">
        <v>78</v>
      </c>
      <c r="H590" s="3" t="s">
        <v>43</v>
      </c>
      <c r="I590" s="3" t="s">
        <v>206</v>
      </c>
      <c r="J590" s="3" t="s">
        <v>207</v>
      </c>
      <c r="K590" s="3" t="s">
        <v>99</v>
      </c>
      <c r="L590" s="3" t="s">
        <v>100</v>
      </c>
      <c r="M590" s="3" t="s">
        <v>1904</v>
      </c>
      <c r="N590" s="3" t="s">
        <v>49</v>
      </c>
      <c r="O590" s="3" t="s">
        <v>43</v>
      </c>
      <c r="P590" s="5" t="n">
        <v>8</v>
      </c>
      <c r="Q590" s="6" t="n">
        <v>4446.36</v>
      </c>
      <c r="R590" s="3" t="s">
        <v>203</v>
      </c>
      <c r="S590" s="7" t="n">
        <v>0.1</v>
      </c>
      <c r="T590" s="3" t="s">
        <v>51</v>
      </c>
      <c r="U590" s="7" t="n">
        <f aca="false">IF(T590="Valid",S590,0)</f>
        <v>0.1</v>
      </c>
      <c r="V590" s="6" t="n">
        <v>32013.79</v>
      </c>
      <c r="W590" s="6" t="n">
        <v>20896.88</v>
      </c>
      <c r="X590" s="6" t="n">
        <v>11116.91</v>
      </c>
      <c r="Y590" s="6" t="n">
        <f aca="false">P590*Q590*(1-U590)</f>
        <v>32013.792</v>
      </c>
      <c r="Z590" s="6" t="n">
        <f aca="false">Y590-W590</f>
        <v>11116.912</v>
      </c>
      <c r="AA590" s="8" t="n">
        <f aca="false">IF(Y590=0,0,Z590/Y590)</f>
        <v>0.347253833597719</v>
      </c>
      <c r="AB590" s="3" t="str">
        <f aca="false">IF(ABS(V590-Y590)&gt;1,"Mismatch","OK")</f>
        <v>OK</v>
      </c>
      <c r="AC590" s="3" t="str">
        <f aca="false">IF(ABS(X590-Z590)&gt;1,"Mismatch","OK")</f>
        <v>OK</v>
      </c>
      <c r="AD590" s="5" t="n">
        <f aca="false">IF(OR(B590="",C590=""),"",C590-B590)</f>
        <v>4</v>
      </c>
      <c r="AE590" s="3" t="str">
        <f aca="false">IF(AD590="","Unknown",IF(AD590&lt;0,"Invalid - Ship Before Order","OK"))</f>
        <v>OK</v>
      </c>
      <c r="AF590" s="5" t="n">
        <f aca="false">IF(B590="","",MONTH(B590))</f>
        <v>3</v>
      </c>
      <c r="AG590" s="5" t="n">
        <f aca="false">IF(B590="","",YEAR(B590))</f>
        <v>2025</v>
      </c>
      <c r="AH590" s="3" t="s">
        <v>129</v>
      </c>
      <c r="AI590" s="3" t="s">
        <v>93</v>
      </c>
      <c r="AJ590" s="3" t="str">
        <f aca="false">IF(AND(AI590="Completed",AH590="Failed"),"Inconsistent - Completed Order with Failed Payment","OK")</f>
        <v>OK</v>
      </c>
      <c r="AK590" s="3" t="s">
        <v>54</v>
      </c>
      <c r="AL590" s="3" t="str">
        <f aca="false">IF(OR(T590="Negative - Invalid",T590="Above Allowed Range - Invalid",AE590="Invalid - Ship Before Order",AK590&lt;&gt;"Unique",AB590="Mismatch",AC590="Mismatch",AJ590&lt;&gt;"OK"),"Invalid",IF(OR(H590="Yes",O590="Yes",T590="Missing"),"Warning","Clean"))</f>
        <v>Clean</v>
      </c>
    </row>
    <row r="591" customFormat="false" ht="15" hidden="false" customHeight="true" outlineLevel="0" collapsed="false">
      <c r="A591" s="3" t="s">
        <v>1905</v>
      </c>
      <c r="B591" s="4" t="n">
        <v>45632</v>
      </c>
      <c r="C591" s="4" t="n">
        <v>45638</v>
      </c>
      <c r="D591" s="3" t="s">
        <v>1906</v>
      </c>
      <c r="E591" s="3" t="s">
        <v>168</v>
      </c>
      <c r="F591" s="3" t="s">
        <v>116</v>
      </c>
      <c r="G591" s="3" t="s">
        <v>42</v>
      </c>
      <c r="H591" s="3" t="s">
        <v>43</v>
      </c>
      <c r="I591" s="3" t="s">
        <v>163</v>
      </c>
      <c r="J591" s="3" t="s">
        <v>164</v>
      </c>
      <c r="K591" s="3" t="s">
        <v>99</v>
      </c>
      <c r="L591" s="3" t="s">
        <v>201</v>
      </c>
      <c r="M591" s="3" t="s">
        <v>1907</v>
      </c>
      <c r="N591" s="3" t="s">
        <v>72</v>
      </c>
      <c r="O591" s="3" t="s">
        <v>43</v>
      </c>
      <c r="P591" s="5" t="n">
        <v>3</v>
      </c>
      <c r="Q591" s="6" t="n">
        <v>524.75</v>
      </c>
      <c r="R591" s="3" t="s">
        <v>66</v>
      </c>
      <c r="S591" s="7" t="n">
        <v>0</v>
      </c>
      <c r="T591" s="3" t="s">
        <v>51</v>
      </c>
      <c r="U591" s="7" t="n">
        <f aca="false">IF(T591="Valid",S591,0)</f>
        <v>0</v>
      </c>
      <c r="V591" s="6" t="n">
        <v>1574.25</v>
      </c>
      <c r="W591" s="6" t="n">
        <v>1326.12</v>
      </c>
      <c r="X591" s="6" t="n">
        <v>248.13</v>
      </c>
      <c r="Y591" s="6" t="n">
        <f aca="false">P591*Q591*(1-U591)</f>
        <v>1574.25</v>
      </c>
      <c r="Z591" s="6" t="n">
        <f aca="false">Y591-W591</f>
        <v>248.13</v>
      </c>
      <c r="AA591" s="8" t="n">
        <f aca="false">IF(Y591=0,0,Z591/Y591)</f>
        <v>0.157617913292044</v>
      </c>
      <c r="AB591" s="3" t="str">
        <f aca="false">IF(ABS(V591-Y591)&gt;1,"Mismatch","OK")</f>
        <v>OK</v>
      </c>
      <c r="AC591" s="3" t="str">
        <f aca="false">IF(ABS(X591-Z591)&gt;1,"Mismatch","OK")</f>
        <v>OK</v>
      </c>
      <c r="AD591" s="5" t="n">
        <f aca="false">IF(OR(B591="",C591=""),"",C591-B591)</f>
        <v>6</v>
      </c>
      <c r="AE591" s="3" t="str">
        <f aca="false">IF(AD591="","Unknown",IF(AD591&lt;0,"Invalid - Ship Before Order","OK"))</f>
        <v>OK</v>
      </c>
      <c r="AF591" s="5" t="n">
        <f aca="false">IF(B591="","",MONTH(B591))</f>
        <v>12</v>
      </c>
      <c r="AG591" s="5" t="n">
        <f aca="false">IF(B591="","",YEAR(B591))</f>
        <v>2024</v>
      </c>
      <c r="AH591" s="3" t="s">
        <v>52</v>
      </c>
      <c r="AI591" s="3" t="s">
        <v>53</v>
      </c>
      <c r="AJ591" s="3" t="str">
        <f aca="false">IF(AND(AI591="Completed",AH591="Failed"),"Inconsistent - Completed Order with Failed Payment","OK")</f>
        <v>OK</v>
      </c>
      <c r="AK591" s="3" t="s">
        <v>54</v>
      </c>
      <c r="AL591" s="3" t="str">
        <f aca="false">IF(OR(T591="Negative - Invalid",T591="Above Allowed Range - Invalid",AE591="Invalid - Ship Before Order",AK591&lt;&gt;"Unique",AB591="Mismatch",AC591="Mismatch",AJ591&lt;&gt;"OK"),"Invalid",IF(OR(H591="Yes",O591="Yes",T591="Missing"),"Warning","Clean"))</f>
        <v>Clean</v>
      </c>
    </row>
    <row r="592" customFormat="false" ht="15" hidden="false" customHeight="true" outlineLevel="0" collapsed="false">
      <c r="A592" s="3" t="s">
        <v>1908</v>
      </c>
      <c r="B592" s="4" t="n">
        <v>45441</v>
      </c>
      <c r="C592" s="4" t="n">
        <v>45441</v>
      </c>
      <c r="D592" s="3" t="s">
        <v>1909</v>
      </c>
      <c r="E592" s="3" t="s">
        <v>155</v>
      </c>
      <c r="F592" s="3" t="s">
        <v>121</v>
      </c>
      <c r="G592" s="3" t="s">
        <v>42</v>
      </c>
      <c r="H592" s="3" t="s">
        <v>43</v>
      </c>
      <c r="I592" s="3" t="s">
        <v>384</v>
      </c>
      <c r="J592" s="3" t="s">
        <v>385</v>
      </c>
      <c r="K592" s="3" t="s">
        <v>62</v>
      </c>
      <c r="L592" s="3" t="s">
        <v>91</v>
      </c>
      <c r="M592" s="3" t="s">
        <v>1910</v>
      </c>
      <c r="N592" s="3" t="s">
        <v>65</v>
      </c>
      <c r="O592" s="3" t="s">
        <v>43</v>
      </c>
      <c r="P592" s="5" t="n">
        <v>6</v>
      </c>
      <c r="Q592" s="6" t="n">
        <v>3430.35</v>
      </c>
      <c r="R592" s="3" t="s">
        <v>66</v>
      </c>
      <c r="S592" s="7" t="n">
        <v>0</v>
      </c>
      <c r="T592" s="3" t="s">
        <v>51</v>
      </c>
      <c r="U592" s="7" t="n">
        <f aca="false">IF(T592="Valid",S592,0)</f>
        <v>0</v>
      </c>
      <c r="V592" s="6" t="n">
        <v>20582.1</v>
      </c>
      <c r="W592" s="6" t="n">
        <v>15897.65</v>
      </c>
      <c r="X592" s="6" t="n">
        <v>4684.45</v>
      </c>
      <c r="Y592" s="6" t="n">
        <f aca="false">P592*Q592*(1-U592)</f>
        <v>20582.1</v>
      </c>
      <c r="Z592" s="6" t="n">
        <f aca="false">Y592-W592</f>
        <v>4684.45</v>
      </c>
      <c r="AA592" s="8" t="n">
        <f aca="false">IF(Y592=0,0,Z592/Y592)</f>
        <v>0.227598252850778</v>
      </c>
      <c r="AB592" s="3" t="str">
        <f aca="false">IF(ABS(V592-Y592)&gt;1,"Mismatch","OK")</f>
        <v>OK</v>
      </c>
      <c r="AC592" s="3" t="str">
        <f aca="false">IF(ABS(X592-Z592)&gt;1,"Mismatch","OK")</f>
        <v>OK</v>
      </c>
      <c r="AD592" s="5" t="n">
        <f aca="false">IF(OR(B592="",C592=""),"",C592-B592)</f>
        <v>0</v>
      </c>
      <c r="AE592" s="3" t="str">
        <f aca="false">IF(AD592="","Unknown",IF(AD592&lt;0,"Invalid - Ship Before Order","OK"))</f>
        <v>OK</v>
      </c>
      <c r="AF592" s="5" t="n">
        <f aca="false">IF(B592="","",MONTH(B592))</f>
        <v>5</v>
      </c>
      <c r="AG592" s="5" t="n">
        <f aca="false">IF(B592="","",YEAR(B592))</f>
        <v>2024</v>
      </c>
      <c r="AH592" s="3" t="s">
        <v>138</v>
      </c>
      <c r="AI592" s="3" t="s">
        <v>93</v>
      </c>
      <c r="AJ592" s="3" t="str">
        <f aca="false">IF(AND(AI592="Completed",AH592="Failed"),"Inconsistent - Completed Order with Failed Payment","OK")</f>
        <v>OK</v>
      </c>
      <c r="AK592" s="3" t="s">
        <v>54</v>
      </c>
      <c r="AL592" s="3" t="str">
        <f aca="false">IF(OR(T592="Negative - Invalid",T592="Above Allowed Range - Invalid",AE592="Invalid - Ship Before Order",AK592&lt;&gt;"Unique",AB592="Mismatch",AC592="Mismatch",AJ592&lt;&gt;"OK"),"Invalid",IF(OR(H592="Yes",O592="Yes",T592="Missing"),"Warning","Clean"))</f>
        <v>Clean</v>
      </c>
    </row>
    <row r="593" customFormat="false" ht="15" hidden="false" customHeight="true" outlineLevel="0" collapsed="false">
      <c r="A593" s="3" t="s">
        <v>1911</v>
      </c>
      <c r="B593" s="4" t="n">
        <v>45344</v>
      </c>
      <c r="C593" s="4" t="n">
        <v>45346</v>
      </c>
      <c r="D593" s="3" t="s">
        <v>1912</v>
      </c>
      <c r="E593" s="3" t="s">
        <v>159</v>
      </c>
      <c r="F593" s="3" t="s">
        <v>41</v>
      </c>
      <c r="G593" s="3" t="s">
        <v>78</v>
      </c>
      <c r="H593" s="3" t="s">
        <v>43</v>
      </c>
      <c r="I593" s="3" t="s">
        <v>206</v>
      </c>
      <c r="J593" s="3" t="s">
        <v>207</v>
      </c>
      <c r="K593" s="3" t="s">
        <v>99</v>
      </c>
      <c r="L593" s="3" t="s">
        <v>105</v>
      </c>
      <c r="M593" s="3" t="s">
        <v>1913</v>
      </c>
      <c r="N593" s="3" t="s">
        <v>72</v>
      </c>
      <c r="O593" s="3" t="s">
        <v>43</v>
      </c>
      <c r="P593" s="5" t="n">
        <v>3</v>
      </c>
      <c r="Q593" s="6" t="n">
        <v>3545.08</v>
      </c>
      <c r="R593" s="3" t="s">
        <v>66</v>
      </c>
      <c r="S593" s="7" t="n">
        <v>0</v>
      </c>
      <c r="T593" s="3" t="s">
        <v>51</v>
      </c>
      <c r="U593" s="7" t="n">
        <f aca="false">IF(T593="Valid",S593,0)</f>
        <v>0</v>
      </c>
      <c r="V593" s="6" t="n">
        <v>10635.24</v>
      </c>
      <c r="W593" s="6" t="n">
        <v>6031.88</v>
      </c>
      <c r="X593" s="6" t="n">
        <v>4603.36</v>
      </c>
      <c r="Y593" s="6" t="n">
        <f aca="false">P593*Q593*(1-U593)</f>
        <v>10635.24</v>
      </c>
      <c r="Z593" s="6" t="n">
        <f aca="false">Y593-W593</f>
        <v>4603.36</v>
      </c>
      <c r="AA593" s="8" t="n">
        <f aca="false">IF(Y593=0,0,Z593/Y593)</f>
        <v>0.432840255603071</v>
      </c>
      <c r="AB593" s="3" t="str">
        <f aca="false">IF(ABS(V593-Y593)&gt;1,"Mismatch","OK")</f>
        <v>OK</v>
      </c>
      <c r="AC593" s="3" t="str">
        <f aca="false">IF(ABS(X593-Z593)&gt;1,"Mismatch","OK")</f>
        <v>OK</v>
      </c>
      <c r="AD593" s="5" t="n">
        <f aca="false">IF(OR(B593="",C593=""),"",C593-B593)</f>
        <v>2</v>
      </c>
      <c r="AE593" s="3" t="str">
        <f aca="false">IF(AD593="","Unknown",IF(AD593&lt;0,"Invalid - Ship Before Order","OK"))</f>
        <v>OK</v>
      </c>
      <c r="AF593" s="5" t="n">
        <f aca="false">IF(B593="","",MONTH(B593))</f>
        <v>2</v>
      </c>
      <c r="AG593" s="5" t="n">
        <f aca="false">IF(B593="","",YEAR(B593))</f>
        <v>2024</v>
      </c>
      <c r="AH593" s="3" t="s">
        <v>185</v>
      </c>
      <c r="AI593" s="3" t="s">
        <v>130</v>
      </c>
      <c r="AJ593" s="3" t="str">
        <f aca="false">IF(AND(AI593="Completed",AH593="Failed"),"Inconsistent - Completed Order with Failed Payment","OK")</f>
        <v>OK</v>
      </c>
      <c r="AK593" s="3" t="s">
        <v>54</v>
      </c>
      <c r="AL593" s="3" t="str">
        <f aca="false">IF(OR(T593="Negative - Invalid",T593="Above Allowed Range - Invalid",AE593="Invalid - Ship Before Order",AK593&lt;&gt;"Unique",AB593="Mismatch",AC593="Mismatch",AJ593&lt;&gt;"OK"),"Invalid",IF(OR(H593="Yes",O593="Yes",T593="Missing"),"Warning","Clean"))</f>
        <v>Clean</v>
      </c>
    </row>
    <row r="594" customFormat="false" ht="15" hidden="false" customHeight="true" outlineLevel="0" collapsed="false">
      <c r="A594" s="3" t="s">
        <v>1914</v>
      </c>
      <c r="B594" s="4" t="n">
        <v>45355</v>
      </c>
      <c r="C594" s="4" t="n">
        <v>45360</v>
      </c>
      <c r="D594" s="3" t="s">
        <v>1915</v>
      </c>
      <c r="E594" s="3" t="s">
        <v>57</v>
      </c>
      <c r="F594" s="3" t="s">
        <v>41</v>
      </c>
      <c r="G594" s="3" t="s">
        <v>59</v>
      </c>
      <c r="H594" s="3" t="s">
        <v>43</v>
      </c>
      <c r="I594" s="3" t="s">
        <v>125</v>
      </c>
      <c r="J594" s="3" t="s">
        <v>126</v>
      </c>
      <c r="K594" s="3" t="s">
        <v>99</v>
      </c>
      <c r="L594" s="3" t="s">
        <v>100</v>
      </c>
      <c r="M594" s="3" t="s">
        <v>1916</v>
      </c>
      <c r="N594" s="3" t="s">
        <v>65</v>
      </c>
      <c r="O594" s="3" t="s">
        <v>43</v>
      </c>
      <c r="P594" s="5" t="n">
        <v>8</v>
      </c>
      <c r="Q594" s="6" t="n">
        <v>4401.41</v>
      </c>
      <c r="R594" s="3" t="s">
        <v>107</v>
      </c>
      <c r="S594" s="7" t="n">
        <v>0.15</v>
      </c>
      <c r="T594" s="3" t="s">
        <v>51</v>
      </c>
      <c r="U594" s="7" t="n">
        <f aca="false">IF(T594="Valid",S594,0)</f>
        <v>0.15</v>
      </c>
      <c r="V594" s="6" t="n">
        <v>29929.59</v>
      </c>
      <c r="W594" s="6" t="n">
        <v>22436.03</v>
      </c>
      <c r="X594" s="6" t="n">
        <v>7493.56</v>
      </c>
      <c r="Y594" s="6" t="n">
        <f aca="false">P594*Q594*(1-U594)</f>
        <v>29929.588</v>
      </c>
      <c r="Z594" s="6" t="n">
        <f aca="false">Y594-W594</f>
        <v>7493.558</v>
      </c>
      <c r="AA594" s="8" t="n">
        <f aca="false">IF(Y594=0,0,Z594/Y594)</f>
        <v>0.250372908574619</v>
      </c>
      <c r="AB594" s="3" t="str">
        <f aca="false">IF(ABS(V594-Y594)&gt;1,"Mismatch","OK")</f>
        <v>OK</v>
      </c>
      <c r="AC594" s="3" t="str">
        <f aca="false">IF(ABS(X594-Z594)&gt;1,"Mismatch","OK")</f>
        <v>OK</v>
      </c>
      <c r="AD594" s="5" t="n">
        <f aca="false">IF(OR(B594="",C594=""),"",C594-B594)</f>
        <v>5</v>
      </c>
      <c r="AE594" s="3" t="str">
        <f aca="false">IF(AD594="","Unknown",IF(AD594&lt;0,"Invalid - Ship Before Order","OK"))</f>
        <v>OK</v>
      </c>
      <c r="AF594" s="5" t="n">
        <f aca="false">IF(B594="","",MONTH(B594))</f>
        <v>3</v>
      </c>
      <c r="AG594" s="5" t="n">
        <f aca="false">IF(B594="","",YEAR(B594))</f>
        <v>2024</v>
      </c>
      <c r="AH594" s="3" t="s">
        <v>52</v>
      </c>
      <c r="AI594" s="3" t="s">
        <v>53</v>
      </c>
      <c r="AJ594" s="3" t="str">
        <f aca="false">IF(AND(AI594="Completed",AH594="Failed"),"Inconsistent - Completed Order with Failed Payment","OK")</f>
        <v>OK</v>
      </c>
      <c r="AK594" s="3" t="s">
        <v>54</v>
      </c>
      <c r="AL594" s="3" t="str">
        <f aca="false">IF(OR(T594="Negative - Invalid",T594="Above Allowed Range - Invalid",AE594="Invalid - Ship Before Order",AK594&lt;&gt;"Unique",AB594="Mismatch",AC594="Mismatch",AJ594&lt;&gt;"OK"),"Invalid",IF(OR(H594="Yes",O594="Yes",T594="Missing"),"Warning","Clean"))</f>
        <v>Clean</v>
      </c>
    </row>
    <row r="595" customFormat="false" ht="15" hidden="false" customHeight="true" outlineLevel="0" collapsed="false">
      <c r="A595" s="3" t="s">
        <v>1917</v>
      </c>
      <c r="B595" s="4" t="n">
        <v>45927</v>
      </c>
      <c r="C595" s="4" t="n">
        <v>45929</v>
      </c>
      <c r="D595" s="3" t="s">
        <v>1709</v>
      </c>
      <c r="E595" s="3" t="s">
        <v>77</v>
      </c>
      <c r="F595" s="3" t="s">
        <v>121</v>
      </c>
      <c r="G595" s="3" t="s">
        <v>42</v>
      </c>
      <c r="H595" s="3" t="s">
        <v>43</v>
      </c>
      <c r="I595" s="3" t="s">
        <v>163</v>
      </c>
      <c r="J595" s="3" t="s">
        <v>164</v>
      </c>
      <c r="K595" s="3" t="s">
        <v>62</v>
      </c>
      <c r="L595" s="3" t="s">
        <v>63</v>
      </c>
      <c r="M595" s="3" t="s">
        <v>1918</v>
      </c>
      <c r="N595" s="3" t="s">
        <v>49</v>
      </c>
      <c r="O595" s="3" t="s">
        <v>43</v>
      </c>
      <c r="P595" s="5" t="n">
        <v>9</v>
      </c>
      <c r="Q595" s="6" t="n">
        <v>4100.11</v>
      </c>
      <c r="R595" s="3" t="s">
        <v>84</v>
      </c>
      <c r="S595" s="7" t="n">
        <v>0.25</v>
      </c>
      <c r="T595" s="3" t="s">
        <v>51</v>
      </c>
      <c r="U595" s="7" t="n">
        <f aca="false">IF(T595="Valid",S595,0)</f>
        <v>0.25</v>
      </c>
      <c r="V595" s="6" t="n">
        <v>27675.74</v>
      </c>
      <c r="W595" s="6" t="n">
        <v>15571.08</v>
      </c>
      <c r="X595" s="6" t="n">
        <v>12104.66</v>
      </c>
      <c r="Y595" s="6" t="n">
        <f aca="false">P595*Q595*(1-U595)</f>
        <v>27675.7425</v>
      </c>
      <c r="Z595" s="6" t="n">
        <f aca="false">Y595-W595</f>
        <v>12104.6625</v>
      </c>
      <c r="AA595" s="8" t="n">
        <f aca="false">IF(Y595=0,0,Z595/Y595)</f>
        <v>0.437374444425475</v>
      </c>
      <c r="AB595" s="3" t="str">
        <f aca="false">IF(ABS(V595-Y595)&gt;1,"Mismatch","OK")</f>
        <v>OK</v>
      </c>
      <c r="AC595" s="3" t="str">
        <f aca="false">IF(ABS(X595-Z595)&gt;1,"Mismatch","OK")</f>
        <v>OK</v>
      </c>
      <c r="AD595" s="5" t="n">
        <f aca="false">IF(OR(B595="",C595=""),"",C595-B595)</f>
        <v>2</v>
      </c>
      <c r="AE595" s="3" t="str">
        <f aca="false">IF(AD595="","Unknown",IF(AD595&lt;0,"Invalid - Ship Before Order","OK"))</f>
        <v>OK</v>
      </c>
      <c r="AF595" s="5" t="n">
        <f aca="false">IF(B595="","",MONTH(B595))</f>
        <v>9</v>
      </c>
      <c r="AG595" s="5" t="n">
        <f aca="false">IF(B595="","",YEAR(B595))</f>
        <v>2025</v>
      </c>
      <c r="AH595" s="3" t="s">
        <v>52</v>
      </c>
      <c r="AI595" s="3" t="s">
        <v>53</v>
      </c>
      <c r="AJ595" s="3" t="str">
        <f aca="false">IF(AND(AI595="Completed",AH595="Failed"),"Inconsistent - Completed Order with Failed Payment","OK")</f>
        <v>OK</v>
      </c>
      <c r="AK595" s="3" t="s">
        <v>54</v>
      </c>
      <c r="AL595" s="3" t="str">
        <f aca="false">IF(OR(T595="Negative - Invalid",T595="Above Allowed Range - Invalid",AE595="Invalid - Ship Before Order",AK595&lt;&gt;"Unique",AB595="Mismatch",AC595="Mismatch",AJ595&lt;&gt;"OK"),"Invalid",IF(OR(H595="Yes",O595="Yes",T595="Missing"),"Warning","Clean"))</f>
        <v>Clean</v>
      </c>
    </row>
    <row r="596" customFormat="false" ht="15" hidden="false" customHeight="true" outlineLevel="0" collapsed="false">
      <c r="A596" s="3" t="s">
        <v>1919</v>
      </c>
      <c r="B596" s="4" t="n">
        <v>45554</v>
      </c>
      <c r="C596" s="4" t="n">
        <v>45556</v>
      </c>
      <c r="D596" s="3" t="s">
        <v>1920</v>
      </c>
      <c r="E596" s="3" t="s">
        <v>40</v>
      </c>
      <c r="F596" s="3" t="s">
        <v>58</v>
      </c>
      <c r="G596" s="3" t="s">
        <v>59</v>
      </c>
      <c r="H596" s="3" t="s">
        <v>43</v>
      </c>
      <c r="I596" s="3" t="s">
        <v>125</v>
      </c>
      <c r="J596" s="3" t="s">
        <v>126</v>
      </c>
      <c r="K596" s="3" t="s">
        <v>62</v>
      </c>
      <c r="L596" s="3" t="s">
        <v>91</v>
      </c>
      <c r="M596" s="3" t="s">
        <v>1921</v>
      </c>
      <c r="N596" s="3" t="s">
        <v>72</v>
      </c>
      <c r="O596" s="3" t="s">
        <v>43</v>
      </c>
      <c r="P596" s="5" t="n">
        <v>3</v>
      </c>
      <c r="Q596" s="6" t="n">
        <v>3981.76</v>
      </c>
      <c r="R596" s="3" t="s">
        <v>66</v>
      </c>
      <c r="S596" s="7" t="n">
        <v>0</v>
      </c>
      <c r="T596" s="3" t="s">
        <v>51</v>
      </c>
      <c r="U596" s="7" t="n">
        <f aca="false">IF(T596="Valid",S596,0)</f>
        <v>0</v>
      </c>
      <c r="V596" s="6" t="n">
        <v>11945.28</v>
      </c>
      <c r="W596" s="6" t="n">
        <v>9700.31</v>
      </c>
      <c r="X596" s="6" t="n">
        <v>2244.97</v>
      </c>
      <c r="Y596" s="6" t="n">
        <f aca="false">P596*Q596*(1-U596)</f>
        <v>11945.28</v>
      </c>
      <c r="Z596" s="6" t="n">
        <f aca="false">Y596-W596</f>
        <v>2244.97</v>
      </c>
      <c r="AA596" s="8" t="n">
        <f aca="false">IF(Y596=0,0,Z596/Y596)</f>
        <v>0.187937829837392</v>
      </c>
      <c r="AB596" s="3" t="str">
        <f aca="false">IF(ABS(V596-Y596)&gt;1,"Mismatch","OK")</f>
        <v>OK</v>
      </c>
      <c r="AC596" s="3" t="str">
        <f aca="false">IF(ABS(X596-Z596)&gt;1,"Mismatch","OK")</f>
        <v>OK</v>
      </c>
      <c r="AD596" s="5" t="n">
        <f aca="false">IF(OR(B596="",C596=""),"",C596-B596)</f>
        <v>2</v>
      </c>
      <c r="AE596" s="3" t="str">
        <f aca="false">IF(AD596="","Unknown",IF(AD596&lt;0,"Invalid - Ship Before Order","OK"))</f>
        <v>OK</v>
      </c>
      <c r="AF596" s="5" t="n">
        <f aca="false">IF(B596="","",MONTH(B596))</f>
        <v>9</v>
      </c>
      <c r="AG596" s="5" t="n">
        <f aca="false">IF(B596="","",YEAR(B596))</f>
        <v>2024</v>
      </c>
      <c r="AH596" s="3" t="s">
        <v>52</v>
      </c>
      <c r="AI596" s="3" t="s">
        <v>53</v>
      </c>
      <c r="AJ596" s="3" t="str">
        <f aca="false">IF(AND(AI596="Completed",AH596="Failed"),"Inconsistent - Completed Order with Failed Payment","OK")</f>
        <v>OK</v>
      </c>
      <c r="AK596" s="3" t="s">
        <v>54</v>
      </c>
      <c r="AL596" s="3" t="str">
        <f aca="false">IF(OR(T596="Negative - Invalid",T596="Above Allowed Range - Invalid",AE596="Invalid - Ship Before Order",AK596&lt;&gt;"Unique",AB596="Mismatch",AC596="Mismatch",AJ596&lt;&gt;"OK"),"Invalid",IF(OR(H596="Yes",O596="Yes",T596="Missing"),"Warning","Clean"))</f>
        <v>Clean</v>
      </c>
    </row>
    <row r="597" customFormat="false" ht="15" hidden="false" customHeight="true" outlineLevel="0" collapsed="false">
      <c r="A597" s="3" t="s">
        <v>1922</v>
      </c>
      <c r="B597" s="4" t="n">
        <v>45699</v>
      </c>
      <c r="C597" s="4" t="n">
        <v>45704</v>
      </c>
      <c r="D597" s="3" t="s">
        <v>1923</v>
      </c>
      <c r="E597" s="3" t="s">
        <v>57</v>
      </c>
      <c r="F597" s="3" t="s">
        <v>116</v>
      </c>
      <c r="G597" s="3" t="s">
        <v>42</v>
      </c>
      <c r="H597" s="3" t="s">
        <v>43</v>
      </c>
      <c r="I597" s="3" t="s">
        <v>163</v>
      </c>
      <c r="J597" s="3" t="s">
        <v>164</v>
      </c>
      <c r="K597" s="3" t="s">
        <v>99</v>
      </c>
      <c r="L597" s="3" t="s">
        <v>201</v>
      </c>
      <c r="M597" s="3" t="s">
        <v>1924</v>
      </c>
      <c r="N597" s="3" t="s">
        <v>72</v>
      </c>
      <c r="O597" s="3" t="s">
        <v>43</v>
      </c>
      <c r="P597" s="5" t="n">
        <v>8</v>
      </c>
      <c r="Q597" s="6" t="n">
        <v>1825.56</v>
      </c>
      <c r="R597" s="3" t="s">
        <v>203</v>
      </c>
      <c r="S597" s="7" t="n">
        <v>0.1</v>
      </c>
      <c r="T597" s="3" t="s">
        <v>51</v>
      </c>
      <c r="U597" s="7" t="n">
        <f aca="false">IF(T597="Valid",S597,0)</f>
        <v>0.1</v>
      </c>
      <c r="V597" s="6" t="n">
        <v>13144.03</v>
      </c>
      <c r="W597" s="6" t="n">
        <v>9764</v>
      </c>
      <c r="X597" s="6" t="n">
        <v>3380.03</v>
      </c>
      <c r="Y597" s="6" t="n">
        <f aca="false">P597*Q597*(1-U597)</f>
        <v>13144.032</v>
      </c>
      <c r="Z597" s="6" t="n">
        <f aca="false">Y597-W597</f>
        <v>3380.032</v>
      </c>
      <c r="AA597" s="8" t="n">
        <f aca="false">IF(Y597=0,0,Z597/Y597)</f>
        <v>0.25715336055177</v>
      </c>
      <c r="AB597" s="3" t="str">
        <f aca="false">IF(ABS(V597-Y597)&gt;1,"Mismatch","OK")</f>
        <v>OK</v>
      </c>
      <c r="AC597" s="3" t="str">
        <f aca="false">IF(ABS(X597-Z597)&gt;1,"Mismatch","OK")</f>
        <v>OK</v>
      </c>
      <c r="AD597" s="5" t="n">
        <f aca="false">IF(OR(B597="",C597=""),"",C597-B597)</f>
        <v>5</v>
      </c>
      <c r="AE597" s="3" t="str">
        <f aca="false">IF(AD597="","Unknown",IF(AD597&lt;0,"Invalid - Ship Before Order","OK"))</f>
        <v>OK</v>
      </c>
      <c r="AF597" s="5" t="n">
        <f aca="false">IF(B597="","",MONTH(B597))</f>
        <v>2</v>
      </c>
      <c r="AG597" s="5" t="n">
        <f aca="false">IF(B597="","",YEAR(B597))</f>
        <v>2025</v>
      </c>
      <c r="AH597" s="3" t="s">
        <v>52</v>
      </c>
      <c r="AI597" s="3" t="s">
        <v>53</v>
      </c>
      <c r="AJ597" s="3" t="str">
        <f aca="false">IF(AND(AI597="Completed",AH597="Failed"),"Inconsistent - Completed Order with Failed Payment","OK")</f>
        <v>OK</v>
      </c>
      <c r="AK597" s="3" t="s">
        <v>54</v>
      </c>
      <c r="AL597" s="3" t="str">
        <f aca="false">IF(OR(T597="Negative - Invalid",T597="Above Allowed Range - Invalid",AE597="Invalid - Ship Before Order",AK597&lt;&gt;"Unique",AB597="Mismatch",AC597="Mismatch",AJ597&lt;&gt;"OK"),"Invalid",IF(OR(H597="Yes",O597="Yes",T597="Missing"),"Warning","Clean"))</f>
        <v>Clean</v>
      </c>
    </row>
    <row r="598" customFormat="false" ht="15" hidden="false" customHeight="true" outlineLevel="0" collapsed="false">
      <c r="A598" s="3" t="s">
        <v>1925</v>
      </c>
      <c r="B598" s="4" t="n">
        <v>45392</v>
      </c>
      <c r="C598" s="4" t="n">
        <v>45398</v>
      </c>
      <c r="D598" s="3" t="s">
        <v>1926</v>
      </c>
      <c r="E598" s="3" t="s">
        <v>115</v>
      </c>
      <c r="F598" s="3" t="s">
        <v>41</v>
      </c>
      <c r="G598" s="3" t="s">
        <v>78</v>
      </c>
      <c r="H598" s="3" t="s">
        <v>43</v>
      </c>
      <c r="I598" s="3" t="s">
        <v>216</v>
      </c>
      <c r="J598" s="3" t="s">
        <v>217</v>
      </c>
      <c r="K598" s="3" t="s">
        <v>62</v>
      </c>
      <c r="L598" s="3" t="s">
        <v>91</v>
      </c>
      <c r="M598" s="3" t="s">
        <v>1927</v>
      </c>
      <c r="N598" s="3" t="s">
        <v>49</v>
      </c>
      <c r="O598" s="3" t="s">
        <v>43</v>
      </c>
      <c r="P598" s="5" t="n">
        <v>9</v>
      </c>
      <c r="Q598" s="6" t="n">
        <v>2723.26</v>
      </c>
      <c r="R598" s="3" t="s">
        <v>84</v>
      </c>
      <c r="S598" s="7" t="n">
        <v>0.25</v>
      </c>
      <c r="T598" s="3" t="s">
        <v>51</v>
      </c>
      <c r="U598" s="7" t="n">
        <f aca="false">IF(T598="Valid",S598,0)</f>
        <v>0.25</v>
      </c>
      <c r="V598" s="6" t="n">
        <v>18382.01</v>
      </c>
      <c r="W598" s="6" t="n">
        <v>13108.2</v>
      </c>
      <c r="X598" s="6" t="n">
        <v>5273.81</v>
      </c>
      <c r="Y598" s="6" t="n">
        <f aca="false">P598*Q598*(1-U598)</f>
        <v>18382.005</v>
      </c>
      <c r="Z598" s="6" t="n">
        <f aca="false">Y598-W598</f>
        <v>5273.805</v>
      </c>
      <c r="AA598" s="8" t="n">
        <f aca="false">IF(Y598=0,0,Z598/Y598)</f>
        <v>0.286900422451196</v>
      </c>
      <c r="AB598" s="3" t="str">
        <f aca="false">IF(ABS(V598-Y598)&gt;1,"Mismatch","OK")</f>
        <v>OK</v>
      </c>
      <c r="AC598" s="3" t="str">
        <f aca="false">IF(ABS(X598-Z598)&gt;1,"Mismatch","OK")</f>
        <v>OK</v>
      </c>
      <c r="AD598" s="5" t="n">
        <f aca="false">IF(OR(B598="",C598=""),"",C598-B598)</f>
        <v>6</v>
      </c>
      <c r="AE598" s="3" t="str">
        <f aca="false">IF(AD598="","Unknown",IF(AD598&lt;0,"Invalid - Ship Before Order","OK"))</f>
        <v>OK</v>
      </c>
      <c r="AF598" s="5" t="n">
        <f aca="false">IF(B598="","",MONTH(B598))</f>
        <v>4</v>
      </c>
      <c r="AG598" s="5" t="n">
        <f aca="false">IF(B598="","",YEAR(B598))</f>
        <v>2024</v>
      </c>
      <c r="AH598" s="3" t="s">
        <v>52</v>
      </c>
      <c r="AI598" s="3" t="s">
        <v>53</v>
      </c>
      <c r="AJ598" s="3" t="str">
        <f aca="false">IF(AND(AI598="Completed",AH598="Failed"),"Inconsistent - Completed Order with Failed Payment","OK")</f>
        <v>OK</v>
      </c>
      <c r="AK598" s="3" t="s">
        <v>54</v>
      </c>
      <c r="AL598" s="3" t="str">
        <f aca="false">IF(OR(T598="Negative - Invalid",T598="Above Allowed Range - Invalid",AE598="Invalid - Ship Before Order",AK598&lt;&gt;"Unique",AB598="Mismatch",AC598="Mismatch",AJ598&lt;&gt;"OK"),"Invalid",IF(OR(H598="Yes",O598="Yes",T598="Missing"),"Warning","Clean"))</f>
        <v>Clean</v>
      </c>
    </row>
    <row r="599" customFormat="false" ht="15" hidden="false" customHeight="true" outlineLevel="0" collapsed="false">
      <c r="A599" s="3" t="s">
        <v>1928</v>
      </c>
      <c r="B599" s="4" t="n">
        <v>45846</v>
      </c>
      <c r="C599" s="4" t="n">
        <v>45846</v>
      </c>
      <c r="D599" s="3" t="s">
        <v>1929</v>
      </c>
      <c r="E599" s="3" t="s">
        <v>115</v>
      </c>
      <c r="F599" s="3" t="s">
        <v>41</v>
      </c>
      <c r="G599" s="3" t="s">
        <v>78</v>
      </c>
      <c r="H599" s="3" t="s">
        <v>43</v>
      </c>
      <c r="I599" s="3" t="s">
        <v>79</v>
      </c>
      <c r="J599" s="3" t="s">
        <v>80</v>
      </c>
      <c r="K599" s="3" t="s">
        <v>99</v>
      </c>
      <c r="L599" s="3" t="s">
        <v>105</v>
      </c>
      <c r="M599" s="3" t="s">
        <v>1930</v>
      </c>
      <c r="N599" s="3" t="s">
        <v>65</v>
      </c>
      <c r="O599" s="3" t="s">
        <v>43</v>
      </c>
      <c r="P599" s="5" t="n">
        <v>9</v>
      </c>
      <c r="Q599" s="6" t="n">
        <v>274.88</v>
      </c>
      <c r="R599" s="3" t="s">
        <v>84</v>
      </c>
      <c r="S599" s="7" t="n">
        <v>0.25</v>
      </c>
      <c r="T599" s="3" t="s">
        <v>51</v>
      </c>
      <c r="U599" s="7" t="n">
        <f aca="false">IF(T599="Valid",S599,0)</f>
        <v>0.25</v>
      </c>
      <c r="V599" s="6" t="n">
        <v>1855.44</v>
      </c>
      <c r="W599" s="6" t="n">
        <v>1262.74</v>
      </c>
      <c r="X599" s="6" t="n">
        <v>592.7</v>
      </c>
      <c r="Y599" s="6" t="n">
        <f aca="false">P599*Q599*(1-U599)</f>
        <v>1855.44</v>
      </c>
      <c r="Z599" s="6" t="n">
        <f aca="false">Y599-W599</f>
        <v>592.7</v>
      </c>
      <c r="AA599" s="8" t="n">
        <f aca="false">IF(Y599=0,0,Z599/Y599)</f>
        <v>0.319439054887251</v>
      </c>
      <c r="AB599" s="3" t="str">
        <f aca="false">IF(ABS(V599-Y599)&gt;1,"Mismatch","OK")</f>
        <v>OK</v>
      </c>
      <c r="AC599" s="3" t="str">
        <f aca="false">IF(ABS(X599-Z599)&gt;1,"Mismatch","OK")</f>
        <v>OK</v>
      </c>
      <c r="AD599" s="5" t="n">
        <f aca="false">IF(OR(B599="",C599=""),"",C599-B599)</f>
        <v>0</v>
      </c>
      <c r="AE599" s="3" t="str">
        <f aca="false">IF(AD599="","Unknown",IF(AD599&lt;0,"Invalid - Ship Before Order","OK"))</f>
        <v>OK</v>
      </c>
      <c r="AF599" s="5" t="n">
        <f aca="false">IF(B599="","",MONTH(B599))</f>
        <v>7</v>
      </c>
      <c r="AG599" s="5" t="n">
        <f aca="false">IF(B599="","",YEAR(B599))</f>
        <v>2025</v>
      </c>
      <c r="AH599" s="3" t="s">
        <v>52</v>
      </c>
      <c r="AI599" s="3" t="s">
        <v>53</v>
      </c>
      <c r="AJ599" s="3" t="str">
        <f aca="false">IF(AND(AI599="Completed",AH599="Failed"),"Inconsistent - Completed Order with Failed Payment","OK")</f>
        <v>OK</v>
      </c>
      <c r="AK599" s="3" t="s">
        <v>54</v>
      </c>
      <c r="AL599" s="3" t="str">
        <f aca="false">IF(OR(T599="Negative - Invalid",T599="Above Allowed Range - Invalid",AE599="Invalid - Ship Before Order",AK599&lt;&gt;"Unique",AB599="Mismatch",AC599="Mismatch",AJ599&lt;&gt;"OK"),"Invalid",IF(OR(H599="Yes",O599="Yes",T599="Missing"),"Warning","Clean"))</f>
        <v>Clean</v>
      </c>
    </row>
    <row r="600" customFormat="false" ht="15" hidden="false" customHeight="true" outlineLevel="0" collapsed="false">
      <c r="A600" s="3" t="s">
        <v>1931</v>
      </c>
      <c r="B600" s="4" t="n">
        <v>45521</v>
      </c>
      <c r="C600" s="4" t="n">
        <v>45528</v>
      </c>
      <c r="D600" s="3" t="s">
        <v>1932</v>
      </c>
      <c r="E600" s="3" t="s">
        <v>87</v>
      </c>
      <c r="F600" s="3" t="s">
        <v>116</v>
      </c>
      <c r="G600" s="3" t="s">
        <v>59</v>
      </c>
      <c r="H600" s="3" t="s">
        <v>43</v>
      </c>
      <c r="I600" s="3" t="s">
        <v>125</v>
      </c>
      <c r="J600" s="3" t="s">
        <v>126</v>
      </c>
      <c r="K600" s="3" t="s">
        <v>99</v>
      </c>
      <c r="L600" s="3" t="s">
        <v>105</v>
      </c>
      <c r="M600" s="3" t="s">
        <v>1933</v>
      </c>
      <c r="N600" s="3" t="s">
        <v>65</v>
      </c>
      <c r="O600" s="3" t="s">
        <v>43</v>
      </c>
      <c r="P600" s="5" t="n">
        <v>3</v>
      </c>
      <c r="Q600" s="6" t="n">
        <v>1490.69</v>
      </c>
      <c r="R600" s="3" t="s">
        <v>84</v>
      </c>
      <c r="S600" s="7" t="n">
        <v>0.25</v>
      </c>
      <c r="T600" s="3" t="s">
        <v>51</v>
      </c>
      <c r="U600" s="7" t="n">
        <f aca="false">IF(T600="Valid",S600,0)</f>
        <v>0.25</v>
      </c>
      <c r="V600" s="6" t="n">
        <v>3354.05</v>
      </c>
      <c r="W600" s="6" t="n">
        <v>2672.67</v>
      </c>
      <c r="X600" s="6" t="n">
        <v>681.38</v>
      </c>
      <c r="Y600" s="6" t="n">
        <f aca="false">P600*Q600*(1-U600)</f>
        <v>3354.0525</v>
      </c>
      <c r="Z600" s="6" t="n">
        <f aca="false">Y600-W600</f>
        <v>681.3825</v>
      </c>
      <c r="AA600" s="8" t="n">
        <f aca="false">IF(Y600=0,0,Z600/Y600)</f>
        <v>0.203152007906853</v>
      </c>
      <c r="AB600" s="3" t="str">
        <f aca="false">IF(ABS(V600-Y600)&gt;1,"Mismatch","OK")</f>
        <v>OK</v>
      </c>
      <c r="AC600" s="3" t="str">
        <f aca="false">IF(ABS(X600-Z600)&gt;1,"Mismatch","OK")</f>
        <v>OK</v>
      </c>
      <c r="AD600" s="5" t="n">
        <f aca="false">IF(OR(B600="",C600=""),"",C600-B600)</f>
        <v>7</v>
      </c>
      <c r="AE600" s="3" t="str">
        <f aca="false">IF(AD600="","Unknown",IF(AD600&lt;0,"Invalid - Ship Before Order","OK"))</f>
        <v>OK</v>
      </c>
      <c r="AF600" s="5" t="n">
        <f aca="false">IF(B600="","",MONTH(B600))</f>
        <v>8</v>
      </c>
      <c r="AG600" s="5" t="n">
        <f aca="false">IF(B600="","",YEAR(B600))</f>
        <v>2024</v>
      </c>
      <c r="AH600" s="3" t="s">
        <v>52</v>
      </c>
      <c r="AI600" s="3" t="s">
        <v>53</v>
      </c>
      <c r="AJ600" s="3" t="str">
        <f aca="false">IF(AND(AI600="Completed",AH600="Failed"),"Inconsistent - Completed Order with Failed Payment","OK")</f>
        <v>OK</v>
      </c>
      <c r="AK600" s="3" t="s">
        <v>54</v>
      </c>
      <c r="AL600" s="3" t="str">
        <f aca="false">IF(OR(T600="Negative - Invalid",T600="Above Allowed Range - Invalid",AE600="Invalid - Ship Before Order",AK600&lt;&gt;"Unique",AB600="Mismatch",AC600="Mismatch",AJ600&lt;&gt;"OK"),"Invalid",IF(OR(H600="Yes",O600="Yes",T600="Missing"),"Warning","Clean"))</f>
        <v>Clean</v>
      </c>
    </row>
    <row r="601" customFormat="false" ht="15" hidden="false" customHeight="true" outlineLevel="0" collapsed="false">
      <c r="A601" s="3" t="s">
        <v>1934</v>
      </c>
      <c r="B601" s="4" t="n">
        <v>45523</v>
      </c>
      <c r="C601" s="4" t="n">
        <v>45525</v>
      </c>
      <c r="D601" s="3" t="s">
        <v>1935</v>
      </c>
      <c r="E601" s="3" t="s">
        <v>77</v>
      </c>
      <c r="F601" s="3" t="s">
        <v>41</v>
      </c>
      <c r="G601" s="3" t="s">
        <v>42</v>
      </c>
      <c r="H601" s="3" t="s">
        <v>43</v>
      </c>
      <c r="I601" s="3" t="s">
        <v>149</v>
      </c>
      <c r="J601" s="3" t="s">
        <v>150</v>
      </c>
      <c r="K601" s="3" t="s">
        <v>99</v>
      </c>
      <c r="L601" s="3" t="s">
        <v>201</v>
      </c>
      <c r="M601" s="3" t="s">
        <v>1936</v>
      </c>
      <c r="N601" s="3" t="s">
        <v>72</v>
      </c>
      <c r="O601" s="3" t="s">
        <v>43</v>
      </c>
      <c r="P601" s="5" t="n">
        <v>3</v>
      </c>
      <c r="Q601" s="6" t="n">
        <v>1103.54</v>
      </c>
      <c r="R601" s="3" t="s">
        <v>84</v>
      </c>
      <c r="S601" s="7" t="n">
        <v>0.25</v>
      </c>
      <c r="T601" s="3" t="s">
        <v>51</v>
      </c>
      <c r="U601" s="7" t="n">
        <f aca="false">IF(T601="Valid",S601,0)</f>
        <v>0.25</v>
      </c>
      <c r="V601" s="6" t="n">
        <v>2482.97</v>
      </c>
      <c r="W601" s="6" t="n">
        <v>1621.72</v>
      </c>
      <c r="X601" s="6" t="n">
        <v>861.25</v>
      </c>
      <c r="Y601" s="6" t="n">
        <f aca="false">P601*Q601*(1-U601)</f>
        <v>2482.965</v>
      </c>
      <c r="Z601" s="6" t="n">
        <f aca="false">Y601-W601</f>
        <v>861.245</v>
      </c>
      <c r="AA601" s="8" t="n">
        <f aca="false">IF(Y601=0,0,Z601/Y601)</f>
        <v>0.346861514358841</v>
      </c>
      <c r="AB601" s="3" t="str">
        <f aca="false">IF(ABS(V601-Y601)&gt;1,"Mismatch","OK")</f>
        <v>OK</v>
      </c>
      <c r="AC601" s="3" t="str">
        <f aca="false">IF(ABS(X601-Z601)&gt;1,"Mismatch","OK")</f>
        <v>OK</v>
      </c>
      <c r="AD601" s="5" t="n">
        <f aca="false">IF(OR(B601="",C601=""),"",C601-B601)</f>
        <v>2</v>
      </c>
      <c r="AE601" s="3" t="str">
        <f aca="false">IF(AD601="","Unknown",IF(AD601&lt;0,"Invalid - Ship Before Order","OK"))</f>
        <v>OK</v>
      </c>
      <c r="AF601" s="5" t="n">
        <f aca="false">IF(B601="","",MONTH(B601))</f>
        <v>8</v>
      </c>
      <c r="AG601" s="5" t="n">
        <f aca="false">IF(B601="","",YEAR(B601))</f>
        <v>2024</v>
      </c>
      <c r="AH601" s="3" t="s">
        <v>52</v>
      </c>
      <c r="AI601" s="3" t="s">
        <v>53</v>
      </c>
      <c r="AJ601" s="3" t="str">
        <f aca="false">IF(AND(AI601="Completed",AH601="Failed"),"Inconsistent - Completed Order with Failed Payment","OK")</f>
        <v>OK</v>
      </c>
      <c r="AK601" s="3" t="s">
        <v>54</v>
      </c>
      <c r="AL601" s="3" t="str">
        <f aca="false">IF(OR(T601="Negative - Invalid",T601="Above Allowed Range - Invalid",AE601="Invalid - Ship Before Order",AK601&lt;&gt;"Unique",AB601="Mismatch",AC601="Mismatch",AJ601&lt;&gt;"OK"),"Invalid",IF(OR(H601="Yes",O601="Yes",T601="Missing"),"Warning","Clean"))</f>
        <v>Clean</v>
      </c>
    </row>
    <row r="602" customFormat="false" ht="15" hidden="false" customHeight="true" outlineLevel="0" collapsed="false">
      <c r="A602" s="3" t="s">
        <v>1937</v>
      </c>
      <c r="B602" s="4" t="n">
        <v>45721</v>
      </c>
      <c r="C602" s="4" t="n">
        <v>45728</v>
      </c>
      <c r="D602" s="3" t="s">
        <v>1938</v>
      </c>
      <c r="E602" s="3" t="s">
        <v>87</v>
      </c>
      <c r="F602" s="3" t="s">
        <v>116</v>
      </c>
      <c r="G602" s="3" t="s">
        <v>88</v>
      </c>
      <c r="H602" s="3" t="s">
        <v>43</v>
      </c>
      <c r="I602" s="3" t="s">
        <v>97</v>
      </c>
      <c r="J602" s="3" t="s">
        <v>98</v>
      </c>
      <c r="K602" s="3" t="s">
        <v>46</v>
      </c>
      <c r="L602" s="3" t="s">
        <v>151</v>
      </c>
      <c r="M602" s="3" t="s">
        <v>1939</v>
      </c>
      <c r="N602" s="3" t="s">
        <v>65</v>
      </c>
      <c r="O602" s="3" t="s">
        <v>43</v>
      </c>
      <c r="P602" s="5" t="n">
        <v>3</v>
      </c>
      <c r="Q602" s="6" t="n">
        <v>3682.75</v>
      </c>
      <c r="R602" s="3"/>
      <c r="S602" s="7"/>
      <c r="T602" s="3" t="s">
        <v>230</v>
      </c>
      <c r="U602" s="7" t="n">
        <f aca="false">IF(T602="Valid",S602,0)</f>
        <v>0</v>
      </c>
      <c r="V602" s="6" t="n">
        <v>11048.25</v>
      </c>
      <c r="W602" s="6" t="n">
        <v>9062.72</v>
      </c>
      <c r="X602" s="6" t="n">
        <v>1985.53</v>
      </c>
      <c r="Y602" s="6" t="n">
        <f aca="false">P602*Q602*(1-U602)</f>
        <v>11048.25</v>
      </c>
      <c r="Z602" s="6" t="n">
        <f aca="false">Y602-W602</f>
        <v>1985.53</v>
      </c>
      <c r="AA602" s="8" t="n">
        <f aca="false">IF(Y602=0,0,Z602/Y602)</f>
        <v>0.17971443441269</v>
      </c>
      <c r="AB602" s="3" t="str">
        <f aca="false">IF(ABS(V602-Y602)&gt;1,"Mismatch","OK")</f>
        <v>OK</v>
      </c>
      <c r="AC602" s="3" t="str">
        <f aca="false">IF(ABS(X602-Z602)&gt;1,"Mismatch","OK")</f>
        <v>OK</v>
      </c>
      <c r="AD602" s="5" t="n">
        <f aca="false">IF(OR(B602="",C602=""),"",C602-B602)</f>
        <v>7</v>
      </c>
      <c r="AE602" s="3" t="str">
        <f aca="false">IF(AD602="","Unknown",IF(AD602&lt;0,"Invalid - Ship Before Order","OK"))</f>
        <v>OK</v>
      </c>
      <c r="AF602" s="5" t="n">
        <f aca="false">IF(B602="","",MONTH(B602))</f>
        <v>3</v>
      </c>
      <c r="AG602" s="5" t="n">
        <f aca="false">IF(B602="","",YEAR(B602))</f>
        <v>2025</v>
      </c>
      <c r="AH602" s="3" t="s">
        <v>52</v>
      </c>
      <c r="AI602" s="3" t="s">
        <v>53</v>
      </c>
      <c r="AJ602" s="3" t="str">
        <f aca="false">IF(AND(AI602="Completed",AH602="Failed"),"Inconsistent - Completed Order with Failed Payment","OK")</f>
        <v>OK</v>
      </c>
      <c r="AK602" s="3" t="s">
        <v>54</v>
      </c>
      <c r="AL602" s="3" t="str">
        <f aca="false">IF(OR(T602="Negative - Invalid",T602="Above Allowed Range - Invalid",AE602="Invalid - Ship Before Order",AK602&lt;&gt;"Unique",AB602="Mismatch",AC602="Mismatch",AJ602&lt;&gt;"OK"),"Invalid",IF(OR(H602="Yes",O602="Yes",T602="Missing"),"Warning","Clean"))</f>
        <v>Warning</v>
      </c>
    </row>
    <row r="603" customFormat="false" ht="15" hidden="false" customHeight="true" outlineLevel="0" collapsed="false">
      <c r="A603" s="3" t="s">
        <v>1940</v>
      </c>
      <c r="B603" s="4" t="n">
        <v>45317</v>
      </c>
      <c r="C603" s="4" t="n">
        <v>45322</v>
      </c>
      <c r="D603" s="3" t="s">
        <v>1941</v>
      </c>
      <c r="E603" s="3" t="s">
        <v>87</v>
      </c>
      <c r="F603" s="3" t="s">
        <v>121</v>
      </c>
      <c r="G603" s="3" t="s">
        <v>59</v>
      </c>
      <c r="H603" s="3" t="s">
        <v>43</v>
      </c>
      <c r="I603" s="3" t="s">
        <v>125</v>
      </c>
      <c r="J603" s="3" t="s">
        <v>126</v>
      </c>
      <c r="K603" s="3" t="s">
        <v>46</v>
      </c>
      <c r="L603" s="3" t="s">
        <v>47</v>
      </c>
      <c r="M603" s="3" t="s">
        <v>1942</v>
      </c>
      <c r="N603" s="3" t="s">
        <v>49</v>
      </c>
      <c r="O603" s="3" t="s">
        <v>43</v>
      </c>
      <c r="P603" s="5" t="n">
        <v>5</v>
      </c>
      <c r="Q603" s="6" t="n">
        <v>1615.03</v>
      </c>
      <c r="R603" s="3" t="s">
        <v>50</v>
      </c>
      <c r="S603" s="7" t="n">
        <v>0.2</v>
      </c>
      <c r="T603" s="3" t="s">
        <v>51</v>
      </c>
      <c r="U603" s="7" t="n">
        <f aca="false">IF(T603="Valid",S603,0)</f>
        <v>0.2</v>
      </c>
      <c r="V603" s="6" t="n">
        <v>6460.12</v>
      </c>
      <c r="W603" s="6" t="n">
        <v>3604.03</v>
      </c>
      <c r="X603" s="6" t="n">
        <v>2856.09</v>
      </c>
      <c r="Y603" s="6" t="n">
        <f aca="false">P603*Q603*(1-U603)</f>
        <v>6460.12</v>
      </c>
      <c r="Z603" s="6" t="n">
        <f aca="false">Y603-W603</f>
        <v>2856.09</v>
      </c>
      <c r="AA603" s="8" t="n">
        <f aca="false">IF(Y603=0,0,Z603/Y603)</f>
        <v>0.44211098245853</v>
      </c>
      <c r="AB603" s="3" t="str">
        <f aca="false">IF(ABS(V603-Y603)&gt;1,"Mismatch","OK")</f>
        <v>OK</v>
      </c>
      <c r="AC603" s="3" t="str">
        <f aca="false">IF(ABS(X603-Z603)&gt;1,"Mismatch","OK")</f>
        <v>OK</v>
      </c>
      <c r="AD603" s="5" t="n">
        <f aca="false">IF(OR(B603="",C603=""),"",C603-B603)</f>
        <v>5</v>
      </c>
      <c r="AE603" s="3" t="str">
        <f aca="false">IF(AD603="","Unknown",IF(AD603&lt;0,"Invalid - Ship Before Order","OK"))</f>
        <v>OK</v>
      </c>
      <c r="AF603" s="5" t="n">
        <f aca="false">IF(B603="","",MONTH(B603))</f>
        <v>1</v>
      </c>
      <c r="AG603" s="5" t="n">
        <f aca="false">IF(B603="","",YEAR(B603))</f>
        <v>2024</v>
      </c>
      <c r="AH603" s="3" t="s">
        <v>52</v>
      </c>
      <c r="AI603" s="3" t="s">
        <v>53</v>
      </c>
      <c r="AJ603" s="3" t="str">
        <f aca="false">IF(AND(AI603="Completed",AH603="Failed"),"Inconsistent - Completed Order with Failed Payment","OK")</f>
        <v>OK</v>
      </c>
      <c r="AK603" s="3" t="s">
        <v>54</v>
      </c>
      <c r="AL603" s="3" t="str">
        <f aca="false">IF(OR(T603="Negative - Invalid",T603="Above Allowed Range - Invalid",AE603="Invalid - Ship Before Order",AK603&lt;&gt;"Unique",AB603="Mismatch",AC603="Mismatch",AJ603&lt;&gt;"OK"),"Invalid",IF(OR(H603="Yes",O603="Yes",T603="Missing"),"Warning","Clean"))</f>
        <v>Clean</v>
      </c>
    </row>
    <row r="604" customFormat="false" ht="15" hidden="false" customHeight="true" outlineLevel="0" collapsed="false">
      <c r="A604" s="3" t="s">
        <v>1943</v>
      </c>
      <c r="B604" s="4" t="n">
        <v>45588</v>
      </c>
      <c r="C604" s="4" t="n">
        <v>45595</v>
      </c>
      <c r="D604" s="3" t="s">
        <v>1944</v>
      </c>
      <c r="E604" s="3" t="s">
        <v>155</v>
      </c>
      <c r="F604" s="3" t="s">
        <v>41</v>
      </c>
      <c r="G604" s="3" t="s">
        <v>59</v>
      </c>
      <c r="H604" s="3" t="s">
        <v>43</v>
      </c>
      <c r="I604" s="3" t="s">
        <v>262</v>
      </c>
      <c r="J604" s="3" t="s">
        <v>263</v>
      </c>
      <c r="K604" s="3" t="s">
        <v>99</v>
      </c>
      <c r="L604" s="3" t="s">
        <v>105</v>
      </c>
      <c r="M604" s="3" t="s">
        <v>1945</v>
      </c>
      <c r="N604" s="3" t="s">
        <v>49</v>
      </c>
      <c r="O604" s="3" t="s">
        <v>43</v>
      </c>
      <c r="P604" s="5" t="n">
        <v>9</v>
      </c>
      <c r="Q604" s="6" t="n">
        <v>3423.82</v>
      </c>
      <c r="R604" s="3" t="s">
        <v>107</v>
      </c>
      <c r="S604" s="7" t="n">
        <v>0.15</v>
      </c>
      <c r="T604" s="3" t="s">
        <v>51</v>
      </c>
      <c r="U604" s="7" t="n">
        <f aca="false">IF(T604="Valid",S604,0)</f>
        <v>0.15</v>
      </c>
      <c r="V604" s="6" t="n">
        <v>26192.22</v>
      </c>
      <c r="W604" s="6" t="n">
        <v>20795.55</v>
      </c>
      <c r="X604" s="6" t="n">
        <v>5396.67</v>
      </c>
      <c r="Y604" s="6" t="n">
        <f aca="false">P604*Q604*(1-U604)</f>
        <v>26192.223</v>
      </c>
      <c r="Z604" s="6" t="n">
        <f aca="false">Y604-W604</f>
        <v>5396.673</v>
      </c>
      <c r="AA604" s="8" t="n">
        <f aca="false">IF(Y604=0,0,Z604/Y604)</f>
        <v>0.20604104508426</v>
      </c>
      <c r="AB604" s="3" t="str">
        <f aca="false">IF(ABS(V604-Y604)&gt;1,"Mismatch","OK")</f>
        <v>OK</v>
      </c>
      <c r="AC604" s="3" t="str">
        <f aca="false">IF(ABS(X604-Z604)&gt;1,"Mismatch","OK")</f>
        <v>OK</v>
      </c>
      <c r="AD604" s="5" t="n">
        <f aca="false">IF(OR(B604="",C604=""),"",C604-B604)</f>
        <v>7</v>
      </c>
      <c r="AE604" s="3" t="str">
        <f aca="false">IF(AD604="","Unknown",IF(AD604&lt;0,"Invalid - Ship Before Order","OK"))</f>
        <v>OK</v>
      </c>
      <c r="AF604" s="5" t="n">
        <f aca="false">IF(B604="","",MONTH(B604))</f>
        <v>10</v>
      </c>
      <c r="AG604" s="5" t="n">
        <f aca="false">IF(B604="","",YEAR(B604))</f>
        <v>2024</v>
      </c>
      <c r="AH604" s="3" t="s">
        <v>52</v>
      </c>
      <c r="AI604" s="3" t="s">
        <v>53</v>
      </c>
      <c r="AJ604" s="3" t="str">
        <f aca="false">IF(AND(AI604="Completed",AH604="Failed"),"Inconsistent - Completed Order with Failed Payment","OK")</f>
        <v>OK</v>
      </c>
      <c r="AK604" s="3" t="s">
        <v>54</v>
      </c>
      <c r="AL604" s="3" t="str">
        <f aca="false">IF(OR(T604="Negative - Invalid",T604="Above Allowed Range - Invalid",AE604="Invalid - Ship Before Order",AK604&lt;&gt;"Unique",AB604="Mismatch",AC604="Mismatch",AJ604&lt;&gt;"OK"),"Invalid",IF(OR(H604="Yes",O604="Yes",T604="Missing"),"Warning","Clean"))</f>
        <v>Clean</v>
      </c>
    </row>
    <row r="605" customFormat="false" ht="15" hidden="false" customHeight="true" outlineLevel="0" collapsed="false">
      <c r="A605" s="3" t="s">
        <v>1946</v>
      </c>
      <c r="B605" s="4" t="n">
        <v>45660</v>
      </c>
      <c r="C605" s="4" t="n">
        <v>45668</v>
      </c>
      <c r="D605" s="3" t="s">
        <v>368</v>
      </c>
      <c r="E605" s="3" t="s">
        <v>96</v>
      </c>
      <c r="F605" s="3" t="s">
        <v>116</v>
      </c>
      <c r="G605" s="3" t="s">
        <v>59</v>
      </c>
      <c r="H605" s="3" t="s">
        <v>43</v>
      </c>
      <c r="I605" s="3" t="s">
        <v>174</v>
      </c>
      <c r="J605" s="3" t="s">
        <v>175</v>
      </c>
      <c r="K605" s="3" t="s">
        <v>99</v>
      </c>
      <c r="L605" s="3" t="s">
        <v>100</v>
      </c>
      <c r="M605" s="3" t="s">
        <v>1947</v>
      </c>
      <c r="N605" s="3" t="s">
        <v>72</v>
      </c>
      <c r="O605" s="3" t="s">
        <v>43</v>
      </c>
      <c r="P605" s="5" t="n">
        <v>8</v>
      </c>
      <c r="Q605" s="6" t="n">
        <v>2574.29</v>
      </c>
      <c r="R605" s="3" t="s">
        <v>128</v>
      </c>
      <c r="S605" s="7" t="n">
        <v>0.05</v>
      </c>
      <c r="T605" s="3" t="s">
        <v>51</v>
      </c>
      <c r="U605" s="7" t="n">
        <f aca="false">IF(T605="Valid",S605,0)</f>
        <v>0.05</v>
      </c>
      <c r="V605" s="6" t="n">
        <v>19564.6</v>
      </c>
      <c r="W605" s="6" t="n">
        <v>11154.59</v>
      </c>
      <c r="X605" s="6" t="n">
        <v>8410.01</v>
      </c>
      <c r="Y605" s="6" t="n">
        <f aca="false">P605*Q605*(1-U605)</f>
        <v>19564.604</v>
      </c>
      <c r="Z605" s="6" t="n">
        <f aca="false">Y605-W605</f>
        <v>8410.014</v>
      </c>
      <c r="AA605" s="8" t="n">
        <f aca="false">IF(Y605=0,0,Z605/Y605)</f>
        <v>0.429858636545876</v>
      </c>
      <c r="AB605" s="3" t="str">
        <f aca="false">IF(ABS(V605-Y605)&gt;1,"Mismatch","OK")</f>
        <v>OK</v>
      </c>
      <c r="AC605" s="3" t="str">
        <f aca="false">IF(ABS(X605-Z605)&gt;1,"Mismatch","OK")</f>
        <v>OK</v>
      </c>
      <c r="AD605" s="5" t="n">
        <f aca="false">IF(OR(B605="",C605=""),"",C605-B605)</f>
        <v>8</v>
      </c>
      <c r="AE605" s="3" t="str">
        <f aca="false">IF(AD605="","Unknown",IF(AD605&lt;0,"Invalid - Ship Before Order","OK"))</f>
        <v>OK</v>
      </c>
      <c r="AF605" s="5" t="n">
        <f aca="false">IF(B605="","",MONTH(B605))</f>
        <v>1</v>
      </c>
      <c r="AG605" s="5" t="n">
        <f aca="false">IF(B605="","",YEAR(B605))</f>
        <v>2025</v>
      </c>
      <c r="AH605" s="3" t="s">
        <v>138</v>
      </c>
      <c r="AI605" s="3" t="s">
        <v>93</v>
      </c>
      <c r="AJ605" s="3" t="str">
        <f aca="false">IF(AND(AI605="Completed",AH605="Failed"),"Inconsistent - Completed Order with Failed Payment","OK")</f>
        <v>OK</v>
      </c>
      <c r="AK605" s="3" t="s">
        <v>54</v>
      </c>
      <c r="AL605" s="3" t="str">
        <f aca="false">IF(OR(T605="Negative - Invalid",T605="Above Allowed Range - Invalid",AE605="Invalid - Ship Before Order",AK605&lt;&gt;"Unique",AB605="Mismatch",AC605="Mismatch",AJ605&lt;&gt;"OK"),"Invalid",IF(OR(H605="Yes",O605="Yes",T605="Missing"),"Warning","Clean"))</f>
        <v>Clean</v>
      </c>
    </row>
    <row r="606" customFormat="false" ht="15" hidden="false" customHeight="true" outlineLevel="0" collapsed="false">
      <c r="A606" s="3" t="s">
        <v>1948</v>
      </c>
      <c r="B606" s="4" t="n">
        <v>45693</v>
      </c>
      <c r="C606" s="4" t="n">
        <v>45694</v>
      </c>
      <c r="D606" s="3" t="s">
        <v>1949</v>
      </c>
      <c r="E606" s="3" t="s">
        <v>87</v>
      </c>
      <c r="F606" s="3" t="s">
        <v>41</v>
      </c>
      <c r="G606" s="3" t="s">
        <v>88</v>
      </c>
      <c r="H606" s="3" t="s">
        <v>43</v>
      </c>
      <c r="I606" s="3" t="s">
        <v>97</v>
      </c>
      <c r="J606" s="3" t="s">
        <v>98</v>
      </c>
      <c r="K606" s="3" t="s">
        <v>46</v>
      </c>
      <c r="L606" s="3" t="s">
        <v>183</v>
      </c>
      <c r="M606" s="3" t="s">
        <v>1950</v>
      </c>
      <c r="N606" s="3" t="s">
        <v>65</v>
      </c>
      <c r="O606" s="3" t="s">
        <v>43</v>
      </c>
      <c r="P606" s="5" t="n">
        <v>3</v>
      </c>
      <c r="Q606" s="6" t="n">
        <v>1076.3</v>
      </c>
      <c r="R606" s="3" t="s">
        <v>66</v>
      </c>
      <c r="S606" s="7" t="n">
        <v>0</v>
      </c>
      <c r="T606" s="3" t="s">
        <v>51</v>
      </c>
      <c r="U606" s="7" t="n">
        <f aca="false">IF(T606="Valid",S606,0)</f>
        <v>0</v>
      </c>
      <c r="V606" s="6" t="n">
        <v>3228.9</v>
      </c>
      <c r="W606" s="6" t="n">
        <v>1853.23</v>
      </c>
      <c r="X606" s="6" t="n">
        <v>1375.67</v>
      </c>
      <c r="Y606" s="6" t="n">
        <f aca="false">P606*Q606*(1-U606)</f>
        <v>3228.9</v>
      </c>
      <c r="Z606" s="6" t="n">
        <f aca="false">Y606-W606</f>
        <v>1375.67</v>
      </c>
      <c r="AA606" s="8" t="n">
        <f aca="false">IF(Y606=0,0,Z606/Y606)</f>
        <v>0.42604911889498</v>
      </c>
      <c r="AB606" s="3" t="str">
        <f aca="false">IF(ABS(V606-Y606)&gt;1,"Mismatch","OK")</f>
        <v>OK</v>
      </c>
      <c r="AC606" s="3" t="str">
        <f aca="false">IF(ABS(X606-Z606)&gt;1,"Mismatch","OK")</f>
        <v>OK</v>
      </c>
      <c r="AD606" s="5" t="n">
        <f aca="false">IF(OR(B606="",C606=""),"",C606-B606)</f>
        <v>1</v>
      </c>
      <c r="AE606" s="3" t="str">
        <f aca="false">IF(AD606="","Unknown",IF(AD606&lt;0,"Invalid - Ship Before Order","OK"))</f>
        <v>OK</v>
      </c>
      <c r="AF606" s="5" t="n">
        <f aca="false">IF(B606="","",MONTH(B606))</f>
        <v>2</v>
      </c>
      <c r="AG606" s="5" t="n">
        <f aca="false">IF(B606="","",YEAR(B606))</f>
        <v>2025</v>
      </c>
      <c r="AH606" s="3" t="s">
        <v>52</v>
      </c>
      <c r="AI606" s="3" t="s">
        <v>53</v>
      </c>
      <c r="AJ606" s="3" t="str">
        <f aca="false">IF(AND(AI606="Completed",AH606="Failed"),"Inconsistent - Completed Order with Failed Payment","OK")</f>
        <v>OK</v>
      </c>
      <c r="AK606" s="3" t="s">
        <v>54</v>
      </c>
      <c r="AL606" s="3" t="str">
        <f aca="false">IF(OR(T606="Negative - Invalid",T606="Above Allowed Range - Invalid",AE606="Invalid - Ship Before Order",AK606&lt;&gt;"Unique",AB606="Mismatch",AC606="Mismatch",AJ606&lt;&gt;"OK"),"Invalid",IF(OR(H606="Yes",O606="Yes",T606="Missing"),"Warning","Clean"))</f>
        <v>Clean</v>
      </c>
    </row>
    <row r="607" customFormat="false" ht="15" hidden="false" customHeight="true" outlineLevel="0" collapsed="false">
      <c r="A607" s="3" t="s">
        <v>1951</v>
      </c>
      <c r="B607" s="4" t="n">
        <v>45847</v>
      </c>
      <c r="C607" s="4" t="n">
        <v>45851</v>
      </c>
      <c r="D607" s="3" t="s">
        <v>1952</v>
      </c>
      <c r="E607" s="3" t="s">
        <v>298</v>
      </c>
      <c r="F607" s="3" t="s">
        <v>116</v>
      </c>
      <c r="G607" s="3" t="s">
        <v>88</v>
      </c>
      <c r="H607" s="3" t="s">
        <v>43</v>
      </c>
      <c r="I607" s="3" t="s">
        <v>221</v>
      </c>
      <c r="J607" s="3" t="s">
        <v>222</v>
      </c>
      <c r="K607" s="3" t="s">
        <v>62</v>
      </c>
      <c r="L607" s="3" t="s">
        <v>81</v>
      </c>
      <c r="M607" s="3" t="s">
        <v>1953</v>
      </c>
      <c r="N607" s="3" t="s">
        <v>49</v>
      </c>
      <c r="O607" s="3" t="s">
        <v>43</v>
      </c>
      <c r="P607" s="5" t="n">
        <v>5</v>
      </c>
      <c r="Q607" s="6" t="n">
        <v>1680.01</v>
      </c>
      <c r="R607" s="3" t="s">
        <v>806</v>
      </c>
      <c r="S607" s="7" t="n">
        <v>0.85</v>
      </c>
      <c r="T607" s="3" t="s">
        <v>74</v>
      </c>
      <c r="U607" s="7" t="n">
        <f aca="false">IF(T607="Valid",S607,0)</f>
        <v>0</v>
      </c>
      <c r="V607" s="6" t="n">
        <v>7560.04</v>
      </c>
      <c r="W607" s="6" t="n">
        <v>6448.05</v>
      </c>
      <c r="X607" s="6" t="n">
        <v>1111.99</v>
      </c>
      <c r="Y607" s="6" t="n">
        <f aca="false">P607*Q607*(1-U607)</f>
        <v>8400.05</v>
      </c>
      <c r="Z607" s="6" t="n">
        <f aca="false">Y607-W607</f>
        <v>1952</v>
      </c>
      <c r="AA607" s="8" t="n">
        <f aca="false">IF(Y607=0,0,Z607/Y607)</f>
        <v>0.232379569169231</v>
      </c>
      <c r="AB607" s="3" t="str">
        <f aca="false">IF(ABS(V607-Y607)&gt;1,"Mismatch","OK")</f>
        <v>Mismatch</v>
      </c>
      <c r="AC607" s="3" t="str">
        <f aca="false">IF(ABS(X607-Z607)&gt;1,"Mismatch","OK")</f>
        <v>Mismatch</v>
      </c>
      <c r="AD607" s="5" t="n">
        <f aca="false">IF(OR(B607="",C607=""),"",C607-B607)</f>
        <v>4</v>
      </c>
      <c r="AE607" s="3" t="str">
        <f aca="false">IF(AD607="","Unknown",IF(AD607&lt;0,"Invalid - Ship Before Order","OK"))</f>
        <v>OK</v>
      </c>
      <c r="AF607" s="5" t="n">
        <f aca="false">IF(B607="","",MONTH(B607))</f>
        <v>7</v>
      </c>
      <c r="AG607" s="5" t="n">
        <f aca="false">IF(B607="","",YEAR(B607))</f>
        <v>2025</v>
      </c>
      <c r="AH607" s="3" t="s">
        <v>52</v>
      </c>
      <c r="AI607" s="3" t="s">
        <v>93</v>
      </c>
      <c r="AJ607" s="3" t="str">
        <f aca="false">IF(AND(AI607="Completed",AH607="Failed"),"Inconsistent - Completed Order with Failed Payment","OK")</f>
        <v>OK</v>
      </c>
      <c r="AK607" s="3" t="s">
        <v>54</v>
      </c>
      <c r="AL607" s="3" t="str">
        <f aca="false">IF(OR(T607="Negative - Invalid",T607="Above Allowed Range - Invalid",AE607="Invalid - Ship Before Order",AK607&lt;&gt;"Unique",AB607="Mismatch",AC607="Mismatch",AJ607&lt;&gt;"OK"),"Invalid",IF(OR(H607="Yes",O607="Yes",T607="Missing"),"Warning","Clean"))</f>
        <v>Invalid</v>
      </c>
    </row>
    <row r="608" customFormat="false" ht="15" hidden="false" customHeight="true" outlineLevel="0" collapsed="false">
      <c r="A608" s="3" t="s">
        <v>1954</v>
      </c>
      <c r="B608" s="4" t="n">
        <v>45710</v>
      </c>
      <c r="C608" s="4" t="n">
        <v>45716</v>
      </c>
      <c r="D608" s="3" t="s">
        <v>1955</v>
      </c>
      <c r="E608" s="3" t="s">
        <v>145</v>
      </c>
      <c r="F608" s="3" t="s">
        <v>121</v>
      </c>
      <c r="G608" s="3" t="s">
        <v>88</v>
      </c>
      <c r="H608" s="3" t="s">
        <v>43</v>
      </c>
      <c r="I608" s="3" t="s">
        <v>97</v>
      </c>
      <c r="J608" s="3" t="s">
        <v>98</v>
      </c>
      <c r="K608" s="3" t="s">
        <v>99</v>
      </c>
      <c r="L608" s="3" t="s">
        <v>105</v>
      </c>
      <c r="M608" s="3" t="s">
        <v>1956</v>
      </c>
      <c r="N608" s="3" t="s">
        <v>65</v>
      </c>
      <c r="O608" s="3" t="s">
        <v>43</v>
      </c>
      <c r="P608" s="5" t="n">
        <v>3</v>
      </c>
      <c r="Q608" s="6" t="n">
        <v>3890.81</v>
      </c>
      <c r="R608" s="3" t="s">
        <v>84</v>
      </c>
      <c r="S608" s="7" t="n">
        <v>0.25</v>
      </c>
      <c r="T608" s="3" t="s">
        <v>51</v>
      </c>
      <c r="U608" s="7" t="n">
        <f aca="false">IF(T608="Valid",S608,0)</f>
        <v>0.25</v>
      </c>
      <c r="V608" s="6" t="n">
        <v>8754.32</v>
      </c>
      <c r="W608" s="6" t="n">
        <v>6238.9</v>
      </c>
      <c r="X608" s="6" t="n">
        <v>2515.42</v>
      </c>
      <c r="Y608" s="6" t="n">
        <f aca="false">P608*Q608*(1-U608)</f>
        <v>8754.3225</v>
      </c>
      <c r="Z608" s="6" t="n">
        <f aca="false">Y608-W608</f>
        <v>2515.4225</v>
      </c>
      <c r="AA608" s="8" t="n">
        <f aca="false">IF(Y608=0,0,Z608/Y608)</f>
        <v>0.287334913695492</v>
      </c>
      <c r="AB608" s="3" t="str">
        <f aca="false">IF(ABS(V608-Y608)&gt;1,"Mismatch","OK")</f>
        <v>OK</v>
      </c>
      <c r="AC608" s="3" t="str">
        <f aca="false">IF(ABS(X608-Z608)&gt;1,"Mismatch","OK")</f>
        <v>OK</v>
      </c>
      <c r="AD608" s="5" t="n">
        <f aca="false">IF(OR(B608="",C608=""),"",C608-B608)</f>
        <v>6</v>
      </c>
      <c r="AE608" s="3" t="str">
        <f aca="false">IF(AD608="","Unknown",IF(AD608&lt;0,"Invalid - Ship Before Order","OK"))</f>
        <v>OK</v>
      </c>
      <c r="AF608" s="5" t="n">
        <f aca="false">IF(B608="","",MONTH(B608))</f>
        <v>2</v>
      </c>
      <c r="AG608" s="5" t="n">
        <f aca="false">IF(B608="","",YEAR(B608))</f>
        <v>2025</v>
      </c>
      <c r="AH608" s="3" t="s">
        <v>52</v>
      </c>
      <c r="AI608" s="3" t="s">
        <v>53</v>
      </c>
      <c r="AJ608" s="3" t="str">
        <f aca="false">IF(AND(AI608="Completed",AH608="Failed"),"Inconsistent - Completed Order with Failed Payment","OK")</f>
        <v>OK</v>
      </c>
      <c r="AK608" s="3" t="s">
        <v>54</v>
      </c>
      <c r="AL608" s="3" t="str">
        <f aca="false">IF(OR(T608="Negative - Invalid",T608="Above Allowed Range - Invalid",AE608="Invalid - Ship Before Order",AK608&lt;&gt;"Unique",AB608="Mismatch",AC608="Mismatch",AJ608&lt;&gt;"OK"),"Invalid",IF(OR(H608="Yes",O608="Yes",T608="Missing"),"Warning","Clean"))</f>
        <v>Clean</v>
      </c>
    </row>
    <row r="609" customFormat="false" ht="15" hidden="false" customHeight="true" outlineLevel="0" collapsed="false">
      <c r="A609" s="3" t="s">
        <v>1957</v>
      </c>
      <c r="B609" s="4" t="n">
        <v>45704</v>
      </c>
      <c r="C609" s="4" t="n">
        <v>45710</v>
      </c>
      <c r="D609" s="3" t="s">
        <v>1958</v>
      </c>
      <c r="E609" s="3" t="s">
        <v>159</v>
      </c>
      <c r="F609" s="3" t="s">
        <v>121</v>
      </c>
      <c r="G609" s="3" t="s">
        <v>59</v>
      </c>
      <c r="H609" s="3" t="s">
        <v>43</v>
      </c>
      <c r="I609" s="3" t="s">
        <v>174</v>
      </c>
      <c r="J609" s="3" t="s">
        <v>175</v>
      </c>
      <c r="K609" s="3" t="s">
        <v>46</v>
      </c>
      <c r="L609" s="3" t="s">
        <v>151</v>
      </c>
      <c r="M609" s="3" t="s">
        <v>1959</v>
      </c>
      <c r="N609" s="3" t="s">
        <v>65</v>
      </c>
      <c r="O609" s="3" t="s">
        <v>43</v>
      </c>
      <c r="P609" s="5" t="n">
        <v>5</v>
      </c>
      <c r="Q609" s="6" t="n">
        <v>954.67</v>
      </c>
      <c r="R609" s="3" t="s">
        <v>107</v>
      </c>
      <c r="S609" s="7" t="n">
        <v>0.15</v>
      </c>
      <c r="T609" s="3" t="s">
        <v>51</v>
      </c>
      <c r="U609" s="7" t="n">
        <f aca="false">IF(T609="Valid",S609,0)</f>
        <v>0.15</v>
      </c>
      <c r="V609" s="6" t="n">
        <v>4057.35</v>
      </c>
      <c r="W609" s="6" t="n">
        <v>2862.03</v>
      </c>
      <c r="X609" s="6" t="n">
        <v>1195.32</v>
      </c>
      <c r="Y609" s="6" t="n">
        <f aca="false">P609*Q609*(1-U609)</f>
        <v>4057.3475</v>
      </c>
      <c r="Z609" s="6" t="n">
        <f aca="false">Y609-W609</f>
        <v>1195.3175</v>
      </c>
      <c r="AA609" s="8" t="n">
        <f aca="false">IF(Y609=0,0,Z609/Y609)</f>
        <v>0.29460565061287</v>
      </c>
      <c r="AB609" s="3" t="str">
        <f aca="false">IF(ABS(V609-Y609)&gt;1,"Mismatch","OK")</f>
        <v>OK</v>
      </c>
      <c r="AC609" s="3" t="str">
        <f aca="false">IF(ABS(X609-Z609)&gt;1,"Mismatch","OK")</f>
        <v>OK</v>
      </c>
      <c r="AD609" s="5" t="n">
        <f aca="false">IF(OR(B609="",C609=""),"",C609-B609)</f>
        <v>6</v>
      </c>
      <c r="AE609" s="3" t="str">
        <f aca="false">IF(AD609="","Unknown",IF(AD609&lt;0,"Invalid - Ship Before Order","OK"))</f>
        <v>OK</v>
      </c>
      <c r="AF609" s="5" t="n">
        <f aca="false">IF(B609="","",MONTH(B609))</f>
        <v>2</v>
      </c>
      <c r="AG609" s="5" t="n">
        <f aca="false">IF(B609="","",YEAR(B609))</f>
        <v>2025</v>
      </c>
      <c r="AH609" s="3" t="s">
        <v>52</v>
      </c>
      <c r="AI609" s="3" t="s">
        <v>53</v>
      </c>
      <c r="AJ609" s="3" t="str">
        <f aca="false">IF(AND(AI609="Completed",AH609="Failed"),"Inconsistent - Completed Order with Failed Payment","OK")</f>
        <v>OK</v>
      </c>
      <c r="AK609" s="3" t="s">
        <v>54</v>
      </c>
      <c r="AL609" s="3" t="str">
        <f aca="false">IF(OR(T609="Negative - Invalid",T609="Above Allowed Range - Invalid",AE609="Invalid - Ship Before Order",AK609&lt;&gt;"Unique",AB609="Mismatch",AC609="Mismatch",AJ609&lt;&gt;"OK"),"Invalid",IF(OR(H609="Yes",O609="Yes",T609="Missing"),"Warning","Clean"))</f>
        <v>Clean</v>
      </c>
    </row>
    <row r="610" customFormat="false" ht="15" hidden="false" customHeight="true" outlineLevel="0" collapsed="false">
      <c r="A610" s="3" t="s">
        <v>1960</v>
      </c>
      <c r="B610" s="4" t="n">
        <v>45464</v>
      </c>
      <c r="C610" s="4" t="n">
        <v>45466</v>
      </c>
      <c r="D610" s="3" t="s">
        <v>1738</v>
      </c>
      <c r="E610" s="3" t="s">
        <v>40</v>
      </c>
      <c r="F610" s="3" t="s">
        <v>121</v>
      </c>
      <c r="G610" s="3" t="s">
        <v>88</v>
      </c>
      <c r="H610" s="3" t="s">
        <v>43</v>
      </c>
      <c r="I610" s="3" t="s">
        <v>221</v>
      </c>
      <c r="J610" s="3" t="s">
        <v>222</v>
      </c>
      <c r="K610" s="3" t="s">
        <v>62</v>
      </c>
      <c r="L610" s="3" t="s">
        <v>81</v>
      </c>
      <c r="M610" s="3" t="s">
        <v>1961</v>
      </c>
      <c r="N610" s="3" t="s">
        <v>49</v>
      </c>
      <c r="O610" s="3" t="s">
        <v>43</v>
      </c>
      <c r="P610" s="5" t="n">
        <v>9</v>
      </c>
      <c r="Q610" s="6" t="n">
        <v>2153.75</v>
      </c>
      <c r="R610" s="3" t="s">
        <v>66</v>
      </c>
      <c r="S610" s="7" t="n">
        <v>0</v>
      </c>
      <c r="T610" s="3" t="s">
        <v>51</v>
      </c>
      <c r="U610" s="7" t="n">
        <f aca="false">IF(T610="Valid",S610,0)</f>
        <v>0</v>
      </c>
      <c r="V610" s="6" t="n">
        <v>19383.75</v>
      </c>
      <c r="W610" s="6" t="n">
        <v>11667.43</v>
      </c>
      <c r="X610" s="6" t="n">
        <v>7716.32</v>
      </c>
      <c r="Y610" s="6" t="n">
        <f aca="false">P610*Q610*(1-U610)</f>
        <v>19383.75</v>
      </c>
      <c r="Z610" s="6" t="n">
        <f aca="false">Y610-W610</f>
        <v>7716.32</v>
      </c>
      <c r="AA610" s="8" t="n">
        <f aca="false">IF(Y610=0,0,Z610/Y610)</f>
        <v>0.398081898497453</v>
      </c>
      <c r="AB610" s="3" t="str">
        <f aca="false">IF(ABS(V610-Y610)&gt;1,"Mismatch","OK")</f>
        <v>OK</v>
      </c>
      <c r="AC610" s="3" t="str">
        <f aca="false">IF(ABS(X610-Z610)&gt;1,"Mismatch","OK")</f>
        <v>OK</v>
      </c>
      <c r="AD610" s="5" t="n">
        <f aca="false">IF(OR(B610="",C610=""),"",C610-B610)</f>
        <v>2</v>
      </c>
      <c r="AE610" s="3" t="str">
        <f aca="false">IF(AD610="","Unknown",IF(AD610&lt;0,"Invalid - Ship Before Order","OK"))</f>
        <v>OK</v>
      </c>
      <c r="AF610" s="5" t="n">
        <f aca="false">IF(B610="","",MONTH(B610))</f>
        <v>6</v>
      </c>
      <c r="AG610" s="5" t="n">
        <f aca="false">IF(B610="","",YEAR(B610))</f>
        <v>2024</v>
      </c>
      <c r="AH610" s="3" t="s">
        <v>52</v>
      </c>
      <c r="AI610" s="3" t="s">
        <v>53</v>
      </c>
      <c r="AJ610" s="3" t="str">
        <f aca="false">IF(AND(AI610="Completed",AH610="Failed"),"Inconsistent - Completed Order with Failed Payment","OK")</f>
        <v>OK</v>
      </c>
      <c r="AK610" s="3" t="s">
        <v>54</v>
      </c>
      <c r="AL610" s="3" t="str">
        <f aca="false">IF(OR(T610="Negative - Invalid",T610="Above Allowed Range - Invalid",AE610="Invalid - Ship Before Order",AK610&lt;&gt;"Unique",AB610="Mismatch",AC610="Mismatch",AJ610&lt;&gt;"OK"),"Invalid",IF(OR(H610="Yes",O610="Yes",T610="Missing"),"Warning","Clean"))</f>
        <v>Clean</v>
      </c>
    </row>
    <row r="611" customFormat="false" ht="15" hidden="false" customHeight="true" outlineLevel="0" collapsed="false">
      <c r="A611" s="3" t="s">
        <v>1962</v>
      </c>
      <c r="B611" s="4" t="n">
        <v>45665</v>
      </c>
      <c r="C611" s="4" t="n">
        <v>45669</v>
      </c>
      <c r="D611" s="3" t="s">
        <v>1963</v>
      </c>
      <c r="E611" s="3" t="s">
        <v>159</v>
      </c>
      <c r="F611" s="3" t="s">
        <v>121</v>
      </c>
      <c r="G611" s="3" t="s">
        <v>78</v>
      </c>
      <c r="H611" s="3" t="s">
        <v>43</v>
      </c>
      <c r="I611" s="3" t="s">
        <v>206</v>
      </c>
      <c r="J611" s="3" t="s">
        <v>207</v>
      </c>
      <c r="K611" s="3" t="s">
        <v>62</v>
      </c>
      <c r="L611" s="3" t="s">
        <v>91</v>
      </c>
      <c r="M611" s="3" t="s">
        <v>1964</v>
      </c>
      <c r="N611" s="3" t="s">
        <v>83</v>
      </c>
      <c r="O611" s="3" t="s">
        <v>43</v>
      </c>
      <c r="P611" s="5" t="n">
        <v>7</v>
      </c>
      <c r="Q611" s="6" t="n">
        <v>4337.48</v>
      </c>
      <c r="R611" s="3" t="s">
        <v>66</v>
      </c>
      <c r="S611" s="7" t="n">
        <v>0</v>
      </c>
      <c r="T611" s="3" t="s">
        <v>51</v>
      </c>
      <c r="U611" s="7" t="n">
        <f aca="false">IF(T611="Valid",S611,0)</f>
        <v>0</v>
      </c>
      <c r="V611" s="6" t="n">
        <v>30362.36</v>
      </c>
      <c r="W611" s="6" t="n">
        <v>25065.4</v>
      </c>
      <c r="X611" s="6" t="n">
        <v>5296.96</v>
      </c>
      <c r="Y611" s="6" t="n">
        <f aca="false">P611*Q611*(1-U611)</f>
        <v>30362.36</v>
      </c>
      <c r="Z611" s="6" t="n">
        <f aca="false">Y611-W611</f>
        <v>5296.96</v>
      </c>
      <c r="AA611" s="8" t="n">
        <f aca="false">IF(Y611=0,0,Z611/Y611)</f>
        <v>0.174458111951772</v>
      </c>
      <c r="AB611" s="3" t="str">
        <f aca="false">IF(ABS(V611-Y611)&gt;1,"Mismatch","OK")</f>
        <v>OK</v>
      </c>
      <c r="AC611" s="3" t="str">
        <f aca="false">IF(ABS(X611-Z611)&gt;1,"Mismatch","OK")</f>
        <v>OK</v>
      </c>
      <c r="AD611" s="5" t="n">
        <f aca="false">IF(OR(B611="",C611=""),"",C611-B611)</f>
        <v>4</v>
      </c>
      <c r="AE611" s="3" t="str">
        <f aca="false">IF(AD611="","Unknown",IF(AD611&lt;0,"Invalid - Ship Before Order","OK"))</f>
        <v>OK</v>
      </c>
      <c r="AF611" s="5" t="n">
        <f aca="false">IF(B611="","",MONTH(B611))</f>
        <v>1</v>
      </c>
      <c r="AG611" s="5" t="n">
        <f aca="false">IF(B611="","",YEAR(B611))</f>
        <v>2025</v>
      </c>
      <c r="AH611" s="3" t="s">
        <v>52</v>
      </c>
      <c r="AI611" s="3" t="s">
        <v>53</v>
      </c>
      <c r="AJ611" s="3" t="str">
        <f aca="false">IF(AND(AI611="Completed",AH611="Failed"),"Inconsistent - Completed Order with Failed Payment","OK")</f>
        <v>OK</v>
      </c>
      <c r="AK611" s="3" t="s">
        <v>54</v>
      </c>
      <c r="AL611" s="3" t="str">
        <f aca="false">IF(OR(T611="Negative - Invalid",T611="Above Allowed Range - Invalid",AE611="Invalid - Ship Before Order",AK611&lt;&gt;"Unique",AB611="Mismatch",AC611="Mismatch",AJ611&lt;&gt;"OK"),"Invalid",IF(OR(H611="Yes",O611="Yes",T611="Missing"),"Warning","Clean"))</f>
        <v>Clean</v>
      </c>
    </row>
    <row r="612" customFormat="false" ht="15" hidden="false" customHeight="true" outlineLevel="0" collapsed="false">
      <c r="A612" s="3" t="s">
        <v>1965</v>
      </c>
      <c r="B612" s="4" t="n">
        <v>45432</v>
      </c>
      <c r="C612" s="4" t="n">
        <v>45432</v>
      </c>
      <c r="D612" s="3" t="s">
        <v>1408</v>
      </c>
      <c r="E612" s="3" t="s">
        <v>40</v>
      </c>
      <c r="F612" s="3" t="s">
        <v>121</v>
      </c>
      <c r="G612" s="3" t="s">
        <v>88</v>
      </c>
      <c r="H612" s="3" t="s">
        <v>43</v>
      </c>
      <c r="I612" s="3" t="s">
        <v>97</v>
      </c>
      <c r="J612" s="3" t="s">
        <v>98</v>
      </c>
      <c r="K612" s="3" t="s">
        <v>62</v>
      </c>
      <c r="L612" s="3" t="s">
        <v>91</v>
      </c>
      <c r="M612" s="3" t="s">
        <v>1966</v>
      </c>
      <c r="N612" s="3" t="s">
        <v>83</v>
      </c>
      <c r="O612" s="3" t="s">
        <v>43</v>
      </c>
      <c r="P612" s="5" t="n">
        <v>1</v>
      </c>
      <c r="Q612" s="6" t="n">
        <v>3032.95</v>
      </c>
      <c r="R612" s="3" t="s">
        <v>203</v>
      </c>
      <c r="S612" s="7" t="n">
        <v>0.1</v>
      </c>
      <c r="T612" s="3" t="s">
        <v>51</v>
      </c>
      <c r="U612" s="7" t="n">
        <f aca="false">IF(T612="Valid",S612,0)</f>
        <v>0.1</v>
      </c>
      <c r="V612" s="6" t="n">
        <v>2729.65</v>
      </c>
      <c r="W612" s="6" t="n">
        <v>1715.36</v>
      </c>
      <c r="X612" s="6" t="n">
        <v>1014.29</v>
      </c>
      <c r="Y612" s="6" t="n">
        <f aca="false">P612*Q612*(1-U612)</f>
        <v>2729.655</v>
      </c>
      <c r="Z612" s="6" t="n">
        <f aca="false">Y612-W612</f>
        <v>1014.295</v>
      </c>
      <c r="AA612" s="8" t="n">
        <f aca="false">IF(Y612=0,0,Z612/Y612)</f>
        <v>0.371583588402197</v>
      </c>
      <c r="AB612" s="3" t="str">
        <f aca="false">IF(ABS(V612-Y612)&gt;1,"Mismatch","OK")</f>
        <v>OK</v>
      </c>
      <c r="AC612" s="3" t="str">
        <f aca="false">IF(ABS(X612-Z612)&gt;1,"Mismatch","OK")</f>
        <v>OK</v>
      </c>
      <c r="AD612" s="5" t="n">
        <f aca="false">IF(OR(B612="",C612=""),"",C612-B612)</f>
        <v>0</v>
      </c>
      <c r="AE612" s="3" t="str">
        <f aca="false">IF(AD612="","Unknown",IF(AD612&lt;0,"Invalid - Ship Before Order","OK"))</f>
        <v>OK</v>
      </c>
      <c r="AF612" s="5" t="n">
        <f aca="false">IF(B612="","",MONTH(B612))</f>
        <v>5</v>
      </c>
      <c r="AG612" s="5" t="n">
        <f aca="false">IF(B612="","",YEAR(B612))</f>
        <v>2024</v>
      </c>
      <c r="AH612" s="3" t="s">
        <v>52</v>
      </c>
      <c r="AI612" s="3" t="s">
        <v>53</v>
      </c>
      <c r="AJ612" s="3" t="str">
        <f aca="false">IF(AND(AI612="Completed",AH612="Failed"),"Inconsistent - Completed Order with Failed Payment","OK")</f>
        <v>OK</v>
      </c>
      <c r="AK612" s="3" t="s">
        <v>54</v>
      </c>
      <c r="AL612" s="3" t="str">
        <f aca="false">IF(OR(T612="Negative - Invalid",T612="Above Allowed Range - Invalid",AE612="Invalid - Ship Before Order",AK612&lt;&gt;"Unique",AB612="Mismatch",AC612="Mismatch",AJ612&lt;&gt;"OK"),"Invalid",IF(OR(H612="Yes",O612="Yes",T612="Missing"),"Warning","Clean"))</f>
        <v>Clean</v>
      </c>
    </row>
    <row r="613" customFormat="false" ht="15" hidden="false" customHeight="true" outlineLevel="0" collapsed="false">
      <c r="A613" s="3" t="s">
        <v>1967</v>
      </c>
      <c r="B613" s="4" t="n">
        <v>45846</v>
      </c>
      <c r="C613" s="4" t="n">
        <v>45853</v>
      </c>
      <c r="D613" s="3" t="s">
        <v>1968</v>
      </c>
      <c r="E613" s="3" t="s">
        <v>87</v>
      </c>
      <c r="F613" s="3" t="s">
        <v>58</v>
      </c>
      <c r="G613" s="3" t="s">
        <v>42</v>
      </c>
      <c r="H613" s="3" t="s">
        <v>43</v>
      </c>
      <c r="I613" s="3" t="s">
        <v>44</v>
      </c>
      <c r="J613" s="3" t="s">
        <v>45</v>
      </c>
      <c r="K613" s="3" t="s">
        <v>46</v>
      </c>
      <c r="L613" s="3" t="s">
        <v>183</v>
      </c>
      <c r="M613" s="3" t="s">
        <v>1969</v>
      </c>
      <c r="N613" s="3" t="s">
        <v>65</v>
      </c>
      <c r="O613" s="3" t="s">
        <v>43</v>
      </c>
      <c r="P613" s="5" t="n">
        <v>8</v>
      </c>
      <c r="Q613" s="6" t="n">
        <v>655.28</v>
      </c>
      <c r="R613" s="3" t="s">
        <v>203</v>
      </c>
      <c r="S613" s="7" t="n">
        <v>0.1</v>
      </c>
      <c r="T613" s="3" t="s">
        <v>51</v>
      </c>
      <c r="U613" s="7" t="n">
        <f aca="false">IF(T613="Valid",S613,0)</f>
        <v>0.1</v>
      </c>
      <c r="V613" s="6" t="n">
        <v>4718.02</v>
      </c>
      <c r="W613" s="6" t="n">
        <v>3908.23</v>
      </c>
      <c r="X613" s="6" t="n">
        <v>809.79</v>
      </c>
      <c r="Y613" s="6" t="n">
        <f aca="false">P613*Q613*(1-U613)</f>
        <v>4718.016</v>
      </c>
      <c r="Z613" s="6" t="n">
        <f aca="false">Y613-W613</f>
        <v>809.786</v>
      </c>
      <c r="AA613" s="8" t="n">
        <f aca="false">IF(Y613=0,0,Z613/Y613)</f>
        <v>0.171636976220513</v>
      </c>
      <c r="AB613" s="3" t="str">
        <f aca="false">IF(ABS(V613-Y613)&gt;1,"Mismatch","OK")</f>
        <v>OK</v>
      </c>
      <c r="AC613" s="3" t="str">
        <f aca="false">IF(ABS(X613-Z613)&gt;1,"Mismatch","OK")</f>
        <v>OK</v>
      </c>
      <c r="AD613" s="5" t="n">
        <f aca="false">IF(OR(B613="",C613=""),"",C613-B613)</f>
        <v>7</v>
      </c>
      <c r="AE613" s="3" t="str">
        <f aca="false">IF(AD613="","Unknown",IF(AD613&lt;0,"Invalid - Ship Before Order","OK"))</f>
        <v>OK</v>
      </c>
      <c r="AF613" s="5" t="n">
        <f aca="false">IF(B613="","",MONTH(B613))</f>
        <v>7</v>
      </c>
      <c r="AG613" s="5" t="n">
        <f aca="false">IF(B613="","",YEAR(B613))</f>
        <v>2025</v>
      </c>
      <c r="AH613" s="3" t="s">
        <v>52</v>
      </c>
      <c r="AI613" s="3" t="s">
        <v>53</v>
      </c>
      <c r="AJ613" s="3" t="str">
        <f aca="false">IF(AND(AI613="Completed",AH613="Failed"),"Inconsistent - Completed Order with Failed Payment","OK")</f>
        <v>OK</v>
      </c>
      <c r="AK613" s="3" t="s">
        <v>54</v>
      </c>
      <c r="AL613" s="3" t="str">
        <f aca="false">IF(OR(T613="Negative - Invalid",T613="Above Allowed Range - Invalid",AE613="Invalid - Ship Before Order",AK613&lt;&gt;"Unique",AB613="Mismatch",AC613="Mismatch",AJ613&lt;&gt;"OK"),"Invalid",IF(OR(H613="Yes",O613="Yes",T613="Missing"),"Warning","Clean"))</f>
        <v>Clean</v>
      </c>
    </row>
    <row r="614" customFormat="false" ht="15" hidden="false" customHeight="true" outlineLevel="0" collapsed="false">
      <c r="A614" s="3" t="s">
        <v>1970</v>
      </c>
      <c r="B614" s="4" t="n">
        <v>45753</v>
      </c>
      <c r="C614" s="4" t="n">
        <v>45760</v>
      </c>
      <c r="D614" s="3" t="s">
        <v>1971</v>
      </c>
      <c r="E614" s="3" t="s">
        <v>115</v>
      </c>
      <c r="F614" s="3" t="s">
        <v>41</v>
      </c>
      <c r="G614" s="3" t="s">
        <v>237</v>
      </c>
      <c r="H614" s="3" t="s">
        <v>238</v>
      </c>
      <c r="I614" s="3" t="s">
        <v>60</v>
      </c>
      <c r="J614" s="3" t="s">
        <v>61</v>
      </c>
      <c r="K614" s="3" t="s">
        <v>99</v>
      </c>
      <c r="L614" s="3" t="s">
        <v>201</v>
      </c>
      <c r="M614" s="3" t="s">
        <v>1972</v>
      </c>
      <c r="N614" s="3" t="s">
        <v>83</v>
      </c>
      <c r="O614" s="3" t="s">
        <v>43</v>
      </c>
      <c r="P614" s="5" t="n">
        <v>1</v>
      </c>
      <c r="Q614" s="6" t="n">
        <v>3844.01</v>
      </c>
      <c r="R614" s="3" t="s">
        <v>66</v>
      </c>
      <c r="S614" s="7" t="n">
        <v>0</v>
      </c>
      <c r="T614" s="3" t="s">
        <v>51</v>
      </c>
      <c r="U614" s="7" t="n">
        <f aca="false">IF(T614="Valid",S614,0)</f>
        <v>0</v>
      </c>
      <c r="V614" s="6" t="n">
        <v>3844.01</v>
      </c>
      <c r="W614" s="6" t="n">
        <v>2195.79</v>
      </c>
      <c r="X614" s="6" t="n">
        <v>1648.22</v>
      </c>
      <c r="Y614" s="6" t="n">
        <f aca="false">P614*Q614*(1-U614)</f>
        <v>3844.01</v>
      </c>
      <c r="Z614" s="6" t="n">
        <f aca="false">Y614-W614</f>
        <v>1648.22</v>
      </c>
      <c r="AA614" s="8" t="n">
        <f aca="false">IF(Y614=0,0,Z614/Y614)</f>
        <v>0.428776199853799</v>
      </c>
      <c r="AB614" s="3" t="str">
        <f aca="false">IF(ABS(V614-Y614)&gt;1,"Mismatch","OK")</f>
        <v>OK</v>
      </c>
      <c r="AC614" s="3" t="str">
        <f aca="false">IF(ABS(X614-Z614)&gt;1,"Mismatch","OK")</f>
        <v>OK</v>
      </c>
      <c r="AD614" s="5" t="n">
        <f aca="false">IF(OR(B614="",C614=""),"",C614-B614)</f>
        <v>7</v>
      </c>
      <c r="AE614" s="3" t="str">
        <f aca="false">IF(AD614="","Unknown",IF(AD614&lt;0,"Invalid - Ship Before Order","OK"))</f>
        <v>OK</v>
      </c>
      <c r="AF614" s="5" t="n">
        <f aca="false">IF(B614="","",MONTH(B614))</f>
        <v>4</v>
      </c>
      <c r="AG614" s="5" t="n">
        <f aca="false">IF(B614="","",YEAR(B614))</f>
        <v>2025</v>
      </c>
      <c r="AH614" s="3" t="s">
        <v>52</v>
      </c>
      <c r="AI614" s="3" t="s">
        <v>53</v>
      </c>
      <c r="AJ614" s="3" t="str">
        <f aca="false">IF(AND(AI614="Completed",AH614="Failed"),"Inconsistent - Completed Order with Failed Payment","OK")</f>
        <v>OK</v>
      </c>
      <c r="AK614" s="3" t="s">
        <v>54</v>
      </c>
      <c r="AL614" s="3" t="str">
        <f aca="false">IF(OR(T614="Negative - Invalid",T614="Above Allowed Range - Invalid",AE614="Invalid - Ship Before Order",AK614&lt;&gt;"Unique",AB614="Mismatch",AC614="Mismatch",AJ614&lt;&gt;"OK"),"Invalid",IF(OR(H614="Yes",O614="Yes",T614="Missing"),"Warning","Clean"))</f>
        <v>Warning</v>
      </c>
    </row>
    <row r="615" customFormat="false" ht="15" hidden="false" customHeight="true" outlineLevel="0" collapsed="false">
      <c r="A615" s="3" t="s">
        <v>1973</v>
      </c>
      <c r="B615" s="4" t="n">
        <v>45570</v>
      </c>
      <c r="C615" s="4" t="n">
        <v>45575</v>
      </c>
      <c r="D615" s="3" t="s">
        <v>1974</v>
      </c>
      <c r="E615" s="3" t="s">
        <v>192</v>
      </c>
      <c r="F615" s="3" t="s">
        <v>121</v>
      </c>
      <c r="G615" s="3" t="s">
        <v>88</v>
      </c>
      <c r="H615" s="3" t="s">
        <v>43</v>
      </c>
      <c r="I615" s="3" t="s">
        <v>211</v>
      </c>
      <c r="J615" s="3" t="s">
        <v>212</v>
      </c>
      <c r="K615" s="3" t="s">
        <v>99</v>
      </c>
      <c r="L615" s="3" t="s">
        <v>308</v>
      </c>
      <c r="M615" s="3" t="s">
        <v>1975</v>
      </c>
      <c r="N615" s="3" t="s">
        <v>65</v>
      </c>
      <c r="O615" s="3" t="s">
        <v>43</v>
      </c>
      <c r="P615" s="5" t="n">
        <v>9</v>
      </c>
      <c r="Q615" s="6" t="n">
        <v>3361.3</v>
      </c>
      <c r="R615" s="3" t="s">
        <v>84</v>
      </c>
      <c r="S615" s="7" t="n">
        <v>0.25</v>
      </c>
      <c r="T615" s="3" t="s">
        <v>51</v>
      </c>
      <c r="U615" s="7" t="n">
        <f aca="false">IF(T615="Valid",S615,0)</f>
        <v>0.25</v>
      </c>
      <c r="V615" s="6" t="n">
        <v>22688.78</v>
      </c>
      <c r="W615" s="6" t="n">
        <v>14672.41</v>
      </c>
      <c r="X615" s="6" t="n">
        <v>8016.37</v>
      </c>
      <c r="Y615" s="6" t="n">
        <f aca="false">P615*Q615*(1-U615)</f>
        <v>22688.775</v>
      </c>
      <c r="Z615" s="6" t="n">
        <f aca="false">Y615-W615</f>
        <v>8016.365</v>
      </c>
      <c r="AA615" s="8" t="n">
        <f aca="false">IF(Y615=0,0,Z615/Y615)</f>
        <v>0.353318546285553</v>
      </c>
      <c r="AB615" s="3" t="str">
        <f aca="false">IF(ABS(V615-Y615)&gt;1,"Mismatch","OK")</f>
        <v>OK</v>
      </c>
      <c r="AC615" s="3" t="str">
        <f aca="false">IF(ABS(X615-Z615)&gt;1,"Mismatch","OK")</f>
        <v>OK</v>
      </c>
      <c r="AD615" s="5" t="n">
        <f aca="false">IF(OR(B615="",C615=""),"",C615-B615)</f>
        <v>5</v>
      </c>
      <c r="AE615" s="3" t="str">
        <f aca="false">IF(AD615="","Unknown",IF(AD615&lt;0,"Invalid - Ship Before Order","OK"))</f>
        <v>OK</v>
      </c>
      <c r="AF615" s="5" t="n">
        <f aca="false">IF(B615="","",MONTH(B615))</f>
        <v>10</v>
      </c>
      <c r="AG615" s="5" t="n">
        <f aca="false">IF(B615="","",YEAR(B615))</f>
        <v>2024</v>
      </c>
      <c r="AH615" s="3" t="s">
        <v>52</v>
      </c>
      <c r="AI615" s="3" t="s">
        <v>53</v>
      </c>
      <c r="AJ615" s="3" t="str">
        <f aca="false">IF(AND(AI615="Completed",AH615="Failed"),"Inconsistent - Completed Order with Failed Payment","OK")</f>
        <v>OK</v>
      </c>
      <c r="AK615" s="3" t="s">
        <v>54</v>
      </c>
      <c r="AL615" s="3" t="str">
        <f aca="false">IF(OR(T615="Negative - Invalid",T615="Above Allowed Range - Invalid",AE615="Invalid - Ship Before Order",AK615&lt;&gt;"Unique",AB615="Mismatch",AC615="Mismatch",AJ615&lt;&gt;"OK"),"Invalid",IF(OR(H615="Yes",O615="Yes",T615="Missing"),"Warning","Clean"))</f>
        <v>Clean</v>
      </c>
    </row>
    <row r="616" customFormat="false" ht="15" hidden="false" customHeight="true" outlineLevel="0" collapsed="false">
      <c r="A616" s="3" t="s">
        <v>1976</v>
      </c>
      <c r="B616" s="4" t="n">
        <v>45333</v>
      </c>
      <c r="C616" s="4" t="n">
        <v>45341</v>
      </c>
      <c r="D616" s="3" t="s">
        <v>1977</v>
      </c>
      <c r="E616" s="3" t="s">
        <v>87</v>
      </c>
      <c r="F616" s="3" t="s">
        <v>121</v>
      </c>
      <c r="G616" s="3" t="s">
        <v>78</v>
      </c>
      <c r="H616" s="3" t="s">
        <v>43</v>
      </c>
      <c r="I616" s="3" t="s">
        <v>79</v>
      </c>
      <c r="J616" s="3" t="s">
        <v>80</v>
      </c>
      <c r="K616" s="3" t="s">
        <v>62</v>
      </c>
      <c r="L616" s="3" t="s">
        <v>91</v>
      </c>
      <c r="M616" s="3" t="s">
        <v>1978</v>
      </c>
      <c r="N616" s="3" t="s">
        <v>83</v>
      </c>
      <c r="O616" s="3" t="s">
        <v>43</v>
      </c>
      <c r="P616" s="5" t="n">
        <v>8</v>
      </c>
      <c r="Q616" s="6" t="n">
        <v>3398.32</v>
      </c>
      <c r="R616" s="3" t="s">
        <v>84</v>
      </c>
      <c r="S616" s="7" t="n">
        <v>0.25</v>
      </c>
      <c r="T616" s="3" t="s">
        <v>51</v>
      </c>
      <c r="U616" s="7" t="n">
        <f aca="false">IF(T616="Valid",S616,0)</f>
        <v>0.25</v>
      </c>
      <c r="V616" s="6" t="n">
        <v>20389.92</v>
      </c>
      <c r="W616" s="6" t="n">
        <v>16661.08</v>
      </c>
      <c r="X616" s="6" t="n">
        <v>3728.84</v>
      </c>
      <c r="Y616" s="6" t="n">
        <f aca="false">P616*Q616*(1-U616)</f>
        <v>20389.92</v>
      </c>
      <c r="Z616" s="6" t="n">
        <f aca="false">Y616-W616</f>
        <v>3728.84</v>
      </c>
      <c r="AA616" s="8" t="n">
        <f aca="false">IF(Y616=0,0,Z616/Y616)</f>
        <v>0.182876637083422</v>
      </c>
      <c r="AB616" s="3" t="str">
        <f aca="false">IF(ABS(V616-Y616)&gt;1,"Mismatch","OK")</f>
        <v>OK</v>
      </c>
      <c r="AC616" s="3" t="str">
        <f aca="false">IF(ABS(X616-Z616)&gt;1,"Mismatch","OK")</f>
        <v>OK</v>
      </c>
      <c r="AD616" s="5" t="n">
        <f aca="false">IF(OR(B616="",C616=""),"",C616-B616)</f>
        <v>8</v>
      </c>
      <c r="AE616" s="3" t="str">
        <f aca="false">IF(AD616="","Unknown",IF(AD616&lt;0,"Invalid - Ship Before Order","OK"))</f>
        <v>OK</v>
      </c>
      <c r="AF616" s="5" t="n">
        <f aca="false">IF(B616="","",MONTH(B616))</f>
        <v>2</v>
      </c>
      <c r="AG616" s="5" t="n">
        <f aca="false">IF(B616="","",YEAR(B616))</f>
        <v>2024</v>
      </c>
      <c r="AH616" s="3" t="s">
        <v>129</v>
      </c>
      <c r="AI616" s="3" t="s">
        <v>93</v>
      </c>
      <c r="AJ616" s="3" t="str">
        <f aca="false">IF(AND(AI616="Completed",AH616="Failed"),"Inconsistent - Completed Order with Failed Payment","OK")</f>
        <v>OK</v>
      </c>
      <c r="AK616" s="3" t="s">
        <v>54</v>
      </c>
      <c r="AL616" s="3" t="str">
        <f aca="false">IF(OR(T616="Negative - Invalid",T616="Above Allowed Range - Invalid",AE616="Invalid - Ship Before Order",AK616&lt;&gt;"Unique",AB616="Mismatch",AC616="Mismatch",AJ616&lt;&gt;"OK"),"Invalid",IF(OR(H616="Yes",O616="Yes",T616="Missing"),"Warning","Clean"))</f>
        <v>Clean</v>
      </c>
    </row>
    <row r="617" customFormat="false" ht="15" hidden="false" customHeight="true" outlineLevel="0" collapsed="false">
      <c r="A617" s="3" t="s">
        <v>1979</v>
      </c>
      <c r="B617" s="4" t="n">
        <v>45569</v>
      </c>
      <c r="C617" s="4" t="n">
        <v>45572</v>
      </c>
      <c r="D617" s="3" t="s">
        <v>1980</v>
      </c>
      <c r="E617" s="3" t="s">
        <v>145</v>
      </c>
      <c r="F617" s="3" t="s">
        <v>116</v>
      </c>
      <c r="G617" s="3" t="s">
        <v>78</v>
      </c>
      <c r="H617" s="3" t="s">
        <v>43</v>
      </c>
      <c r="I617" s="3" t="s">
        <v>216</v>
      </c>
      <c r="J617" s="3" t="s">
        <v>217</v>
      </c>
      <c r="K617" s="3" t="s">
        <v>46</v>
      </c>
      <c r="L617" s="3" t="s">
        <v>70</v>
      </c>
      <c r="M617" s="3" t="s">
        <v>1981</v>
      </c>
      <c r="N617" s="3" t="s">
        <v>49</v>
      </c>
      <c r="O617" s="3" t="s">
        <v>43</v>
      </c>
      <c r="P617" s="5" t="n">
        <v>2</v>
      </c>
      <c r="Q617" s="6" t="n">
        <v>3144.38</v>
      </c>
      <c r="R617" s="3" t="s">
        <v>203</v>
      </c>
      <c r="S617" s="7" t="n">
        <v>0.1</v>
      </c>
      <c r="T617" s="3" t="s">
        <v>51</v>
      </c>
      <c r="U617" s="7" t="n">
        <f aca="false">IF(T617="Valid",S617,0)</f>
        <v>0.1</v>
      </c>
      <c r="V617" s="6" t="n">
        <v>5904.57</v>
      </c>
      <c r="W617" s="6" t="n">
        <v>4337.79</v>
      </c>
      <c r="X617" s="6" t="n">
        <v>1322.09</v>
      </c>
      <c r="Y617" s="6" t="n">
        <f aca="false">P617*Q617*(1-U617)</f>
        <v>5659.884</v>
      </c>
      <c r="Z617" s="6" t="n">
        <f aca="false">Y617-W617</f>
        <v>1322.094</v>
      </c>
      <c r="AA617" s="8" t="n">
        <f aca="false">IF(Y617=0,0,Z617/Y617)</f>
        <v>0.233590299730525</v>
      </c>
      <c r="AB617" s="3" t="str">
        <f aca="false">IF(ABS(V617-Y617)&gt;1,"Mismatch","OK")</f>
        <v>Mismatch</v>
      </c>
      <c r="AC617" s="3" t="str">
        <f aca="false">IF(ABS(X617-Z617)&gt;1,"Mismatch","OK")</f>
        <v>OK</v>
      </c>
      <c r="AD617" s="5" t="n">
        <f aca="false">IF(OR(B617="",C617=""),"",C617-B617)</f>
        <v>3</v>
      </c>
      <c r="AE617" s="3" t="str">
        <f aca="false">IF(AD617="","Unknown",IF(AD617&lt;0,"Invalid - Ship Before Order","OK"))</f>
        <v>OK</v>
      </c>
      <c r="AF617" s="5" t="n">
        <f aca="false">IF(B617="","",MONTH(B617))</f>
        <v>10</v>
      </c>
      <c r="AG617" s="5" t="n">
        <f aca="false">IF(B617="","",YEAR(B617))</f>
        <v>2024</v>
      </c>
      <c r="AH617" s="3" t="s">
        <v>52</v>
      </c>
      <c r="AI617" s="3" t="s">
        <v>53</v>
      </c>
      <c r="AJ617" s="3" t="str">
        <f aca="false">IF(AND(AI617="Completed",AH617="Failed"),"Inconsistent - Completed Order with Failed Payment","OK")</f>
        <v>OK</v>
      </c>
      <c r="AK617" s="3" t="s">
        <v>54</v>
      </c>
      <c r="AL617" s="3" t="str">
        <f aca="false">IF(OR(T617="Negative - Invalid",T617="Above Allowed Range - Invalid",AE617="Invalid - Ship Before Order",AK617&lt;&gt;"Unique",AB617="Mismatch",AC617="Mismatch",AJ617&lt;&gt;"OK"),"Invalid",IF(OR(H617="Yes",O617="Yes",T617="Missing"),"Warning","Clean"))</f>
        <v>Invalid</v>
      </c>
    </row>
    <row r="618" customFormat="false" ht="15" hidden="false" customHeight="true" outlineLevel="0" collapsed="false">
      <c r="A618" s="3" t="s">
        <v>1982</v>
      </c>
      <c r="B618" s="4" t="n">
        <v>45520</v>
      </c>
      <c r="C618" s="4" t="n">
        <v>45523</v>
      </c>
      <c r="D618" s="3" t="s">
        <v>1983</v>
      </c>
      <c r="E618" s="3" t="s">
        <v>298</v>
      </c>
      <c r="F618" s="3" t="s">
        <v>41</v>
      </c>
      <c r="G618" s="3" t="s">
        <v>78</v>
      </c>
      <c r="H618" s="3" t="s">
        <v>43</v>
      </c>
      <c r="I618" s="3" t="s">
        <v>79</v>
      </c>
      <c r="J618" s="3" t="s">
        <v>80</v>
      </c>
      <c r="K618" s="3" t="s">
        <v>46</v>
      </c>
      <c r="L618" s="3" t="s">
        <v>47</v>
      </c>
      <c r="M618" s="3" t="s">
        <v>1984</v>
      </c>
      <c r="N618" s="3" t="s">
        <v>83</v>
      </c>
      <c r="O618" s="3" t="s">
        <v>43</v>
      </c>
      <c r="P618" s="5" t="n">
        <v>6</v>
      </c>
      <c r="Q618" s="6" t="n">
        <v>3925.55</v>
      </c>
      <c r="R618" s="3" t="s">
        <v>50</v>
      </c>
      <c r="S618" s="7" t="n">
        <v>0.2</v>
      </c>
      <c r="T618" s="3" t="s">
        <v>51</v>
      </c>
      <c r="U618" s="7" t="n">
        <f aca="false">IF(T618="Valid",S618,0)</f>
        <v>0.2</v>
      </c>
      <c r="V618" s="6" t="n">
        <v>18842.64</v>
      </c>
      <c r="W618" s="6" t="n">
        <v>11840.58</v>
      </c>
      <c r="X618" s="6" t="n">
        <v>7002.06</v>
      </c>
      <c r="Y618" s="6" t="n">
        <f aca="false">P618*Q618*(1-U618)</f>
        <v>18842.64</v>
      </c>
      <c r="Z618" s="6" t="n">
        <f aca="false">Y618-W618</f>
        <v>7002.06</v>
      </c>
      <c r="AA618" s="8" t="n">
        <f aca="false">IF(Y618=0,0,Z618/Y618)</f>
        <v>0.371607163327432</v>
      </c>
      <c r="AB618" s="3" t="str">
        <f aca="false">IF(ABS(V618-Y618)&gt;1,"Mismatch","OK")</f>
        <v>OK</v>
      </c>
      <c r="AC618" s="3" t="str">
        <f aca="false">IF(ABS(X618-Z618)&gt;1,"Mismatch","OK")</f>
        <v>OK</v>
      </c>
      <c r="AD618" s="5" t="n">
        <f aca="false">IF(OR(B618="",C618=""),"",C618-B618)</f>
        <v>3</v>
      </c>
      <c r="AE618" s="3" t="str">
        <f aca="false">IF(AD618="","Unknown",IF(AD618&lt;0,"Invalid - Ship Before Order","OK"))</f>
        <v>OK</v>
      </c>
      <c r="AF618" s="5" t="n">
        <f aca="false">IF(B618="","",MONTH(B618))</f>
        <v>8</v>
      </c>
      <c r="AG618" s="5" t="n">
        <f aca="false">IF(B618="","",YEAR(B618))</f>
        <v>2024</v>
      </c>
      <c r="AH618" s="3" t="s">
        <v>52</v>
      </c>
      <c r="AI618" s="3" t="s">
        <v>53</v>
      </c>
      <c r="AJ618" s="3" t="str">
        <f aca="false">IF(AND(AI618="Completed",AH618="Failed"),"Inconsistent - Completed Order with Failed Payment","OK")</f>
        <v>OK</v>
      </c>
      <c r="AK618" s="3" t="s">
        <v>54</v>
      </c>
      <c r="AL618" s="3" t="str">
        <f aca="false">IF(OR(T618="Negative - Invalid",T618="Above Allowed Range - Invalid",AE618="Invalid - Ship Before Order",AK618&lt;&gt;"Unique",AB618="Mismatch",AC618="Mismatch",AJ618&lt;&gt;"OK"),"Invalid",IF(OR(H618="Yes",O618="Yes",T618="Missing"),"Warning","Clean"))</f>
        <v>Clean</v>
      </c>
    </row>
    <row r="619" customFormat="false" ht="15" hidden="false" customHeight="true" outlineLevel="0" collapsed="false">
      <c r="A619" s="3" t="s">
        <v>1985</v>
      </c>
      <c r="B619" s="4" t="n">
        <v>45564</v>
      </c>
      <c r="C619" s="4" t="n">
        <v>45565</v>
      </c>
      <c r="D619" s="3" t="s">
        <v>1986</v>
      </c>
      <c r="E619" s="3" t="s">
        <v>57</v>
      </c>
      <c r="F619" s="3" t="s">
        <v>121</v>
      </c>
      <c r="G619" s="3" t="s">
        <v>78</v>
      </c>
      <c r="H619" s="3" t="s">
        <v>43</v>
      </c>
      <c r="I619" s="3" t="s">
        <v>79</v>
      </c>
      <c r="J619" s="3" t="s">
        <v>80</v>
      </c>
      <c r="K619" s="3" t="s">
        <v>99</v>
      </c>
      <c r="L619" s="3" t="s">
        <v>201</v>
      </c>
      <c r="M619" s="3" t="s">
        <v>1987</v>
      </c>
      <c r="N619" s="3" t="s">
        <v>83</v>
      </c>
      <c r="O619" s="3" t="s">
        <v>43</v>
      </c>
      <c r="P619" s="5" t="n">
        <v>9</v>
      </c>
      <c r="Q619" s="6" t="n">
        <v>2741.91</v>
      </c>
      <c r="R619" s="3" t="s">
        <v>66</v>
      </c>
      <c r="S619" s="7" t="n">
        <v>0</v>
      </c>
      <c r="T619" s="3" t="s">
        <v>51</v>
      </c>
      <c r="U619" s="7" t="n">
        <f aca="false">IF(T619="Valid",S619,0)</f>
        <v>0</v>
      </c>
      <c r="V619" s="6" t="n">
        <v>24677.19</v>
      </c>
      <c r="W619" s="6" t="n">
        <v>20350.85</v>
      </c>
      <c r="X619" s="6" t="n">
        <v>4326.34</v>
      </c>
      <c r="Y619" s="6" t="n">
        <f aca="false">P619*Q619*(1-U619)</f>
        <v>24677.19</v>
      </c>
      <c r="Z619" s="6" t="n">
        <f aca="false">Y619-W619</f>
        <v>4326.34</v>
      </c>
      <c r="AA619" s="8" t="n">
        <f aca="false">IF(Y619=0,0,Z619/Y619)</f>
        <v>0.175317367982335</v>
      </c>
      <c r="AB619" s="3" t="str">
        <f aca="false">IF(ABS(V619-Y619)&gt;1,"Mismatch","OK")</f>
        <v>OK</v>
      </c>
      <c r="AC619" s="3" t="str">
        <f aca="false">IF(ABS(X619-Z619)&gt;1,"Mismatch","OK")</f>
        <v>OK</v>
      </c>
      <c r="AD619" s="5" t="n">
        <f aca="false">IF(OR(B619="",C619=""),"",C619-B619)</f>
        <v>1</v>
      </c>
      <c r="AE619" s="3" t="str">
        <f aca="false">IF(AD619="","Unknown",IF(AD619&lt;0,"Invalid - Ship Before Order","OK"))</f>
        <v>OK</v>
      </c>
      <c r="AF619" s="5" t="n">
        <f aca="false">IF(B619="","",MONTH(B619))</f>
        <v>9</v>
      </c>
      <c r="AG619" s="5" t="n">
        <f aca="false">IF(B619="","",YEAR(B619))</f>
        <v>2024</v>
      </c>
      <c r="AH619" s="3" t="s">
        <v>52</v>
      </c>
      <c r="AI619" s="3" t="s">
        <v>53</v>
      </c>
      <c r="AJ619" s="3" t="str">
        <f aca="false">IF(AND(AI619="Completed",AH619="Failed"),"Inconsistent - Completed Order with Failed Payment","OK")</f>
        <v>OK</v>
      </c>
      <c r="AK619" s="3" t="s">
        <v>54</v>
      </c>
      <c r="AL619" s="3" t="str">
        <f aca="false">IF(OR(T619="Negative - Invalid",T619="Above Allowed Range - Invalid",AE619="Invalid - Ship Before Order",AK619&lt;&gt;"Unique",AB619="Mismatch",AC619="Mismatch",AJ619&lt;&gt;"OK"),"Invalid",IF(OR(H619="Yes",O619="Yes",T619="Missing"),"Warning","Clean"))</f>
        <v>Clean</v>
      </c>
    </row>
    <row r="620" customFormat="false" ht="15" hidden="false" customHeight="true" outlineLevel="0" collapsed="false">
      <c r="A620" s="3" t="s">
        <v>1988</v>
      </c>
      <c r="B620" s="4" t="n">
        <v>45496</v>
      </c>
      <c r="C620" s="4" t="n">
        <v>45503</v>
      </c>
      <c r="D620" s="3" t="s">
        <v>1989</v>
      </c>
      <c r="E620" s="3" t="s">
        <v>298</v>
      </c>
      <c r="F620" s="3" t="s">
        <v>116</v>
      </c>
      <c r="G620" s="3" t="s">
        <v>42</v>
      </c>
      <c r="H620" s="3" t="s">
        <v>43</v>
      </c>
      <c r="I620" s="3" t="s">
        <v>44</v>
      </c>
      <c r="J620" s="3" t="s">
        <v>45</v>
      </c>
      <c r="K620" s="3" t="s">
        <v>62</v>
      </c>
      <c r="L620" s="3" t="s">
        <v>63</v>
      </c>
      <c r="M620" s="3" t="s">
        <v>1990</v>
      </c>
      <c r="N620" s="3" t="s">
        <v>65</v>
      </c>
      <c r="O620" s="3" t="s">
        <v>43</v>
      </c>
      <c r="P620" s="5" t="n">
        <v>9</v>
      </c>
      <c r="Q620" s="6" t="n">
        <v>1870.11</v>
      </c>
      <c r="R620" s="3" t="s">
        <v>84</v>
      </c>
      <c r="S620" s="7" t="n">
        <v>0.25</v>
      </c>
      <c r="T620" s="3" t="s">
        <v>51</v>
      </c>
      <c r="U620" s="7" t="n">
        <f aca="false">IF(T620="Valid",S620,0)</f>
        <v>0.25</v>
      </c>
      <c r="V620" s="6" t="n">
        <v>12623.24</v>
      </c>
      <c r="W620" s="6" t="n">
        <v>10540.8</v>
      </c>
      <c r="X620" s="6" t="n">
        <v>2082.44</v>
      </c>
      <c r="Y620" s="6" t="n">
        <f aca="false">P620*Q620*(1-U620)</f>
        <v>12623.2425</v>
      </c>
      <c r="Z620" s="6" t="n">
        <f aca="false">Y620-W620</f>
        <v>2082.4425</v>
      </c>
      <c r="AA620" s="8" t="n">
        <f aca="false">IF(Y620=0,0,Z620/Y620)</f>
        <v>0.164968905572399</v>
      </c>
      <c r="AB620" s="3" t="str">
        <f aca="false">IF(ABS(V620-Y620)&gt;1,"Mismatch","OK")</f>
        <v>OK</v>
      </c>
      <c r="AC620" s="3" t="str">
        <f aca="false">IF(ABS(X620-Z620)&gt;1,"Mismatch","OK")</f>
        <v>OK</v>
      </c>
      <c r="AD620" s="5" t="n">
        <f aca="false">IF(OR(B620="",C620=""),"",C620-B620)</f>
        <v>7</v>
      </c>
      <c r="AE620" s="3" t="str">
        <f aca="false">IF(AD620="","Unknown",IF(AD620&lt;0,"Invalid - Ship Before Order","OK"))</f>
        <v>OK</v>
      </c>
      <c r="AF620" s="5" t="n">
        <f aca="false">IF(B620="","",MONTH(B620))</f>
        <v>7</v>
      </c>
      <c r="AG620" s="5" t="n">
        <f aca="false">IF(B620="","",YEAR(B620))</f>
        <v>2024</v>
      </c>
      <c r="AH620" s="3" t="s">
        <v>185</v>
      </c>
      <c r="AI620" s="3" t="s">
        <v>93</v>
      </c>
      <c r="AJ620" s="3" t="str">
        <f aca="false">IF(AND(AI620="Completed",AH620="Failed"),"Inconsistent - Completed Order with Failed Payment","OK")</f>
        <v>OK</v>
      </c>
      <c r="AK620" s="3" t="s">
        <v>54</v>
      </c>
      <c r="AL620" s="3" t="str">
        <f aca="false">IF(OR(T620="Negative - Invalid",T620="Above Allowed Range - Invalid",AE620="Invalid - Ship Before Order",AK620&lt;&gt;"Unique",AB620="Mismatch",AC620="Mismatch",AJ620&lt;&gt;"OK"),"Invalid",IF(OR(H620="Yes",O620="Yes",T620="Missing"),"Warning","Clean"))</f>
        <v>Clean</v>
      </c>
    </row>
    <row r="621" customFormat="false" ht="15" hidden="false" customHeight="true" outlineLevel="0" collapsed="false">
      <c r="A621" s="3" t="s">
        <v>1991</v>
      </c>
      <c r="B621" s="4" t="n">
        <v>45618</v>
      </c>
      <c r="C621" s="4" t="n">
        <v>45623</v>
      </c>
      <c r="D621" s="3" t="s">
        <v>1992</v>
      </c>
      <c r="E621" s="3" t="s">
        <v>141</v>
      </c>
      <c r="F621" s="3" t="s">
        <v>116</v>
      </c>
      <c r="G621" s="3" t="s">
        <v>78</v>
      </c>
      <c r="H621" s="3" t="s">
        <v>43</v>
      </c>
      <c r="I621" s="3" t="s">
        <v>281</v>
      </c>
      <c r="J621" s="3" t="s">
        <v>282</v>
      </c>
      <c r="K621" s="3" t="s">
        <v>46</v>
      </c>
      <c r="L621" s="3" t="s">
        <v>183</v>
      </c>
      <c r="M621" s="3" t="s">
        <v>1993</v>
      </c>
      <c r="N621" s="3" t="s">
        <v>72</v>
      </c>
      <c r="O621" s="3" t="s">
        <v>43</v>
      </c>
      <c r="P621" s="5" t="n">
        <v>1</v>
      </c>
      <c r="Q621" s="6" t="n">
        <v>4251.26</v>
      </c>
      <c r="R621" s="3" t="s">
        <v>50</v>
      </c>
      <c r="S621" s="7" t="n">
        <v>0.2</v>
      </c>
      <c r="T621" s="3" t="s">
        <v>51</v>
      </c>
      <c r="U621" s="7" t="n">
        <f aca="false">IF(T621="Valid",S621,0)</f>
        <v>0.2</v>
      </c>
      <c r="V621" s="6" t="n">
        <v>3401.01</v>
      </c>
      <c r="W621" s="6" t="n">
        <v>2917.54</v>
      </c>
      <c r="X621" s="6" t="n">
        <v>483.47</v>
      </c>
      <c r="Y621" s="6" t="n">
        <f aca="false">P621*Q621*(1-U621)</f>
        <v>3401.008</v>
      </c>
      <c r="Z621" s="6" t="n">
        <f aca="false">Y621-W621</f>
        <v>483.468</v>
      </c>
      <c r="AA621" s="8" t="n">
        <f aca="false">IF(Y621=0,0,Z621/Y621)</f>
        <v>0.142154326011583</v>
      </c>
      <c r="AB621" s="3" t="str">
        <f aca="false">IF(ABS(V621-Y621)&gt;1,"Mismatch","OK")</f>
        <v>OK</v>
      </c>
      <c r="AC621" s="3" t="str">
        <f aca="false">IF(ABS(X621-Z621)&gt;1,"Mismatch","OK")</f>
        <v>OK</v>
      </c>
      <c r="AD621" s="5" t="n">
        <f aca="false">IF(OR(B621="",C621=""),"",C621-B621)</f>
        <v>5</v>
      </c>
      <c r="AE621" s="3" t="str">
        <f aca="false">IF(AD621="","Unknown",IF(AD621&lt;0,"Invalid - Ship Before Order","OK"))</f>
        <v>OK</v>
      </c>
      <c r="AF621" s="5" t="n">
        <f aca="false">IF(B621="","",MONTH(B621))</f>
        <v>11</v>
      </c>
      <c r="AG621" s="5" t="n">
        <f aca="false">IF(B621="","",YEAR(B621))</f>
        <v>2024</v>
      </c>
      <c r="AH621" s="3" t="s">
        <v>129</v>
      </c>
      <c r="AI621" s="3" t="s">
        <v>130</v>
      </c>
      <c r="AJ621" s="3" t="str">
        <f aca="false">IF(AND(AI621="Completed",AH621="Failed"),"Inconsistent - Completed Order with Failed Payment","OK")</f>
        <v>OK</v>
      </c>
      <c r="AK621" s="3" t="s">
        <v>54</v>
      </c>
      <c r="AL621" s="3" t="str">
        <f aca="false">IF(OR(T621="Negative - Invalid",T621="Above Allowed Range - Invalid",AE621="Invalid - Ship Before Order",AK621&lt;&gt;"Unique",AB621="Mismatch",AC621="Mismatch",AJ621&lt;&gt;"OK"),"Invalid",IF(OR(H621="Yes",O621="Yes",T621="Missing"),"Warning","Clean"))</f>
        <v>Clean</v>
      </c>
    </row>
    <row r="622" customFormat="false" ht="15" hidden="false" customHeight="true" outlineLevel="0" collapsed="false">
      <c r="A622" s="3" t="s">
        <v>1994</v>
      </c>
      <c r="B622" s="4" t="n">
        <v>45522</v>
      </c>
      <c r="C622" s="4" t="n">
        <v>45525</v>
      </c>
      <c r="D622" s="3" t="s">
        <v>1995</v>
      </c>
      <c r="E622" s="3" t="s">
        <v>96</v>
      </c>
      <c r="F622" s="3" t="s">
        <v>41</v>
      </c>
      <c r="G622" s="3" t="s">
        <v>42</v>
      </c>
      <c r="H622" s="3" t="s">
        <v>43</v>
      </c>
      <c r="I622" s="3" t="s">
        <v>163</v>
      </c>
      <c r="J622" s="3" t="s">
        <v>164</v>
      </c>
      <c r="K622" s="3" t="s">
        <v>99</v>
      </c>
      <c r="L622" s="3" t="s">
        <v>308</v>
      </c>
      <c r="M622" s="3" t="s">
        <v>1996</v>
      </c>
      <c r="N622" s="3" t="s">
        <v>83</v>
      </c>
      <c r="O622" s="3" t="s">
        <v>43</v>
      </c>
      <c r="P622" s="5" t="n">
        <v>9</v>
      </c>
      <c r="Q622" s="6" t="n">
        <v>734.34</v>
      </c>
      <c r="R622" s="3" t="s">
        <v>66</v>
      </c>
      <c r="S622" s="7" t="n">
        <v>0</v>
      </c>
      <c r="T622" s="3" t="s">
        <v>51</v>
      </c>
      <c r="U622" s="7" t="n">
        <f aca="false">IF(T622="Valid",S622,0)</f>
        <v>0</v>
      </c>
      <c r="V622" s="6" t="n">
        <v>6609.06</v>
      </c>
      <c r="W622" s="6" t="n">
        <v>4946.78</v>
      </c>
      <c r="X622" s="6" t="n">
        <v>1662.28</v>
      </c>
      <c r="Y622" s="6" t="n">
        <f aca="false">P622*Q622*(1-U622)</f>
        <v>6609.06</v>
      </c>
      <c r="Z622" s="6" t="n">
        <f aca="false">Y622-W622</f>
        <v>1662.28</v>
      </c>
      <c r="AA622" s="8" t="n">
        <f aca="false">IF(Y622=0,0,Z622/Y622)</f>
        <v>0.251515344088267</v>
      </c>
      <c r="AB622" s="3" t="str">
        <f aca="false">IF(ABS(V622-Y622)&gt;1,"Mismatch","OK")</f>
        <v>OK</v>
      </c>
      <c r="AC622" s="3" t="str">
        <f aca="false">IF(ABS(X622-Z622)&gt;1,"Mismatch","OK")</f>
        <v>OK</v>
      </c>
      <c r="AD622" s="5" t="n">
        <f aca="false">IF(OR(B622="",C622=""),"",C622-B622)</f>
        <v>3</v>
      </c>
      <c r="AE622" s="3" t="str">
        <f aca="false">IF(AD622="","Unknown",IF(AD622&lt;0,"Invalid - Ship Before Order","OK"))</f>
        <v>OK</v>
      </c>
      <c r="AF622" s="5" t="n">
        <f aca="false">IF(B622="","",MONTH(B622))</f>
        <v>8</v>
      </c>
      <c r="AG622" s="5" t="n">
        <f aca="false">IF(B622="","",YEAR(B622))</f>
        <v>2024</v>
      </c>
      <c r="AH622" s="3" t="s">
        <v>52</v>
      </c>
      <c r="AI622" s="3" t="s">
        <v>53</v>
      </c>
      <c r="AJ622" s="3" t="str">
        <f aca="false">IF(AND(AI622="Completed",AH622="Failed"),"Inconsistent - Completed Order with Failed Payment","OK")</f>
        <v>OK</v>
      </c>
      <c r="AK622" s="3" t="s">
        <v>54</v>
      </c>
      <c r="AL622" s="3" t="str">
        <f aca="false">IF(OR(T622="Negative - Invalid",T622="Above Allowed Range - Invalid",AE622="Invalid - Ship Before Order",AK622&lt;&gt;"Unique",AB622="Mismatch",AC622="Mismatch",AJ622&lt;&gt;"OK"),"Invalid",IF(OR(H622="Yes",O622="Yes",T622="Missing"),"Warning","Clean"))</f>
        <v>Clean</v>
      </c>
    </row>
    <row r="623" customFormat="false" ht="15" hidden="false" customHeight="true" outlineLevel="0" collapsed="false">
      <c r="A623" s="3" t="s">
        <v>1997</v>
      </c>
      <c r="B623" s="4" t="n">
        <v>45624</v>
      </c>
      <c r="C623" s="4" t="n">
        <v>45632</v>
      </c>
      <c r="D623" s="3" t="s">
        <v>1998</v>
      </c>
      <c r="E623" s="3" t="s">
        <v>115</v>
      </c>
      <c r="F623" s="3" t="s">
        <v>41</v>
      </c>
      <c r="G623" s="3" t="s">
        <v>88</v>
      </c>
      <c r="H623" s="3" t="s">
        <v>43</v>
      </c>
      <c r="I623" s="3" t="s">
        <v>89</v>
      </c>
      <c r="J623" s="3" t="s">
        <v>90</v>
      </c>
      <c r="K623" s="3" t="s">
        <v>62</v>
      </c>
      <c r="L623" s="3" t="s">
        <v>91</v>
      </c>
      <c r="M623" s="3" t="s">
        <v>1999</v>
      </c>
      <c r="N623" s="3" t="s">
        <v>65</v>
      </c>
      <c r="O623" s="3" t="s">
        <v>43</v>
      </c>
      <c r="P623" s="5" t="n">
        <v>5</v>
      </c>
      <c r="Q623" s="6" t="n">
        <v>1092.84</v>
      </c>
      <c r="R623" s="3"/>
      <c r="S623" s="7"/>
      <c r="T623" s="3" t="s">
        <v>230</v>
      </c>
      <c r="U623" s="7" t="n">
        <f aca="false">IF(T623="Valid",S623,0)</f>
        <v>0</v>
      </c>
      <c r="V623" s="6" t="n">
        <v>5464.2</v>
      </c>
      <c r="W623" s="6" t="n">
        <v>3318.09</v>
      </c>
      <c r="X623" s="6" t="n">
        <v>2146.11</v>
      </c>
      <c r="Y623" s="6" t="n">
        <f aca="false">P623*Q623*(1-U623)</f>
        <v>5464.2</v>
      </c>
      <c r="Z623" s="6" t="n">
        <f aca="false">Y623-W623</f>
        <v>2146.11</v>
      </c>
      <c r="AA623" s="8" t="n">
        <f aca="false">IF(Y623=0,0,Z623/Y623)</f>
        <v>0.392758317777534</v>
      </c>
      <c r="AB623" s="3" t="str">
        <f aca="false">IF(ABS(V623-Y623)&gt;1,"Mismatch","OK")</f>
        <v>OK</v>
      </c>
      <c r="AC623" s="3" t="str">
        <f aca="false">IF(ABS(X623-Z623)&gt;1,"Mismatch","OK")</f>
        <v>OK</v>
      </c>
      <c r="AD623" s="5" t="n">
        <f aca="false">IF(OR(B623="",C623=""),"",C623-B623)</f>
        <v>8</v>
      </c>
      <c r="AE623" s="3" t="str">
        <f aca="false">IF(AD623="","Unknown",IF(AD623&lt;0,"Invalid - Ship Before Order","OK"))</f>
        <v>OK</v>
      </c>
      <c r="AF623" s="5" t="n">
        <f aca="false">IF(B623="","",MONTH(B623))</f>
        <v>11</v>
      </c>
      <c r="AG623" s="5" t="n">
        <f aca="false">IF(B623="","",YEAR(B623))</f>
        <v>2024</v>
      </c>
      <c r="AH623" s="3" t="s">
        <v>52</v>
      </c>
      <c r="AI623" s="3" t="s">
        <v>53</v>
      </c>
      <c r="AJ623" s="3" t="str">
        <f aca="false">IF(AND(AI623="Completed",AH623="Failed"),"Inconsistent - Completed Order with Failed Payment","OK")</f>
        <v>OK</v>
      </c>
      <c r="AK623" s="3" t="s">
        <v>54</v>
      </c>
      <c r="AL623" s="3" t="str">
        <f aca="false">IF(OR(T623="Negative - Invalid",T623="Above Allowed Range - Invalid",AE623="Invalid - Ship Before Order",AK623&lt;&gt;"Unique",AB623="Mismatch",AC623="Mismatch",AJ623&lt;&gt;"OK"),"Invalid",IF(OR(H623="Yes",O623="Yes",T623="Missing"),"Warning","Clean"))</f>
        <v>Warning</v>
      </c>
    </row>
    <row r="624" customFormat="false" ht="15" hidden="false" customHeight="true" outlineLevel="0" collapsed="false">
      <c r="A624" s="3" t="s">
        <v>2000</v>
      </c>
      <c r="B624" s="4" t="n">
        <v>45686</v>
      </c>
      <c r="C624" s="4" t="n">
        <v>45694</v>
      </c>
      <c r="D624" s="3" t="s">
        <v>2001</v>
      </c>
      <c r="E624" s="3" t="s">
        <v>96</v>
      </c>
      <c r="F624" s="3" t="s">
        <v>41</v>
      </c>
      <c r="G624" s="3" t="s">
        <v>59</v>
      </c>
      <c r="H624" s="3" t="s">
        <v>43</v>
      </c>
      <c r="I624" s="3" t="s">
        <v>174</v>
      </c>
      <c r="J624" s="3" t="s">
        <v>175</v>
      </c>
      <c r="K624" s="3" t="s">
        <v>46</v>
      </c>
      <c r="L624" s="3" t="s">
        <v>151</v>
      </c>
      <c r="M624" s="3" t="s">
        <v>2002</v>
      </c>
      <c r="N624" s="3" t="s">
        <v>83</v>
      </c>
      <c r="O624" s="3" t="s">
        <v>43</v>
      </c>
      <c r="P624" s="5" t="n">
        <v>4</v>
      </c>
      <c r="Q624" s="6" t="n">
        <v>2759.01</v>
      </c>
      <c r="R624" s="3" t="s">
        <v>128</v>
      </c>
      <c r="S624" s="7" t="n">
        <v>0.05</v>
      </c>
      <c r="T624" s="3" t="s">
        <v>51</v>
      </c>
      <c r="U624" s="7" t="n">
        <f aca="false">IF(T624="Valid",S624,0)</f>
        <v>0.05</v>
      </c>
      <c r="V624" s="6" t="n">
        <v>10484.24</v>
      </c>
      <c r="W624" s="6" t="n">
        <v>6680.15</v>
      </c>
      <c r="X624" s="6" t="n">
        <v>3804.09</v>
      </c>
      <c r="Y624" s="6" t="n">
        <f aca="false">P624*Q624*(1-U624)</f>
        <v>10484.238</v>
      </c>
      <c r="Z624" s="6" t="n">
        <f aca="false">Y624-W624</f>
        <v>3804.088</v>
      </c>
      <c r="AA624" s="8" t="n">
        <f aca="false">IF(Y624=0,0,Z624/Y624)</f>
        <v>0.362838768063068</v>
      </c>
      <c r="AB624" s="3" t="str">
        <f aca="false">IF(ABS(V624-Y624)&gt;1,"Mismatch","OK")</f>
        <v>OK</v>
      </c>
      <c r="AC624" s="3" t="str">
        <f aca="false">IF(ABS(X624-Z624)&gt;1,"Mismatch","OK")</f>
        <v>OK</v>
      </c>
      <c r="AD624" s="5" t="n">
        <f aca="false">IF(OR(B624="",C624=""),"",C624-B624)</f>
        <v>8</v>
      </c>
      <c r="AE624" s="3" t="str">
        <f aca="false">IF(AD624="","Unknown",IF(AD624&lt;0,"Invalid - Ship Before Order","OK"))</f>
        <v>OK</v>
      </c>
      <c r="AF624" s="5" t="n">
        <f aca="false">IF(B624="","",MONTH(B624))</f>
        <v>1</v>
      </c>
      <c r="AG624" s="5" t="n">
        <f aca="false">IF(B624="","",YEAR(B624))</f>
        <v>2025</v>
      </c>
      <c r="AH624" s="3" t="s">
        <v>52</v>
      </c>
      <c r="AI624" s="3" t="s">
        <v>53</v>
      </c>
      <c r="AJ624" s="3" t="str">
        <f aca="false">IF(AND(AI624="Completed",AH624="Failed"),"Inconsistent - Completed Order with Failed Payment","OK")</f>
        <v>OK</v>
      </c>
      <c r="AK624" s="3" t="s">
        <v>54</v>
      </c>
      <c r="AL624" s="3" t="str">
        <f aca="false">IF(OR(T624="Negative - Invalid",T624="Above Allowed Range - Invalid",AE624="Invalid - Ship Before Order",AK624&lt;&gt;"Unique",AB624="Mismatch",AC624="Mismatch",AJ624&lt;&gt;"OK"),"Invalid",IF(OR(H624="Yes",O624="Yes",T624="Missing"),"Warning","Clean"))</f>
        <v>Clean</v>
      </c>
    </row>
    <row r="625" customFormat="false" ht="15" hidden="false" customHeight="true" outlineLevel="0" collapsed="false">
      <c r="A625" s="3" t="s">
        <v>2003</v>
      </c>
      <c r="B625" s="4" t="n">
        <v>45512</v>
      </c>
      <c r="C625" s="4" t="n">
        <v>45518</v>
      </c>
      <c r="D625" s="3" t="s">
        <v>2004</v>
      </c>
      <c r="E625" s="3" t="s">
        <v>96</v>
      </c>
      <c r="F625" s="3" t="s">
        <v>121</v>
      </c>
      <c r="G625" s="3" t="s">
        <v>42</v>
      </c>
      <c r="H625" s="3" t="s">
        <v>43</v>
      </c>
      <c r="I625" s="3" t="s">
        <v>149</v>
      </c>
      <c r="J625" s="3" t="s">
        <v>150</v>
      </c>
      <c r="K625" s="3" t="s">
        <v>46</v>
      </c>
      <c r="L625" s="3" t="s">
        <v>151</v>
      </c>
      <c r="M625" s="3" t="s">
        <v>2005</v>
      </c>
      <c r="N625" s="3" t="s">
        <v>49</v>
      </c>
      <c r="O625" s="3" t="s">
        <v>43</v>
      </c>
      <c r="P625" s="5" t="n">
        <v>8</v>
      </c>
      <c r="Q625" s="6" t="n">
        <v>1359.19</v>
      </c>
      <c r="R625" s="3" t="s">
        <v>128</v>
      </c>
      <c r="S625" s="7" t="n">
        <v>0.05</v>
      </c>
      <c r="T625" s="3" t="s">
        <v>51</v>
      </c>
      <c r="U625" s="7" t="n">
        <f aca="false">IF(T625="Valid",S625,0)</f>
        <v>0.05</v>
      </c>
      <c r="V625" s="6" t="n">
        <v>10329.84</v>
      </c>
      <c r="W625" s="6" t="n">
        <v>7512.22</v>
      </c>
      <c r="X625" s="6" t="n">
        <v>2817.62</v>
      </c>
      <c r="Y625" s="6" t="n">
        <f aca="false">P625*Q625*(1-U625)</f>
        <v>10329.844</v>
      </c>
      <c r="Z625" s="6" t="n">
        <f aca="false">Y625-W625</f>
        <v>2817.624</v>
      </c>
      <c r="AA625" s="8" t="n">
        <f aca="false">IF(Y625=0,0,Z625/Y625)</f>
        <v>0.272765397037942</v>
      </c>
      <c r="AB625" s="3" t="str">
        <f aca="false">IF(ABS(V625-Y625)&gt;1,"Mismatch","OK")</f>
        <v>OK</v>
      </c>
      <c r="AC625" s="3" t="str">
        <f aca="false">IF(ABS(X625-Z625)&gt;1,"Mismatch","OK")</f>
        <v>OK</v>
      </c>
      <c r="AD625" s="5" t="n">
        <f aca="false">IF(OR(B625="",C625=""),"",C625-B625)</f>
        <v>6</v>
      </c>
      <c r="AE625" s="3" t="str">
        <f aca="false">IF(AD625="","Unknown",IF(AD625&lt;0,"Invalid - Ship Before Order","OK"))</f>
        <v>OK</v>
      </c>
      <c r="AF625" s="5" t="n">
        <f aca="false">IF(B625="","",MONTH(B625))</f>
        <v>8</v>
      </c>
      <c r="AG625" s="5" t="n">
        <f aca="false">IF(B625="","",YEAR(B625))</f>
        <v>2024</v>
      </c>
      <c r="AH625" s="3" t="s">
        <v>52</v>
      </c>
      <c r="AI625" s="3" t="s">
        <v>53</v>
      </c>
      <c r="AJ625" s="3" t="str">
        <f aca="false">IF(AND(AI625="Completed",AH625="Failed"),"Inconsistent - Completed Order with Failed Payment","OK")</f>
        <v>OK</v>
      </c>
      <c r="AK625" s="3" t="s">
        <v>54</v>
      </c>
      <c r="AL625" s="3" t="str">
        <f aca="false">IF(OR(T625="Negative - Invalid",T625="Above Allowed Range - Invalid",AE625="Invalid - Ship Before Order",AK625&lt;&gt;"Unique",AB625="Mismatch",AC625="Mismatch",AJ625&lt;&gt;"OK"),"Invalid",IF(OR(H625="Yes",O625="Yes",T625="Missing"),"Warning","Clean"))</f>
        <v>Clean</v>
      </c>
    </row>
    <row r="626" customFormat="false" ht="15" hidden="false" customHeight="true" outlineLevel="0" collapsed="false">
      <c r="A626" s="3" t="s">
        <v>2006</v>
      </c>
      <c r="B626" s="4" t="n">
        <v>45321</v>
      </c>
      <c r="C626" s="4" t="n">
        <v>45323</v>
      </c>
      <c r="D626" s="3" t="s">
        <v>2007</v>
      </c>
      <c r="E626" s="3" t="s">
        <v>104</v>
      </c>
      <c r="F626" s="3" t="s">
        <v>121</v>
      </c>
      <c r="G626" s="3" t="s">
        <v>59</v>
      </c>
      <c r="H626" s="3" t="s">
        <v>43</v>
      </c>
      <c r="I626" s="3" t="s">
        <v>196</v>
      </c>
      <c r="J626" s="3" t="s">
        <v>197</v>
      </c>
      <c r="K626" s="3" t="s">
        <v>62</v>
      </c>
      <c r="L626" s="3" t="s">
        <v>91</v>
      </c>
      <c r="M626" s="3" t="s">
        <v>2008</v>
      </c>
      <c r="N626" s="3" t="s">
        <v>72</v>
      </c>
      <c r="O626" s="3" t="s">
        <v>43</v>
      </c>
      <c r="P626" s="5" t="n">
        <v>2</v>
      </c>
      <c r="Q626" s="6" t="n">
        <v>4451.03</v>
      </c>
      <c r="R626" s="3" t="s">
        <v>128</v>
      </c>
      <c r="S626" s="7" t="n">
        <v>0.05</v>
      </c>
      <c r="T626" s="3" t="s">
        <v>51</v>
      </c>
      <c r="U626" s="7" t="n">
        <f aca="false">IF(T626="Valid",S626,0)</f>
        <v>0.05</v>
      </c>
      <c r="V626" s="6" t="n">
        <v>8456.96</v>
      </c>
      <c r="W626" s="6" t="n">
        <v>5462.85</v>
      </c>
      <c r="X626" s="6" t="n">
        <v>2994.11</v>
      </c>
      <c r="Y626" s="6" t="n">
        <f aca="false">P626*Q626*(1-U626)</f>
        <v>8456.957</v>
      </c>
      <c r="Z626" s="6" t="n">
        <f aca="false">Y626-W626</f>
        <v>2994.107</v>
      </c>
      <c r="AA626" s="8" t="n">
        <f aca="false">IF(Y626=0,0,Z626/Y626)</f>
        <v>0.354040702820175</v>
      </c>
      <c r="AB626" s="3" t="str">
        <f aca="false">IF(ABS(V626-Y626)&gt;1,"Mismatch","OK")</f>
        <v>OK</v>
      </c>
      <c r="AC626" s="3" t="str">
        <f aca="false">IF(ABS(X626-Z626)&gt;1,"Mismatch","OK")</f>
        <v>OK</v>
      </c>
      <c r="AD626" s="5" t="n">
        <f aca="false">IF(OR(B626="",C626=""),"",C626-B626)</f>
        <v>2</v>
      </c>
      <c r="AE626" s="3" t="str">
        <f aca="false">IF(AD626="","Unknown",IF(AD626&lt;0,"Invalid - Ship Before Order","OK"))</f>
        <v>OK</v>
      </c>
      <c r="AF626" s="5" t="n">
        <f aca="false">IF(B626="","",MONTH(B626))</f>
        <v>1</v>
      </c>
      <c r="AG626" s="5" t="n">
        <f aca="false">IF(B626="","",YEAR(B626))</f>
        <v>2024</v>
      </c>
      <c r="AH626" s="3" t="s">
        <v>52</v>
      </c>
      <c r="AI626" s="3" t="s">
        <v>53</v>
      </c>
      <c r="AJ626" s="3" t="str">
        <f aca="false">IF(AND(AI626="Completed",AH626="Failed"),"Inconsistent - Completed Order with Failed Payment","OK")</f>
        <v>OK</v>
      </c>
      <c r="AK626" s="3" t="s">
        <v>54</v>
      </c>
      <c r="AL626" s="3" t="str">
        <f aca="false">IF(OR(T626="Negative - Invalid",T626="Above Allowed Range - Invalid",AE626="Invalid - Ship Before Order",AK626&lt;&gt;"Unique",AB626="Mismatch",AC626="Mismatch",AJ626&lt;&gt;"OK"),"Invalid",IF(OR(H626="Yes",O626="Yes",T626="Missing"),"Warning","Clean"))</f>
        <v>Clean</v>
      </c>
    </row>
    <row r="627" customFormat="false" ht="15" hidden="false" customHeight="true" outlineLevel="0" collapsed="false">
      <c r="A627" s="3" t="s">
        <v>2009</v>
      </c>
      <c r="B627" s="4" t="n">
        <v>45641</v>
      </c>
      <c r="C627" s="4" t="n">
        <v>45647</v>
      </c>
      <c r="D627" s="3" t="s">
        <v>2010</v>
      </c>
      <c r="E627" s="3" t="s">
        <v>192</v>
      </c>
      <c r="F627" s="3" t="s">
        <v>116</v>
      </c>
      <c r="G627" s="3" t="s">
        <v>88</v>
      </c>
      <c r="H627" s="3" t="s">
        <v>43</v>
      </c>
      <c r="I627" s="3" t="s">
        <v>44</v>
      </c>
      <c r="J627" s="3" t="s">
        <v>136</v>
      </c>
      <c r="K627" s="3" t="s">
        <v>62</v>
      </c>
      <c r="L627" s="3" t="s">
        <v>91</v>
      </c>
      <c r="M627" s="3" t="s">
        <v>2011</v>
      </c>
      <c r="N627" s="3" t="s">
        <v>65</v>
      </c>
      <c r="O627" s="3" t="s">
        <v>43</v>
      </c>
      <c r="P627" s="5" t="n">
        <v>3</v>
      </c>
      <c r="Q627" s="6" t="n">
        <v>527.67</v>
      </c>
      <c r="R627" s="3" t="s">
        <v>50</v>
      </c>
      <c r="S627" s="7" t="n">
        <v>0.2</v>
      </c>
      <c r="T627" s="3" t="s">
        <v>51</v>
      </c>
      <c r="U627" s="7" t="n">
        <f aca="false">IF(T627="Valid",S627,0)</f>
        <v>0.2</v>
      </c>
      <c r="V627" s="6" t="n">
        <v>1266.41</v>
      </c>
      <c r="W627" s="6" t="n">
        <v>983.92</v>
      </c>
      <c r="X627" s="6" t="n">
        <v>282.49</v>
      </c>
      <c r="Y627" s="6" t="n">
        <f aca="false">P627*Q627*(1-U627)</f>
        <v>1266.408</v>
      </c>
      <c r="Z627" s="6" t="n">
        <f aca="false">Y627-W627</f>
        <v>282.488</v>
      </c>
      <c r="AA627" s="8" t="n">
        <f aca="false">IF(Y627=0,0,Z627/Y627)</f>
        <v>0.223062393794101</v>
      </c>
      <c r="AB627" s="3" t="str">
        <f aca="false">IF(ABS(V627-Y627)&gt;1,"Mismatch","OK")</f>
        <v>OK</v>
      </c>
      <c r="AC627" s="3" t="str">
        <f aca="false">IF(ABS(X627-Z627)&gt;1,"Mismatch","OK")</f>
        <v>OK</v>
      </c>
      <c r="AD627" s="5" t="n">
        <f aca="false">IF(OR(B627="",C627=""),"",C627-B627)</f>
        <v>6</v>
      </c>
      <c r="AE627" s="3" t="str">
        <f aca="false">IF(AD627="","Unknown",IF(AD627&lt;0,"Invalid - Ship Before Order","OK"))</f>
        <v>OK</v>
      </c>
      <c r="AF627" s="5" t="n">
        <f aca="false">IF(B627="","",MONTH(B627))</f>
        <v>12</v>
      </c>
      <c r="AG627" s="5" t="n">
        <f aca="false">IF(B627="","",YEAR(B627))</f>
        <v>2024</v>
      </c>
      <c r="AH627" s="3" t="s">
        <v>52</v>
      </c>
      <c r="AI627" s="3" t="s">
        <v>53</v>
      </c>
      <c r="AJ627" s="3" t="str">
        <f aca="false">IF(AND(AI627="Completed",AH627="Failed"),"Inconsistent - Completed Order with Failed Payment","OK")</f>
        <v>OK</v>
      </c>
      <c r="AK627" s="3" t="s">
        <v>54</v>
      </c>
      <c r="AL627" s="3" t="str">
        <f aca="false">IF(OR(T627="Negative - Invalid",T627="Above Allowed Range - Invalid",AE627="Invalid - Ship Before Order",AK627&lt;&gt;"Unique",AB627="Mismatch",AC627="Mismatch",AJ627&lt;&gt;"OK"),"Invalid",IF(OR(H627="Yes",O627="Yes",T627="Missing"),"Warning","Clean"))</f>
        <v>Clean</v>
      </c>
    </row>
    <row r="628" customFormat="false" ht="15" hidden="false" customHeight="true" outlineLevel="0" collapsed="false">
      <c r="A628" s="3" t="s">
        <v>2012</v>
      </c>
      <c r="B628" s="4" t="n">
        <v>45812</v>
      </c>
      <c r="C628" s="4" t="n">
        <v>45815</v>
      </c>
      <c r="D628" s="3" t="s">
        <v>2013</v>
      </c>
      <c r="E628" s="3" t="s">
        <v>159</v>
      </c>
      <c r="F628" s="3" t="s">
        <v>121</v>
      </c>
      <c r="G628" s="3" t="s">
        <v>59</v>
      </c>
      <c r="H628" s="3" t="s">
        <v>43</v>
      </c>
      <c r="I628" s="3" t="s">
        <v>196</v>
      </c>
      <c r="J628" s="3" t="s">
        <v>197</v>
      </c>
      <c r="K628" s="3" t="s">
        <v>99</v>
      </c>
      <c r="L628" s="3" t="s">
        <v>308</v>
      </c>
      <c r="M628" s="3" t="s">
        <v>2014</v>
      </c>
      <c r="N628" s="3" t="s">
        <v>83</v>
      </c>
      <c r="O628" s="3" t="s">
        <v>43</v>
      </c>
      <c r="P628" s="5" t="n">
        <v>8</v>
      </c>
      <c r="Q628" s="6" t="n">
        <v>1434.13</v>
      </c>
      <c r="R628" s="3" t="s">
        <v>66</v>
      </c>
      <c r="S628" s="7" t="n">
        <v>0</v>
      </c>
      <c r="T628" s="3" t="s">
        <v>51</v>
      </c>
      <c r="U628" s="7" t="n">
        <f aca="false">IF(T628="Valid",S628,0)</f>
        <v>0</v>
      </c>
      <c r="V628" s="6" t="n">
        <v>11473.04</v>
      </c>
      <c r="W628" s="6" t="n">
        <v>8931.33</v>
      </c>
      <c r="X628" s="6" t="n">
        <v>2541.71</v>
      </c>
      <c r="Y628" s="6" t="n">
        <f aca="false">P628*Q628*(1-U628)</f>
        <v>11473.04</v>
      </c>
      <c r="Z628" s="6" t="n">
        <f aca="false">Y628-W628</f>
        <v>2541.71</v>
      </c>
      <c r="AA628" s="8" t="n">
        <f aca="false">IF(Y628=0,0,Z628/Y628)</f>
        <v>0.221537622112361</v>
      </c>
      <c r="AB628" s="3" t="str">
        <f aca="false">IF(ABS(V628-Y628)&gt;1,"Mismatch","OK")</f>
        <v>OK</v>
      </c>
      <c r="AC628" s="3" t="str">
        <f aca="false">IF(ABS(X628-Z628)&gt;1,"Mismatch","OK")</f>
        <v>OK</v>
      </c>
      <c r="AD628" s="5" t="n">
        <f aca="false">IF(OR(B628="",C628=""),"",C628-B628)</f>
        <v>3</v>
      </c>
      <c r="AE628" s="3" t="str">
        <f aca="false">IF(AD628="","Unknown",IF(AD628&lt;0,"Invalid - Ship Before Order","OK"))</f>
        <v>OK</v>
      </c>
      <c r="AF628" s="5" t="n">
        <f aca="false">IF(B628="","",MONTH(B628))</f>
        <v>6</v>
      </c>
      <c r="AG628" s="5" t="n">
        <f aca="false">IF(B628="","",YEAR(B628))</f>
        <v>2025</v>
      </c>
      <c r="AH628" s="3" t="s">
        <v>138</v>
      </c>
      <c r="AI628" s="3" t="s">
        <v>130</v>
      </c>
      <c r="AJ628" s="3" t="str">
        <f aca="false">IF(AND(AI628="Completed",AH628="Failed"),"Inconsistent - Completed Order with Failed Payment","OK")</f>
        <v>OK</v>
      </c>
      <c r="AK628" s="3" t="s">
        <v>54</v>
      </c>
      <c r="AL628" s="3" t="str">
        <f aca="false">IF(OR(T628="Negative - Invalid",T628="Above Allowed Range - Invalid",AE628="Invalid - Ship Before Order",AK628&lt;&gt;"Unique",AB628="Mismatch",AC628="Mismatch",AJ628&lt;&gt;"OK"),"Invalid",IF(OR(H628="Yes",O628="Yes",T628="Missing"),"Warning","Clean"))</f>
        <v>Clean</v>
      </c>
    </row>
    <row r="629" customFormat="false" ht="15" hidden="false" customHeight="true" outlineLevel="0" collapsed="false">
      <c r="A629" s="3" t="s">
        <v>2015</v>
      </c>
      <c r="B629" s="4" t="n">
        <v>45701</v>
      </c>
      <c r="C629" s="4" t="n">
        <v>45709</v>
      </c>
      <c r="D629" s="3" t="s">
        <v>2016</v>
      </c>
      <c r="E629" s="3" t="s">
        <v>40</v>
      </c>
      <c r="F629" s="3" t="s">
        <v>58</v>
      </c>
      <c r="G629" s="3" t="s">
        <v>78</v>
      </c>
      <c r="H629" s="3" t="s">
        <v>43</v>
      </c>
      <c r="I629" s="3" t="s">
        <v>216</v>
      </c>
      <c r="J629" s="3" t="s">
        <v>217</v>
      </c>
      <c r="K629" s="3" t="s">
        <v>99</v>
      </c>
      <c r="L629" s="3" t="s">
        <v>201</v>
      </c>
      <c r="M629" s="3" t="s">
        <v>2017</v>
      </c>
      <c r="N629" s="3" t="s">
        <v>49</v>
      </c>
      <c r="O629" s="3" t="s">
        <v>43</v>
      </c>
      <c r="P629" s="5" t="n">
        <v>2</v>
      </c>
      <c r="Q629" s="6" t="n">
        <v>2360.02</v>
      </c>
      <c r="R629" s="3" t="s">
        <v>107</v>
      </c>
      <c r="S629" s="7" t="n">
        <v>0.15</v>
      </c>
      <c r="T629" s="3" t="s">
        <v>51</v>
      </c>
      <c r="U629" s="7" t="n">
        <f aca="false">IF(T629="Valid",S629,0)</f>
        <v>0.15</v>
      </c>
      <c r="V629" s="6" t="n">
        <v>4012.03</v>
      </c>
      <c r="W629" s="6" t="n">
        <v>3142.92</v>
      </c>
      <c r="X629" s="6" t="n">
        <v>869.11</v>
      </c>
      <c r="Y629" s="6" t="n">
        <f aca="false">P629*Q629*(1-U629)</f>
        <v>4012.034</v>
      </c>
      <c r="Z629" s="6" t="n">
        <f aca="false">Y629-W629</f>
        <v>869.114</v>
      </c>
      <c r="AA629" s="8" t="n">
        <f aca="false">IF(Y629=0,0,Z629/Y629)</f>
        <v>0.216626778337372</v>
      </c>
      <c r="AB629" s="3" t="str">
        <f aca="false">IF(ABS(V629-Y629)&gt;1,"Mismatch","OK")</f>
        <v>OK</v>
      </c>
      <c r="AC629" s="3" t="str">
        <f aca="false">IF(ABS(X629-Z629)&gt;1,"Mismatch","OK")</f>
        <v>OK</v>
      </c>
      <c r="AD629" s="5" t="n">
        <f aca="false">IF(OR(B629="",C629=""),"",C629-B629)</f>
        <v>8</v>
      </c>
      <c r="AE629" s="3" t="str">
        <f aca="false">IF(AD629="","Unknown",IF(AD629&lt;0,"Invalid - Ship Before Order","OK"))</f>
        <v>OK</v>
      </c>
      <c r="AF629" s="5" t="n">
        <f aca="false">IF(B629="","",MONTH(B629))</f>
        <v>2</v>
      </c>
      <c r="AG629" s="5" t="n">
        <f aca="false">IF(B629="","",YEAR(B629))</f>
        <v>2025</v>
      </c>
      <c r="AH629" s="3" t="s">
        <v>138</v>
      </c>
      <c r="AI629" s="3" t="s">
        <v>93</v>
      </c>
      <c r="AJ629" s="3" t="str">
        <f aca="false">IF(AND(AI629="Completed",AH629="Failed"),"Inconsistent - Completed Order with Failed Payment","OK")</f>
        <v>OK</v>
      </c>
      <c r="AK629" s="3" t="s">
        <v>54</v>
      </c>
      <c r="AL629" s="3" t="str">
        <f aca="false">IF(OR(T629="Negative - Invalid",T629="Above Allowed Range - Invalid",AE629="Invalid - Ship Before Order",AK629&lt;&gt;"Unique",AB629="Mismatch",AC629="Mismatch",AJ629&lt;&gt;"OK"),"Invalid",IF(OR(H629="Yes",O629="Yes",T629="Missing"),"Warning","Clean"))</f>
        <v>Clean</v>
      </c>
    </row>
    <row r="630" customFormat="false" ht="15" hidden="false" customHeight="true" outlineLevel="0" collapsed="false">
      <c r="A630" s="3" t="s">
        <v>2018</v>
      </c>
      <c r="B630" s="4" t="n">
        <v>45935</v>
      </c>
      <c r="C630" s="4" t="n">
        <v>45942</v>
      </c>
      <c r="D630" s="3" t="s">
        <v>2019</v>
      </c>
      <c r="E630" s="3" t="s">
        <v>87</v>
      </c>
      <c r="F630" s="3" t="s">
        <v>121</v>
      </c>
      <c r="G630" s="3" t="s">
        <v>59</v>
      </c>
      <c r="H630" s="3" t="s">
        <v>43</v>
      </c>
      <c r="I630" s="3" t="s">
        <v>262</v>
      </c>
      <c r="J630" s="3" t="s">
        <v>263</v>
      </c>
      <c r="K630" s="3" t="s">
        <v>99</v>
      </c>
      <c r="L630" s="3" t="s">
        <v>100</v>
      </c>
      <c r="M630" s="3" t="s">
        <v>2020</v>
      </c>
      <c r="N630" s="3" t="s">
        <v>65</v>
      </c>
      <c r="O630" s="3" t="s">
        <v>43</v>
      </c>
      <c r="P630" s="5" t="n">
        <v>7</v>
      </c>
      <c r="Q630" s="6" t="n">
        <v>806.67</v>
      </c>
      <c r="R630" s="3" t="s">
        <v>128</v>
      </c>
      <c r="S630" s="7" t="n">
        <v>0.05</v>
      </c>
      <c r="T630" s="3" t="s">
        <v>51</v>
      </c>
      <c r="U630" s="7" t="n">
        <f aca="false">IF(T630="Valid",S630,0)</f>
        <v>0.05</v>
      </c>
      <c r="V630" s="6" t="n">
        <v>5364.36</v>
      </c>
      <c r="W630" s="6" t="n">
        <v>4391.29</v>
      </c>
      <c r="X630" s="6" t="n">
        <v>973.07</v>
      </c>
      <c r="Y630" s="6" t="n">
        <f aca="false">P630*Q630*(1-U630)</f>
        <v>5364.3555</v>
      </c>
      <c r="Z630" s="6" t="n">
        <f aca="false">Y630-W630</f>
        <v>973.0655</v>
      </c>
      <c r="AA630" s="8" t="n">
        <f aca="false">IF(Y630=0,0,Z630/Y630)</f>
        <v>0.181394670804349</v>
      </c>
      <c r="AB630" s="3" t="str">
        <f aca="false">IF(ABS(V630-Y630)&gt;1,"Mismatch","OK")</f>
        <v>OK</v>
      </c>
      <c r="AC630" s="3" t="str">
        <f aca="false">IF(ABS(X630-Z630)&gt;1,"Mismatch","OK")</f>
        <v>OK</v>
      </c>
      <c r="AD630" s="5" t="n">
        <f aca="false">IF(OR(B630="",C630=""),"",C630-B630)</f>
        <v>7</v>
      </c>
      <c r="AE630" s="3" t="str">
        <f aca="false">IF(AD630="","Unknown",IF(AD630&lt;0,"Invalid - Ship Before Order","OK"))</f>
        <v>OK</v>
      </c>
      <c r="AF630" s="5" t="n">
        <f aca="false">IF(B630="","",MONTH(B630))</f>
        <v>10</v>
      </c>
      <c r="AG630" s="5" t="n">
        <f aca="false">IF(B630="","",YEAR(B630))</f>
        <v>2025</v>
      </c>
      <c r="AH630" s="3" t="s">
        <v>52</v>
      </c>
      <c r="AI630" s="3" t="s">
        <v>53</v>
      </c>
      <c r="AJ630" s="3" t="str">
        <f aca="false">IF(AND(AI630="Completed",AH630="Failed"),"Inconsistent - Completed Order with Failed Payment","OK")</f>
        <v>OK</v>
      </c>
      <c r="AK630" s="3" t="s">
        <v>54</v>
      </c>
      <c r="AL630" s="3" t="str">
        <f aca="false">IF(OR(T630="Negative - Invalid",T630="Above Allowed Range - Invalid",AE630="Invalid - Ship Before Order",AK630&lt;&gt;"Unique",AB630="Mismatch",AC630="Mismatch",AJ630&lt;&gt;"OK"),"Invalid",IF(OR(H630="Yes",O630="Yes",T630="Missing"),"Warning","Clean"))</f>
        <v>Clean</v>
      </c>
    </row>
    <row r="631" customFormat="false" ht="15" hidden="false" customHeight="true" outlineLevel="0" collapsed="false">
      <c r="A631" s="3" t="s">
        <v>2021</v>
      </c>
      <c r="B631" s="4" t="n">
        <v>45910</v>
      </c>
      <c r="C631" s="4" t="n">
        <v>45914</v>
      </c>
      <c r="D631" s="3" t="s">
        <v>2022</v>
      </c>
      <c r="E631" s="3" t="s">
        <v>77</v>
      </c>
      <c r="F631" s="3" t="s">
        <v>121</v>
      </c>
      <c r="G631" s="3" t="s">
        <v>88</v>
      </c>
      <c r="H631" s="3" t="s">
        <v>43</v>
      </c>
      <c r="I631" s="3" t="s">
        <v>211</v>
      </c>
      <c r="J631" s="3" t="s">
        <v>212</v>
      </c>
      <c r="K631" s="3" t="s">
        <v>62</v>
      </c>
      <c r="L631" s="3" t="s">
        <v>63</v>
      </c>
      <c r="M631" s="3" t="s">
        <v>2023</v>
      </c>
      <c r="N631" s="3" t="s">
        <v>65</v>
      </c>
      <c r="O631" s="3" t="s">
        <v>43</v>
      </c>
      <c r="P631" s="5" t="n">
        <v>3</v>
      </c>
      <c r="Q631" s="6" t="n">
        <v>4198.46</v>
      </c>
      <c r="R631" s="3" t="s">
        <v>107</v>
      </c>
      <c r="S631" s="7" t="n">
        <v>0.15</v>
      </c>
      <c r="T631" s="3" t="s">
        <v>51</v>
      </c>
      <c r="U631" s="7" t="n">
        <f aca="false">IF(T631="Valid",S631,0)</f>
        <v>0.15</v>
      </c>
      <c r="V631" s="6" t="n">
        <v>10706.07</v>
      </c>
      <c r="W631" s="6" t="n">
        <v>5927.1</v>
      </c>
      <c r="X631" s="6" t="n">
        <v>4778.97</v>
      </c>
      <c r="Y631" s="6" t="n">
        <f aca="false">P631*Q631*(1-U631)</f>
        <v>10706.073</v>
      </c>
      <c r="Z631" s="6" t="n">
        <f aca="false">Y631-W631</f>
        <v>4778.973</v>
      </c>
      <c r="AA631" s="8" t="n">
        <f aca="false">IF(Y631=0,0,Z631/Y631)</f>
        <v>0.446379638920826</v>
      </c>
      <c r="AB631" s="3" t="str">
        <f aca="false">IF(ABS(V631-Y631)&gt;1,"Mismatch","OK")</f>
        <v>OK</v>
      </c>
      <c r="AC631" s="3" t="str">
        <f aca="false">IF(ABS(X631-Z631)&gt;1,"Mismatch","OK")</f>
        <v>OK</v>
      </c>
      <c r="AD631" s="5" t="n">
        <f aca="false">IF(OR(B631="",C631=""),"",C631-B631)</f>
        <v>4</v>
      </c>
      <c r="AE631" s="3" t="str">
        <f aca="false">IF(AD631="","Unknown",IF(AD631&lt;0,"Invalid - Ship Before Order","OK"))</f>
        <v>OK</v>
      </c>
      <c r="AF631" s="5" t="n">
        <f aca="false">IF(B631="","",MONTH(B631))</f>
        <v>9</v>
      </c>
      <c r="AG631" s="5" t="n">
        <f aca="false">IF(B631="","",YEAR(B631))</f>
        <v>2025</v>
      </c>
      <c r="AH631" s="3" t="s">
        <v>52</v>
      </c>
      <c r="AI631" s="3" t="s">
        <v>53</v>
      </c>
      <c r="AJ631" s="3" t="str">
        <f aca="false">IF(AND(AI631="Completed",AH631="Failed"),"Inconsistent - Completed Order with Failed Payment","OK")</f>
        <v>OK</v>
      </c>
      <c r="AK631" s="3" t="s">
        <v>54</v>
      </c>
      <c r="AL631" s="3" t="str">
        <f aca="false">IF(OR(T631="Negative - Invalid",T631="Above Allowed Range - Invalid",AE631="Invalid - Ship Before Order",AK631&lt;&gt;"Unique",AB631="Mismatch",AC631="Mismatch",AJ631&lt;&gt;"OK"),"Invalid",IF(OR(H631="Yes",O631="Yes",T631="Missing"),"Warning","Clean"))</f>
        <v>Clean</v>
      </c>
    </row>
    <row r="632" customFormat="false" ht="15" hidden="false" customHeight="true" outlineLevel="0" collapsed="false">
      <c r="A632" s="3" t="s">
        <v>2024</v>
      </c>
      <c r="B632" s="4" t="n">
        <v>45391</v>
      </c>
      <c r="C632" s="4" t="n">
        <v>45392</v>
      </c>
      <c r="D632" s="3" t="s">
        <v>2025</v>
      </c>
      <c r="E632" s="3" t="s">
        <v>141</v>
      </c>
      <c r="F632" s="3" t="s">
        <v>116</v>
      </c>
      <c r="G632" s="3" t="s">
        <v>59</v>
      </c>
      <c r="H632" s="3" t="s">
        <v>43</v>
      </c>
      <c r="I632" s="3" t="s">
        <v>196</v>
      </c>
      <c r="J632" s="3" t="s">
        <v>197</v>
      </c>
      <c r="K632" s="3" t="s">
        <v>46</v>
      </c>
      <c r="L632" s="3" t="s">
        <v>47</v>
      </c>
      <c r="M632" s="3" t="s">
        <v>2026</v>
      </c>
      <c r="N632" s="3" t="s">
        <v>83</v>
      </c>
      <c r="O632" s="3" t="s">
        <v>43</v>
      </c>
      <c r="P632" s="5" t="n">
        <v>4</v>
      </c>
      <c r="Q632" s="6" t="n">
        <v>3047.05</v>
      </c>
      <c r="R632" s="3" t="s">
        <v>203</v>
      </c>
      <c r="S632" s="7" t="n">
        <v>0.1</v>
      </c>
      <c r="T632" s="3" t="s">
        <v>51</v>
      </c>
      <c r="U632" s="7" t="n">
        <f aca="false">IF(T632="Valid",S632,0)</f>
        <v>0.1</v>
      </c>
      <c r="V632" s="6" t="n">
        <v>10969.38</v>
      </c>
      <c r="W632" s="6" t="n">
        <v>9254.46</v>
      </c>
      <c r="X632" s="6" t="n">
        <v>1714.92</v>
      </c>
      <c r="Y632" s="6" t="n">
        <f aca="false">P632*Q632*(1-U632)</f>
        <v>10969.38</v>
      </c>
      <c r="Z632" s="6" t="n">
        <f aca="false">Y632-W632</f>
        <v>1714.92</v>
      </c>
      <c r="AA632" s="8" t="n">
        <f aca="false">IF(Y632=0,0,Z632/Y632)</f>
        <v>0.156337003549882</v>
      </c>
      <c r="AB632" s="3" t="str">
        <f aca="false">IF(ABS(V632-Y632)&gt;1,"Mismatch","OK")</f>
        <v>OK</v>
      </c>
      <c r="AC632" s="3" t="str">
        <f aca="false">IF(ABS(X632-Z632)&gt;1,"Mismatch","OK")</f>
        <v>OK</v>
      </c>
      <c r="AD632" s="5" t="n">
        <f aca="false">IF(OR(B632="",C632=""),"",C632-B632)</f>
        <v>1</v>
      </c>
      <c r="AE632" s="3" t="str">
        <f aca="false">IF(AD632="","Unknown",IF(AD632&lt;0,"Invalid - Ship Before Order","OK"))</f>
        <v>OK</v>
      </c>
      <c r="AF632" s="5" t="n">
        <f aca="false">IF(B632="","",MONTH(B632))</f>
        <v>4</v>
      </c>
      <c r="AG632" s="5" t="n">
        <f aca="false">IF(B632="","",YEAR(B632))</f>
        <v>2024</v>
      </c>
      <c r="AH632" s="3" t="s">
        <v>52</v>
      </c>
      <c r="AI632" s="3" t="s">
        <v>53</v>
      </c>
      <c r="AJ632" s="3" t="str">
        <f aca="false">IF(AND(AI632="Completed",AH632="Failed"),"Inconsistent - Completed Order with Failed Payment","OK")</f>
        <v>OK</v>
      </c>
      <c r="AK632" s="3" t="s">
        <v>54</v>
      </c>
      <c r="AL632" s="3" t="str">
        <f aca="false">IF(OR(T632="Negative - Invalid",T632="Above Allowed Range - Invalid",AE632="Invalid - Ship Before Order",AK632&lt;&gt;"Unique",AB632="Mismatch",AC632="Mismatch",AJ632&lt;&gt;"OK"),"Invalid",IF(OR(H632="Yes",O632="Yes",T632="Missing"),"Warning","Clean"))</f>
        <v>Clean</v>
      </c>
    </row>
    <row r="633" customFormat="false" ht="15" hidden="false" customHeight="true" outlineLevel="0" collapsed="false">
      <c r="A633" s="3" t="s">
        <v>2027</v>
      </c>
      <c r="B633" s="4" t="n">
        <v>45392</v>
      </c>
      <c r="C633" s="4" t="n">
        <v>45397</v>
      </c>
      <c r="D633" s="3" t="s">
        <v>2028</v>
      </c>
      <c r="E633" s="3" t="s">
        <v>155</v>
      </c>
      <c r="F633" s="3" t="s">
        <v>121</v>
      </c>
      <c r="G633" s="3" t="s">
        <v>88</v>
      </c>
      <c r="H633" s="3" t="s">
        <v>43</v>
      </c>
      <c r="I633" s="3" t="s">
        <v>44</v>
      </c>
      <c r="J633" s="3" t="s">
        <v>136</v>
      </c>
      <c r="K633" s="3" t="s">
        <v>62</v>
      </c>
      <c r="L633" s="3" t="s">
        <v>91</v>
      </c>
      <c r="M633" s="3" t="s">
        <v>2029</v>
      </c>
      <c r="N633" s="3" t="s">
        <v>83</v>
      </c>
      <c r="O633" s="3" t="s">
        <v>43</v>
      </c>
      <c r="P633" s="5" t="n">
        <v>8</v>
      </c>
      <c r="Q633" s="6" t="n">
        <v>4362.48</v>
      </c>
      <c r="R633" s="3" t="s">
        <v>203</v>
      </c>
      <c r="S633" s="7" t="n">
        <v>0.1</v>
      </c>
      <c r="T633" s="3" t="s">
        <v>51</v>
      </c>
      <c r="U633" s="7" t="n">
        <f aca="false">IF(T633="Valid",S633,0)</f>
        <v>0.1</v>
      </c>
      <c r="V633" s="6" t="n">
        <v>31409.86</v>
      </c>
      <c r="W633" s="6" t="n">
        <v>22523.54</v>
      </c>
      <c r="X633" s="6" t="n">
        <v>8886.32</v>
      </c>
      <c r="Y633" s="6" t="n">
        <f aca="false">P633*Q633*(1-U633)</f>
        <v>31409.856</v>
      </c>
      <c r="Z633" s="6" t="n">
        <f aca="false">Y633-W633</f>
        <v>8886.316</v>
      </c>
      <c r="AA633" s="8" t="n">
        <f aca="false">IF(Y633=0,0,Z633/Y633)</f>
        <v>0.28291489142771</v>
      </c>
      <c r="AB633" s="3" t="str">
        <f aca="false">IF(ABS(V633-Y633)&gt;1,"Mismatch","OK")</f>
        <v>OK</v>
      </c>
      <c r="AC633" s="3" t="str">
        <f aca="false">IF(ABS(X633-Z633)&gt;1,"Mismatch","OK")</f>
        <v>OK</v>
      </c>
      <c r="AD633" s="5" t="n">
        <f aca="false">IF(OR(B633="",C633=""),"",C633-B633)</f>
        <v>5</v>
      </c>
      <c r="AE633" s="3" t="str">
        <f aca="false">IF(AD633="","Unknown",IF(AD633&lt;0,"Invalid - Ship Before Order","OK"))</f>
        <v>OK</v>
      </c>
      <c r="AF633" s="5" t="n">
        <f aca="false">IF(B633="","",MONTH(B633))</f>
        <v>4</v>
      </c>
      <c r="AG633" s="5" t="n">
        <f aca="false">IF(B633="","",YEAR(B633))</f>
        <v>2024</v>
      </c>
      <c r="AH633" s="3" t="s">
        <v>52</v>
      </c>
      <c r="AI633" s="3" t="s">
        <v>53</v>
      </c>
      <c r="AJ633" s="3" t="str">
        <f aca="false">IF(AND(AI633="Completed",AH633="Failed"),"Inconsistent - Completed Order with Failed Payment","OK")</f>
        <v>OK</v>
      </c>
      <c r="AK633" s="3" t="s">
        <v>54</v>
      </c>
      <c r="AL633" s="3" t="str">
        <f aca="false">IF(OR(T633="Negative - Invalid",T633="Above Allowed Range - Invalid",AE633="Invalid - Ship Before Order",AK633&lt;&gt;"Unique",AB633="Mismatch",AC633="Mismatch",AJ633&lt;&gt;"OK"),"Invalid",IF(OR(H633="Yes",O633="Yes",T633="Missing"),"Warning","Clean"))</f>
        <v>Clean</v>
      </c>
    </row>
    <row r="634" customFormat="false" ht="15" hidden="false" customHeight="true" outlineLevel="0" collapsed="false">
      <c r="A634" s="3" t="s">
        <v>2030</v>
      </c>
      <c r="B634" s="4" t="n">
        <v>45762</v>
      </c>
      <c r="C634" s="4" t="n">
        <v>45763</v>
      </c>
      <c r="D634" s="3" t="s">
        <v>2031</v>
      </c>
      <c r="E634" s="3" t="s">
        <v>159</v>
      </c>
      <c r="F634" s="3" t="s">
        <v>58</v>
      </c>
      <c r="G634" s="3" t="s">
        <v>78</v>
      </c>
      <c r="H634" s="3" t="s">
        <v>43</v>
      </c>
      <c r="I634" s="3" t="s">
        <v>206</v>
      </c>
      <c r="J634" s="3" t="s">
        <v>207</v>
      </c>
      <c r="K634" s="3" t="s">
        <v>62</v>
      </c>
      <c r="L634" s="3" t="s">
        <v>81</v>
      </c>
      <c r="M634" s="3" t="s">
        <v>2032</v>
      </c>
      <c r="N634" s="3" t="s">
        <v>72</v>
      </c>
      <c r="O634" s="3" t="s">
        <v>43</v>
      </c>
      <c r="P634" s="5" t="n">
        <v>5</v>
      </c>
      <c r="Q634" s="6" t="n">
        <v>2850.53</v>
      </c>
      <c r="R634" s="3" t="s">
        <v>66</v>
      </c>
      <c r="S634" s="7" t="n">
        <v>0</v>
      </c>
      <c r="T634" s="3" t="s">
        <v>51</v>
      </c>
      <c r="U634" s="7" t="n">
        <f aca="false">IF(T634="Valid",S634,0)</f>
        <v>0</v>
      </c>
      <c r="V634" s="6" t="n">
        <v>14252.65</v>
      </c>
      <c r="W634" s="6" t="n">
        <v>11558.31</v>
      </c>
      <c r="X634" s="6" t="n">
        <v>2694.34</v>
      </c>
      <c r="Y634" s="6" t="n">
        <f aca="false">P634*Q634*(1-U634)</f>
        <v>14252.65</v>
      </c>
      <c r="Z634" s="6" t="n">
        <f aca="false">Y634-W634</f>
        <v>2694.34</v>
      </c>
      <c r="AA634" s="8" t="n">
        <f aca="false">IF(Y634=0,0,Z634/Y634)</f>
        <v>0.189041336172572</v>
      </c>
      <c r="AB634" s="3" t="str">
        <f aca="false">IF(ABS(V634-Y634)&gt;1,"Mismatch","OK")</f>
        <v>OK</v>
      </c>
      <c r="AC634" s="3" t="str">
        <f aca="false">IF(ABS(X634-Z634)&gt;1,"Mismatch","OK")</f>
        <v>OK</v>
      </c>
      <c r="AD634" s="5" t="n">
        <f aca="false">IF(OR(B634="",C634=""),"",C634-B634)</f>
        <v>1</v>
      </c>
      <c r="AE634" s="3" t="str">
        <f aca="false">IF(AD634="","Unknown",IF(AD634&lt;0,"Invalid - Ship Before Order","OK"))</f>
        <v>OK</v>
      </c>
      <c r="AF634" s="5" t="n">
        <f aca="false">IF(B634="","",MONTH(B634))</f>
        <v>4</v>
      </c>
      <c r="AG634" s="5" t="n">
        <f aca="false">IF(B634="","",YEAR(B634))</f>
        <v>2025</v>
      </c>
      <c r="AH634" s="3" t="s">
        <v>52</v>
      </c>
      <c r="AI634" s="3" t="s">
        <v>53</v>
      </c>
      <c r="AJ634" s="3" t="str">
        <f aca="false">IF(AND(AI634="Completed",AH634="Failed"),"Inconsistent - Completed Order with Failed Payment","OK")</f>
        <v>OK</v>
      </c>
      <c r="AK634" s="3" t="s">
        <v>54</v>
      </c>
      <c r="AL634" s="3" t="str">
        <f aca="false">IF(OR(T634="Negative - Invalid",T634="Above Allowed Range - Invalid",AE634="Invalid - Ship Before Order",AK634&lt;&gt;"Unique",AB634="Mismatch",AC634="Mismatch",AJ634&lt;&gt;"OK"),"Invalid",IF(OR(H634="Yes",O634="Yes",T634="Missing"),"Warning","Clean"))</f>
        <v>Clean</v>
      </c>
    </row>
    <row r="635" customFormat="false" ht="15" hidden="false" customHeight="true" outlineLevel="0" collapsed="false">
      <c r="A635" s="3" t="s">
        <v>2033</v>
      </c>
      <c r="B635" s="4" t="n">
        <v>45765</v>
      </c>
      <c r="C635" s="4" t="n">
        <v>45767</v>
      </c>
      <c r="D635" s="3" t="s">
        <v>2034</v>
      </c>
      <c r="E635" s="3" t="s">
        <v>155</v>
      </c>
      <c r="F635" s="3" t="s">
        <v>58</v>
      </c>
      <c r="G635" s="3" t="s">
        <v>78</v>
      </c>
      <c r="H635" s="3" t="s">
        <v>43</v>
      </c>
      <c r="I635" s="3" t="s">
        <v>281</v>
      </c>
      <c r="J635" s="3" t="s">
        <v>282</v>
      </c>
      <c r="K635" s="3" t="s">
        <v>99</v>
      </c>
      <c r="L635" s="3" t="s">
        <v>100</v>
      </c>
      <c r="M635" s="3" t="s">
        <v>2035</v>
      </c>
      <c r="N635" s="3" t="s">
        <v>49</v>
      </c>
      <c r="O635" s="3" t="s">
        <v>43</v>
      </c>
      <c r="P635" s="5" t="n">
        <v>1</v>
      </c>
      <c r="Q635" s="6" t="n">
        <v>1626.08</v>
      </c>
      <c r="R635" s="3" t="s">
        <v>107</v>
      </c>
      <c r="S635" s="7" t="n">
        <v>0.15</v>
      </c>
      <c r="T635" s="3" t="s">
        <v>51</v>
      </c>
      <c r="U635" s="7" t="n">
        <f aca="false">IF(T635="Valid",S635,0)</f>
        <v>0.15</v>
      </c>
      <c r="V635" s="6" t="n">
        <v>1382.17</v>
      </c>
      <c r="W635" s="6" t="n">
        <v>810.03</v>
      </c>
      <c r="X635" s="6" t="n">
        <v>572.14</v>
      </c>
      <c r="Y635" s="6" t="n">
        <f aca="false">P635*Q635*(1-U635)</f>
        <v>1382.168</v>
      </c>
      <c r="Z635" s="6" t="n">
        <f aca="false">Y635-W635</f>
        <v>572.138</v>
      </c>
      <c r="AA635" s="8" t="n">
        <f aca="false">IF(Y635=0,0,Z635/Y635)</f>
        <v>0.413942444044429</v>
      </c>
      <c r="AB635" s="3" t="str">
        <f aca="false">IF(ABS(V635-Y635)&gt;1,"Mismatch","OK")</f>
        <v>OK</v>
      </c>
      <c r="AC635" s="3" t="str">
        <f aca="false">IF(ABS(X635-Z635)&gt;1,"Mismatch","OK")</f>
        <v>OK</v>
      </c>
      <c r="AD635" s="5" t="n">
        <f aca="false">IF(OR(B635="",C635=""),"",C635-B635)</f>
        <v>2</v>
      </c>
      <c r="AE635" s="3" t="str">
        <f aca="false">IF(AD635="","Unknown",IF(AD635&lt;0,"Invalid - Ship Before Order","OK"))</f>
        <v>OK</v>
      </c>
      <c r="AF635" s="5" t="n">
        <f aca="false">IF(B635="","",MONTH(B635))</f>
        <v>4</v>
      </c>
      <c r="AG635" s="5" t="n">
        <f aca="false">IF(B635="","",YEAR(B635))</f>
        <v>2025</v>
      </c>
      <c r="AH635" s="3" t="s">
        <v>52</v>
      </c>
      <c r="AI635" s="3" t="s">
        <v>53</v>
      </c>
      <c r="AJ635" s="3" t="str">
        <f aca="false">IF(AND(AI635="Completed",AH635="Failed"),"Inconsistent - Completed Order with Failed Payment","OK")</f>
        <v>OK</v>
      </c>
      <c r="AK635" s="3" t="s">
        <v>54</v>
      </c>
      <c r="AL635" s="3" t="str">
        <f aca="false">IF(OR(T635="Negative - Invalid",T635="Above Allowed Range - Invalid",AE635="Invalid - Ship Before Order",AK635&lt;&gt;"Unique",AB635="Mismatch",AC635="Mismatch",AJ635&lt;&gt;"OK"),"Invalid",IF(OR(H635="Yes",O635="Yes",T635="Missing"),"Warning","Clean"))</f>
        <v>Clean</v>
      </c>
    </row>
    <row r="636" customFormat="false" ht="15" hidden="false" customHeight="true" outlineLevel="0" collapsed="false">
      <c r="A636" s="3" t="s">
        <v>2036</v>
      </c>
      <c r="B636" s="4" t="n">
        <v>45668</v>
      </c>
      <c r="C636" s="4" t="n">
        <v>45669</v>
      </c>
      <c r="D636" s="3" t="s">
        <v>2037</v>
      </c>
      <c r="E636" s="3" t="s">
        <v>115</v>
      </c>
      <c r="F636" s="3" t="s">
        <v>41</v>
      </c>
      <c r="G636" s="3" t="s">
        <v>78</v>
      </c>
      <c r="H636" s="3" t="s">
        <v>43</v>
      </c>
      <c r="I636" s="3" t="s">
        <v>79</v>
      </c>
      <c r="J636" s="3" t="s">
        <v>80</v>
      </c>
      <c r="K636" s="3" t="s">
        <v>62</v>
      </c>
      <c r="L636" s="3" t="s">
        <v>91</v>
      </c>
      <c r="M636" s="3" t="s">
        <v>2038</v>
      </c>
      <c r="N636" s="3" t="s">
        <v>49</v>
      </c>
      <c r="O636" s="3" t="s">
        <v>43</v>
      </c>
      <c r="P636" s="5" t="n">
        <v>4</v>
      </c>
      <c r="Q636" s="6" t="n">
        <v>2427.15</v>
      </c>
      <c r="R636" s="3" t="s">
        <v>128</v>
      </c>
      <c r="S636" s="7" t="n">
        <v>0.05</v>
      </c>
      <c r="T636" s="3" t="s">
        <v>51</v>
      </c>
      <c r="U636" s="7" t="n">
        <f aca="false">IF(T636="Valid",S636,0)</f>
        <v>0.05</v>
      </c>
      <c r="V636" s="6" t="n">
        <v>9223.17</v>
      </c>
      <c r="W636" s="6" t="n">
        <v>5103.7</v>
      </c>
      <c r="X636" s="6" t="n">
        <v>4119.47</v>
      </c>
      <c r="Y636" s="6" t="n">
        <f aca="false">P636*Q636*(1-U636)</f>
        <v>9223.17</v>
      </c>
      <c r="Z636" s="6" t="n">
        <f aca="false">Y636-W636</f>
        <v>4119.47</v>
      </c>
      <c r="AA636" s="8" t="n">
        <f aca="false">IF(Y636=0,0,Z636/Y636)</f>
        <v>0.446643616023558</v>
      </c>
      <c r="AB636" s="3" t="str">
        <f aca="false">IF(ABS(V636-Y636)&gt;1,"Mismatch","OK")</f>
        <v>OK</v>
      </c>
      <c r="AC636" s="3" t="str">
        <f aca="false">IF(ABS(X636-Z636)&gt;1,"Mismatch","OK")</f>
        <v>OK</v>
      </c>
      <c r="AD636" s="5" t="n">
        <f aca="false">IF(OR(B636="",C636=""),"",C636-B636)</f>
        <v>1</v>
      </c>
      <c r="AE636" s="3" t="str">
        <f aca="false">IF(AD636="","Unknown",IF(AD636&lt;0,"Invalid - Ship Before Order","OK"))</f>
        <v>OK</v>
      </c>
      <c r="AF636" s="5" t="n">
        <f aca="false">IF(B636="","",MONTH(B636))</f>
        <v>1</v>
      </c>
      <c r="AG636" s="5" t="n">
        <f aca="false">IF(B636="","",YEAR(B636))</f>
        <v>2025</v>
      </c>
      <c r="AH636" s="3" t="s">
        <v>52</v>
      </c>
      <c r="AI636" s="3" t="s">
        <v>53</v>
      </c>
      <c r="AJ636" s="3" t="str">
        <f aca="false">IF(AND(AI636="Completed",AH636="Failed"),"Inconsistent - Completed Order with Failed Payment","OK")</f>
        <v>OK</v>
      </c>
      <c r="AK636" s="3" t="s">
        <v>54</v>
      </c>
      <c r="AL636" s="3" t="str">
        <f aca="false">IF(OR(T636="Negative - Invalid",T636="Above Allowed Range - Invalid",AE636="Invalid - Ship Before Order",AK636&lt;&gt;"Unique",AB636="Mismatch",AC636="Mismatch",AJ636&lt;&gt;"OK"),"Invalid",IF(OR(H636="Yes",O636="Yes",T636="Missing"),"Warning","Clean"))</f>
        <v>Clean</v>
      </c>
    </row>
    <row r="637" customFormat="false" ht="15" hidden="false" customHeight="true" outlineLevel="0" collapsed="false">
      <c r="A637" s="3" t="s">
        <v>2039</v>
      </c>
      <c r="B637" s="4" t="n">
        <v>45432</v>
      </c>
      <c r="C637" s="4" t="n">
        <v>45437</v>
      </c>
      <c r="D637" s="3" t="s">
        <v>2040</v>
      </c>
      <c r="E637" s="3" t="s">
        <v>57</v>
      </c>
      <c r="F637" s="3" t="s">
        <v>116</v>
      </c>
      <c r="G637" s="3" t="s">
        <v>78</v>
      </c>
      <c r="H637" s="3" t="s">
        <v>43</v>
      </c>
      <c r="I637" s="3" t="s">
        <v>110</v>
      </c>
      <c r="J637" s="3" t="s">
        <v>111</v>
      </c>
      <c r="K637" s="3" t="s">
        <v>62</v>
      </c>
      <c r="L637" s="3" t="s">
        <v>91</v>
      </c>
      <c r="M637" s="3" t="s">
        <v>2041</v>
      </c>
      <c r="N637" s="3" t="s">
        <v>65</v>
      </c>
      <c r="O637" s="3" t="s">
        <v>43</v>
      </c>
      <c r="P637" s="5" t="n">
        <v>7</v>
      </c>
      <c r="Q637" s="6" t="n">
        <v>3122.85</v>
      </c>
      <c r="R637" s="3" t="s">
        <v>84</v>
      </c>
      <c r="S637" s="7" t="n">
        <v>0.25</v>
      </c>
      <c r="T637" s="3" t="s">
        <v>51</v>
      </c>
      <c r="U637" s="7" t="n">
        <f aca="false">IF(T637="Valid",S637,0)</f>
        <v>0.25</v>
      </c>
      <c r="V637" s="6" t="n">
        <v>16394.96</v>
      </c>
      <c r="W637" s="6" t="n">
        <v>10404.17</v>
      </c>
      <c r="X637" s="6" t="n">
        <v>5990.79</v>
      </c>
      <c r="Y637" s="6" t="n">
        <f aca="false">P637*Q637*(1-U637)</f>
        <v>16394.9625</v>
      </c>
      <c r="Z637" s="6" t="n">
        <f aca="false">Y637-W637</f>
        <v>5990.7925</v>
      </c>
      <c r="AA637" s="8" t="n">
        <f aca="false">IF(Y637=0,0,Z637/Y637)</f>
        <v>0.365404464938544</v>
      </c>
      <c r="AB637" s="3" t="str">
        <f aca="false">IF(ABS(V637-Y637)&gt;1,"Mismatch","OK")</f>
        <v>OK</v>
      </c>
      <c r="AC637" s="3" t="str">
        <f aca="false">IF(ABS(X637-Z637)&gt;1,"Mismatch","OK")</f>
        <v>OK</v>
      </c>
      <c r="AD637" s="5" t="n">
        <f aca="false">IF(OR(B637="",C637=""),"",C637-B637)</f>
        <v>5</v>
      </c>
      <c r="AE637" s="3" t="str">
        <f aca="false">IF(AD637="","Unknown",IF(AD637&lt;0,"Invalid - Ship Before Order","OK"))</f>
        <v>OK</v>
      </c>
      <c r="AF637" s="5" t="n">
        <f aca="false">IF(B637="","",MONTH(B637))</f>
        <v>5</v>
      </c>
      <c r="AG637" s="5" t="n">
        <f aca="false">IF(B637="","",YEAR(B637))</f>
        <v>2024</v>
      </c>
      <c r="AH637" s="3" t="s">
        <v>52</v>
      </c>
      <c r="AI637" s="3" t="s">
        <v>53</v>
      </c>
      <c r="AJ637" s="3" t="str">
        <f aca="false">IF(AND(AI637="Completed",AH637="Failed"),"Inconsistent - Completed Order with Failed Payment","OK")</f>
        <v>OK</v>
      </c>
      <c r="AK637" s="3" t="s">
        <v>54</v>
      </c>
      <c r="AL637" s="3" t="str">
        <f aca="false">IF(OR(T637="Negative - Invalid",T637="Above Allowed Range - Invalid",AE637="Invalid - Ship Before Order",AK637&lt;&gt;"Unique",AB637="Mismatch",AC637="Mismatch",AJ637&lt;&gt;"OK"),"Invalid",IF(OR(H637="Yes",O637="Yes",T637="Missing"),"Warning","Clean"))</f>
        <v>Clean</v>
      </c>
    </row>
    <row r="638" customFormat="false" ht="15" hidden="false" customHeight="true" outlineLevel="0" collapsed="false">
      <c r="A638" s="3" t="s">
        <v>2042</v>
      </c>
      <c r="B638" s="4" t="n">
        <v>45567</v>
      </c>
      <c r="C638" s="4" t="n">
        <v>45574</v>
      </c>
      <c r="D638" s="3" t="s">
        <v>2043</v>
      </c>
      <c r="E638" s="3" t="s">
        <v>87</v>
      </c>
      <c r="F638" s="3" t="s">
        <v>41</v>
      </c>
      <c r="G638" s="3" t="s">
        <v>78</v>
      </c>
      <c r="H638" s="3" t="s">
        <v>43</v>
      </c>
      <c r="I638" s="3" t="s">
        <v>281</v>
      </c>
      <c r="J638" s="3" t="s">
        <v>282</v>
      </c>
      <c r="K638" s="3" t="s">
        <v>46</v>
      </c>
      <c r="L638" s="3" t="s">
        <v>47</v>
      </c>
      <c r="M638" s="3" t="s">
        <v>2044</v>
      </c>
      <c r="N638" s="3" t="s">
        <v>83</v>
      </c>
      <c r="O638" s="3" t="s">
        <v>43</v>
      </c>
      <c r="P638" s="5" t="n">
        <v>8</v>
      </c>
      <c r="Q638" s="6" t="n">
        <v>1910.31</v>
      </c>
      <c r="R638" s="3" t="s">
        <v>107</v>
      </c>
      <c r="S638" s="7" t="n">
        <v>0.15</v>
      </c>
      <c r="T638" s="3" t="s">
        <v>51</v>
      </c>
      <c r="U638" s="7" t="n">
        <f aca="false">IF(T638="Valid",S638,0)</f>
        <v>0.15</v>
      </c>
      <c r="V638" s="6" t="n">
        <v>12990.11</v>
      </c>
      <c r="W638" s="6" t="n">
        <v>10200.8</v>
      </c>
      <c r="X638" s="6" t="n">
        <v>2789.31</v>
      </c>
      <c r="Y638" s="6" t="n">
        <f aca="false">P638*Q638*(1-U638)</f>
        <v>12990.108</v>
      </c>
      <c r="Z638" s="6" t="n">
        <f aca="false">Y638-W638</f>
        <v>2789.308</v>
      </c>
      <c r="AA638" s="8" t="n">
        <f aca="false">IF(Y638=0,0,Z638/Y638)</f>
        <v>0.214725543467383</v>
      </c>
      <c r="AB638" s="3" t="str">
        <f aca="false">IF(ABS(V638-Y638)&gt;1,"Mismatch","OK")</f>
        <v>OK</v>
      </c>
      <c r="AC638" s="3" t="str">
        <f aca="false">IF(ABS(X638-Z638)&gt;1,"Mismatch","OK")</f>
        <v>OK</v>
      </c>
      <c r="AD638" s="5" t="n">
        <f aca="false">IF(OR(B638="",C638=""),"",C638-B638)</f>
        <v>7</v>
      </c>
      <c r="AE638" s="3" t="str">
        <f aca="false">IF(AD638="","Unknown",IF(AD638&lt;0,"Invalid - Ship Before Order","OK"))</f>
        <v>OK</v>
      </c>
      <c r="AF638" s="5" t="n">
        <f aca="false">IF(B638="","",MONTH(B638))</f>
        <v>10</v>
      </c>
      <c r="AG638" s="5" t="n">
        <f aca="false">IF(B638="","",YEAR(B638))</f>
        <v>2024</v>
      </c>
      <c r="AH638" s="3" t="s">
        <v>52</v>
      </c>
      <c r="AI638" s="3" t="s">
        <v>53</v>
      </c>
      <c r="AJ638" s="3" t="str">
        <f aca="false">IF(AND(AI638="Completed",AH638="Failed"),"Inconsistent - Completed Order with Failed Payment","OK")</f>
        <v>OK</v>
      </c>
      <c r="AK638" s="3" t="s">
        <v>54</v>
      </c>
      <c r="AL638" s="3" t="str">
        <f aca="false">IF(OR(T638="Negative - Invalid",T638="Above Allowed Range - Invalid",AE638="Invalid - Ship Before Order",AK638&lt;&gt;"Unique",AB638="Mismatch",AC638="Mismatch",AJ638&lt;&gt;"OK"),"Invalid",IF(OR(H638="Yes",O638="Yes",T638="Missing"),"Warning","Clean"))</f>
        <v>Clean</v>
      </c>
    </row>
    <row r="639" customFormat="false" ht="15" hidden="false" customHeight="true" outlineLevel="0" collapsed="false">
      <c r="A639" s="3" t="s">
        <v>2045</v>
      </c>
      <c r="B639" s="4" t="n">
        <v>45438</v>
      </c>
      <c r="C639" s="4" t="n">
        <v>45438</v>
      </c>
      <c r="D639" s="3" t="s">
        <v>2046</v>
      </c>
      <c r="E639" s="3" t="s">
        <v>145</v>
      </c>
      <c r="F639" s="3" t="s">
        <v>58</v>
      </c>
      <c r="G639" s="3" t="s">
        <v>88</v>
      </c>
      <c r="H639" s="3" t="s">
        <v>43</v>
      </c>
      <c r="I639" s="3" t="s">
        <v>221</v>
      </c>
      <c r="J639" s="3" t="s">
        <v>222</v>
      </c>
      <c r="K639" s="3" t="s">
        <v>99</v>
      </c>
      <c r="L639" s="3" t="s">
        <v>105</v>
      </c>
      <c r="M639" s="3" t="s">
        <v>2047</v>
      </c>
      <c r="N639" s="3" t="s">
        <v>72</v>
      </c>
      <c r="O639" s="3" t="s">
        <v>43</v>
      </c>
      <c r="P639" s="5" t="n">
        <v>2</v>
      </c>
      <c r="Q639" s="6" t="n">
        <v>3192.47</v>
      </c>
      <c r="R639" s="3" t="s">
        <v>50</v>
      </c>
      <c r="S639" s="7" t="n">
        <v>0.2</v>
      </c>
      <c r="T639" s="3" t="s">
        <v>51</v>
      </c>
      <c r="U639" s="7" t="n">
        <f aca="false">IF(T639="Valid",S639,0)</f>
        <v>0.2</v>
      </c>
      <c r="V639" s="6" t="n">
        <v>5107.95</v>
      </c>
      <c r="W639" s="6" t="n">
        <v>3133.08</v>
      </c>
      <c r="X639" s="6" t="n">
        <v>1974.87</v>
      </c>
      <c r="Y639" s="6" t="n">
        <f aca="false">P639*Q639*(1-U639)</f>
        <v>5107.952</v>
      </c>
      <c r="Z639" s="6" t="n">
        <f aca="false">Y639-W639</f>
        <v>1974.872</v>
      </c>
      <c r="AA639" s="8" t="n">
        <f aca="false">IF(Y639=0,0,Z639/Y639)</f>
        <v>0.386626969086632</v>
      </c>
      <c r="AB639" s="3" t="str">
        <f aca="false">IF(ABS(V639-Y639)&gt;1,"Mismatch","OK")</f>
        <v>OK</v>
      </c>
      <c r="AC639" s="3" t="str">
        <f aca="false">IF(ABS(X639-Z639)&gt;1,"Mismatch","OK")</f>
        <v>OK</v>
      </c>
      <c r="AD639" s="5" t="n">
        <f aca="false">IF(OR(B639="",C639=""),"",C639-B639)</f>
        <v>0</v>
      </c>
      <c r="AE639" s="3" t="str">
        <f aca="false">IF(AD639="","Unknown",IF(AD639&lt;0,"Invalid - Ship Before Order","OK"))</f>
        <v>OK</v>
      </c>
      <c r="AF639" s="5" t="n">
        <f aca="false">IF(B639="","",MONTH(B639))</f>
        <v>5</v>
      </c>
      <c r="AG639" s="5" t="n">
        <f aca="false">IF(B639="","",YEAR(B639))</f>
        <v>2024</v>
      </c>
      <c r="AH639" s="3" t="s">
        <v>52</v>
      </c>
      <c r="AI639" s="3" t="s">
        <v>53</v>
      </c>
      <c r="AJ639" s="3" t="str">
        <f aca="false">IF(AND(AI639="Completed",AH639="Failed"),"Inconsistent - Completed Order with Failed Payment","OK")</f>
        <v>OK</v>
      </c>
      <c r="AK639" s="3" t="s">
        <v>54</v>
      </c>
      <c r="AL639" s="3" t="str">
        <f aca="false">IF(OR(T639="Negative - Invalid",T639="Above Allowed Range - Invalid",AE639="Invalid - Ship Before Order",AK639&lt;&gt;"Unique",AB639="Mismatch",AC639="Mismatch",AJ639&lt;&gt;"OK"),"Invalid",IF(OR(H639="Yes",O639="Yes",T639="Missing"),"Warning","Clean"))</f>
        <v>Clean</v>
      </c>
    </row>
    <row r="640" customFormat="false" ht="15" hidden="false" customHeight="true" outlineLevel="0" collapsed="false">
      <c r="A640" s="3" t="s">
        <v>2048</v>
      </c>
      <c r="B640" s="4" t="n">
        <v>45317</v>
      </c>
      <c r="C640" s="4" t="n">
        <v>45322</v>
      </c>
      <c r="D640" s="3" t="s">
        <v>2049</v>
      </c>
      <c r="E640" s="3" t="s">
        <v>40</v>
      </c>
      <c r="F640" s="3" t="s">
        <v>116</v>
      </c>
      <c r="G640" s="3" t="s">
        <v>78</v>
      </c>
      <c r="H640" s="3" t="s">
        <v>43</v>
      </c>
      <c r="I640" s="3" t="s">
        <v>216</v>
      </c>
      <c r="J640" s="3" t="s">
        <v>217</v>
      </c>
      <c r="K640" s="3" t="s">
        <v>46</v>
      </c>
      <c r="L640" s="3" t="s">
        <v>151</v>
      </c>
      <c r="M640" s="3" t="s">
        <v>2050</v>
      </c>
      <c r="N640" s="3" t="s">
        <v>49</v>
      </c>
      <c r="O640" s="3" t="s">
        <v>43</v>
      </c>
      <c r="P640" s="5" t="n">
        <v>3</v>
      </c>
      <c r="Q640" s="6" t="n">
        <v>3224.32</v>
      </c>
      <c r="R640" s="3" t="s">
        <v>50</v>
      </c>
      <c r="S640" s="7" t="n">
        <v>0.2</v>
      </c>
      <c r="T640" s="3" t="s">
        <v>51</v>
      </c>
      <c r="U640" s="7" t="n">
        <f aca="false">IF(T640="Valid",S640,0)</f>
        <v>0.2</v>
      </c>
      <c r="V640" s="6" t="n">
        <v>7738.37</v>
      </c>
      <c r="W640" s="6" t="n">
        <v>4626.85</v>
      </c>
      <c r="X640" s="6" t="n">
        <v>3111.52</v>
      </c>
      <c r="Y640" s="6" t="n">
        <f aca="false">P640*Q640*(1-U640)</f>
        <v>7738.368</v>
      </c>
      <c r="Z640" s="6" t="n">
        <f aca="false">Y640-W640</f>
        <v>3111.518</v>
      </c>
      <c r="AA640" s="8" t="n">
        <f aca="false">IF(Y640=0,0,Z640/Y640)</f>
        <v>0.402089691263067</v>
      </c>
      <c r="AB640" s="3" t="str">
        <f aca="false">IF(ABS(V640-Y640)&gt;1,"Mismatch","OK")</f>
        <v>OK</v>
      </c>
      <c r="AC640" s="3" t="str">
        <f aca="false">IF(ABS(X640-Z640)&gt;1,"Mismatch","OK")</f>
        <v>OK</v>
      </c>
      <c r="AD640" s="5" t="n">
        <f aca="false">IF(OR(B640="",C640=""),"",C640-B640)</f>
        <v>5</v>
      </c>
      <c r="AE640" s="3" t="str">
        <f aca="false">IF(AD640="","Unknown",IF(AD640&lt;0,"Invalid - Ship Before Order","OK"))</f>
        <v>OK</v>
      </c>
      <c r="AF640" s="5" t="n">
        <f aca="false">IF(B640="","",MONTH(B640))</f>
        <v>1</v>
      </c>
      <c r="AG640" s="5" t="n">
        <f aca="false">IF(B640="","",YEAR(B640))</f>
        <v>2024</v>
      </c>
      <c r="AH640" s="3" t="s">
        <v>185</v>
      </c>
      <c r="AI640" s="3" t="s">
        <v>130</v>
      </c>
      <c r="AJ640" s="3" t="str">
        <f aca="false">IF(AND(AI640="Completed",AH640="Failed"),"Inconsistent - Completed Order with Failed Payment","OK")</f>
        <v>OK</v>
      </c>
      <c r="AK640" s="3" t="s">
        <v>54</v>
      </c>
      <c r="AL640" s="3" t="str">
        <f aca="false">IF(OR(T640="Negative - Invalid",T640="Above Allowed Range - Invalid",AE640="Invalid - Ship Before Order",AK640&lt;&gt;"Unique",AB640="Mismatch",AC640="Mismatch",AJ640&lt;&gt;"OK"),"Invalid",IF(OR(H640="Yes",O640="Yes",T640="Missing"),"Warning","Clean"))</f>
        <v>Clean</v>
      </c>
    </row>
    <row r="641" customFormat="false" ht="15" hidden="false" customHeight="true" outlineLevel="0" collapsed="false">
      <c r="A641" s="3" t="s">
        <v>2051</v>
      </c>
      <c r="B641" s="4" t="n">
        <v>45653</v>
      </c>
      <c r="C641" s="4" t="n">
        <v>45657</v>
      </c>
      <c r="D641" s="3" t="s">
        <v>2052</v>
      </c>
      <c r="E641" s="3" t="s">
        <v>69</v>
      </c>
      <c r="F641" s="3" t="s">
        <v>58</v>
      </c>
      <c r="G641" s="3" t="s">
        <v>59</v>
      </c>
      <c r="H641" s="3" t="s">
        <v>43</v>
      </c>
      <c r="I641" s="3" t="s">
        <v>60</v>
      </c>
      <c r="J641" s="3" t="s">
        <v>61</v>
      </c>
      <c r="K641" s="3" t="s">
        <v>62</v>
      </c>
      <c r="L641" s="3" t="s">
        <v>91</v>
      </c>
      <c r="M641" s="3" t="s">
        <v>2053</v>
      </c>
      <c r="N641" s="3" t="s">
        <v>49</v>
      </c>
      <c r="O641" s="3" t="s">
        <v>43</v>
      </c>
      <c r="P641" s="5" t="n">
        <v>1</v>
      </c>
      <c r="Q641" s="6" t="n">
        <v>1594.7</v>
      </c>
      <c r="R641" s="3" t="s">
        <v>128</v>
      </c>
      <c r="S641" s="7" t="n">
        <v>0.05</v>
      </c>
      <c r="T641" s="3" t="s">
        <v>51</v>
      </c>
      <c r="U641" s="7" t="n">
        <f aca="false">IF(T641="Valid",S641,0)</f>
        <v>0.05</v>
      </c>
      <c r="V641" s="6" t="n">
        <v>1514.96</v>
      </c>
      <c r="W641" s="6" t="n">
        <v>1046.17</v>
      </c>
      <c r="X641" s="6" t="n">
        <v>468.79</v>
      </c>
      <c r="Y641" s="6" t="n">
        <f aca="false">P641*Q641*(1-U641)</f>
        <v>1514.965</v>
      </c>
      <c r="Z641" s="6" t="n">
        <f aca="false">Y641-W641</f>
        <v>468.795</v>
      </c>
      <c r="AA641" s="8" t="n">
        <f aca="false">IF(Y641=0,0,Z641/Y641)</f>
        <v>0.309442792407745</v>
      </c>
      <c r="AB641" s="3" t="str">
        <f aca="false">IF(ABS(V641-Y641)&gt;1,"Mismatch","OK")</f>
        <v>OK</v>
      </c>
      <c r="AC641" s="3" t="str">
        <f aca="false">IF(ABS(X641-Z641)&gt;1,"Mismatch","OK")</f>
        <v>OK</v>
      </c>
      <c r="AD641" s="5" t="n">
        <f aca="false">IF(OR(B641="",C641=""),"",C641-B641)</f>
        <v>4</v>
      </c>
      <c r="AE641" s="3" t="str">
        <f aca="false">IF(AD641="","Unknown",IF(AD641&lt;0,"Invalid - Ship Before Order","OK"))</f>
        <v>OK</v>
      </c>
      <c r="AF641" s="5" t="n">
        <f aca="false">IF(B641="","",MONTH(B641))</f>
        <v>12</v>
      </c>
      <c r="AG641" s="5" t="n">
        <f aca="false">IF(B641="","",YEAR(B641))</f>
        <v>2024</v>
      </c>
      <c r="AH641" s="3" t="s">
        <v>52</v>
      </c>
      <c r="AI641" s="3" t="s">
        <v>53</v>
      </c>
      <c r="AJ641" s="3" t="str">
        <f aca="false">IF(AND(AI641="Completed",AH641="Failed"),"Inconsistent - Completed Order with Failed Payment","OK")</f>
        <v>OK</v>
      </c>
      <c r="AK641" s="3" t="s">
        <v>54</v>
      </c>
      <c r="AL641" s="3" t="str">
        <f aca="false">IF(OR(T641="Negative - Invalid",T641="Above Allowed Range - Invalid",AE641="Invalid - Ship Before Order",AK641&lt;&gt;"Unique",AB641="Mismatch",AC641="Mismatch",AJ641&lt;&gt;"OK"),"Invalid",IF(OR(H641="Yes",O641="Yes",T641="Missing"),"Warning","Clean"))</f>
        <v>Clean</v>
      </c>
    </row>
    <row r="642" customFormat="false" ht="15" hidden="false" customHeight="true" outlineLevel="0" collapsed="false">
      <c r="A642" s="3" t="s">
        <v>2054</v>
      </c>
      <c r="B642" s="4" t="n">
        <v>45671</v>
      </c>
      <c r="C642" s="4" t="n">
        <v>45674</v>
      </c>
      <c r="D642" s="3" t="s">
        <v>2055</v>
      </c>
      <c r="E642" s="3" t="s">
        <v>96</v>
      </c>
      <c r="F642" s="3" t="s">
        <v>41</v>
      </c>
      <c r="G642" s="3" t="s">
        <v>88</v>
      </c>
      <c r="H642" s="3" t="s">
        <v>43</v>
      </c>
      <c r="I642" s="3" t="s">
        <v>221</v>
      </c>
      <c r="J642" s="3" t="s">
        <v>222</v>
      </c>
      <c r="K642" s="3" t="s">
        <v>46</v>
      </c>
      <c r="L642" s="3" t="s">
        <v>151</v>
      </c>
      <c r="M642" s="3" t="s">
        <v>2056</v>
      </c>
      <c r="N642" s="3" t="s">
        <v>72</v>
      </c>
      <c r="O642" s="3" t="s">
        <v>43</v>
      </c>
      <c r="P642" s="5" t="n">
        <v>1</v>
      </c>
      <c r="Q642" s="6" t="n">
        <v>1584.12</v>
      </c>
      <c r="R642" s="3" t="s">
        <v>50</v>
      </c>
      <c r="S642" s="7" t="n">
        <v>0.2</v>
      </c>
      <c r="T642" s="3" t="s">
        <v>51</v>
      </c>
      <c r="U642" s="7" t="n">
        <f aca="false">IF(T642="Valid",S642,0)</f>
        <v>0.2</v>
      </c>
      <c r="V642" s="6" t="n">
        <v>1267.3</v>
      </c>
      <c r="W642" s="6" t="n">
        <v>923.53</v>
      </c>
      <c r="X642" s="6" t="n">
        <v>343.77</v>
      </c>
      <c r="Y642" s="6" t="n">
        <f aca="false">P642*Q642*(1-U642)</f>
        <v>1267.296</v>
      </c>
      <c r="Z642" s="6" t="n">
        <f aca="false">Y642-W642</f>
        <v>343.766</v>
      </c>
      <c r="AA642" s="8" t="n">
        <f aca="false">IF(Y642=0,0,Z642/Y642)</f>
        <v>0.271259437416357</v>
      </c>
      <c r="AB642" s="3" t="str">
        <f aca="false">IF(ABS(V642-Y642)&gt;1,"Mismatch","OK")</f>
        <v>OK</v>
      </c>
      <c r="AC642" s="3" t="str">
        <f aca="false">IF(ABS(X642-Z642)&gt;1,"Mismatch","OK")</f>
        <v>OK</v>
      </c>
      <c r="AD642" s="5" t="n">
        <f aca="false">IF(OR(B642="",C642=""),"",C642-B642)</f>
        <v>3</v>
      </c>
      <c r="AE642" s="3" t="str">
        <f aca="false">IF(AD642="","Unknown",IF(AD642&lt;0,"Invalid - Ship Before Order","OK"))</f>
        <v>OK</v>
      </c>
      <c r="AF642" s="5" t="n">
        <f aca="false">IF(B642="","",MONTH(B642))</f>
        <v>1</v>
      </c>
      <c r="AG642" s="5" t="n">
        <f aca="false">IF(B642="","",YEAR(B642))</f>
        <v>2025</v>
      </c>
      <c r="AH642" s="3" t="s">
        <v>52</v>
      </c>
      <c r="AI642" s="3" t="s">
        <v>53</v>
      </c>
      <c r="AJ642" s="3" t="str">
        <f aca="false">IF(AND(AI642="Completed",AH642="Failed"),"Inconsistent - Completed Order with Failed Payment","OK")</f>
        <v>OK</v>
      </c>
      <c r="AK642" s="3" t="s">
        <v>54</v>
      </c>
      <c r="AL642" s="3" t="str">
        <f aca="false">IF(OR(T642="Negative - Invalid",T642="Above Allowed Range - Invalid",AE642="Invalid - Ship Before Order",AK642&lt;&gt;"Unique",AB642="Mismatch",AC642="Mismatch",AJ642&lt;&gt;"OK"),"Invalid",IF(OR(H642="Yes",O642="Yes",T642="Missing"),"Warning","Clean"))</f>
        <v>Clean</v>
      </c>
    </row>
    <row r="643" customFormat="false" ht="15" hidden="false" customHeight="true" outlineLevel="0" collapsed="false">
      <c r="A643" s="3" t="s">
        <v>2057</v>
      </c>
      <c r="B643" s="4" t="n">
        <v>45756</v>
      </c>
      <c r="C643" s="4" t="n">
        <v>45761</v>
      </c>
      <c r="D643" s="3" t="s">
        <v>2058</v>
      </c>
      <c r="E643" s="3" t="s">
        <v>40</v>
      </c>
      <c r="F643" s="3" t="s">
        <v>41</v>
      </c>
      <c r="G643" s="3" t="s">
        <v>42</v>
      </c>
      <c r="H643" s="3" t="s">
        <v>43</v>
      </c>
      <c r="I643" s="3" t="s">
        <v>384</v>
      </c>
      <c r="J643" s="3" t="s">
        <v>385</v>
      </c>
      <c r="K643" s="3" t="s">
        <v>62</v>
      </c>
      <c r="L643" s="3" t="s">
        <v>81</v>
      </c>
      <c r="M643" s="3" t="s">
        <v>2059</v>
      </c>
      <c r="N643" s="3" t="s">
        <v>65</v>
      </c>
      <c r="O643" s="3" t="s">
        <v>43</v>
      </c>
      <c r="P643" s="5" t="n">
        <v>2</v>
      </c>
      <c r="Q643" s="6" t="n">
        <v>3202.87</v>
      </c>
      <c r="R643" s="3" t="s">
        <v>66</v>
      </c>
      <c r="S643" s="7" t="n">
        <v>0</v>
      </c>
      <c r="T643" s="3" t="s">
        <v>51</v>
      </c>
      <c r="U643" s="7" t="n">
        <f aca="false">IF(T643="Valid",S643,0)</f>
        <v>0</v>
      </c>
      <c r="V643" s="6" t="n">
        <v>6405.74</v>
      </c>
      <c r="W643" s="6" t="n">
        <v>3561.87</v>
      </c>
      <c r="X643" s="6" t="n">
        <v>2843.87</v>
      </c>
      <c r="Y643" s="6" t="n">
        <f aca="false">P643*Q643*(1-U643)</f>
        <v>6405.74</v>
      </c>
      <c r="Z643" s="6" t="n">
        <f aca="false">Y643-W643</f>
        <v>2843.87</v>
      </c>
      <c r="AA643" s="8" t="n">
        <f aca="false">IF(Y643=0,0,Z643/Y643)</f>
        <v>0.443956514001505</v>
      </c>
      <c r="AB643" s="3" t="str">
        <f aca="false">IF(ABS(V643-Y643)&gt;1,"Mismatch","OK")</f>
        <v>OK</v>
      </c>
      <c r="AC643" s="3" t="str">
        <f aca="false">IF(ABS(X643-Z643)&gt;1,"Mismatch","OK")</f>
        <v>OK</v>
      </c>
      <c r="AD643" s="5" t="n">
        <f aca="false">IF(OR(B643="",C643=""),"",C643-B643)</f>
        <v>5</v>
      </c>
      <c r="AE643" s="3" t="str">
        <f aca="false">IF(AD643="","Unknown",IF(AD643&lt;0,"Invalid - Ship Before Order","OK"))</f>
        <v>OK</v>
      </c>
      <c r="AF643" s="5" t="n">
        <f aca="false">IF(B643="","",MONTH(B643))</f>
        <v>4</v>
      </c>
      <c r="AG643" s="5" t="n">
        <f aca="false">IF(B643="","",YEAR(B643))</f>
        <v>2025</v>
      </c>
      <c r="AH643" s="3" t="s">
        <v>52</v>
      </c>
      <c r="AI643" s="3" t="s">
        <v>53</v>
      </c>
      <c r="AJ643" s="3" t="str">
        <f aca="false">IF(AND(AI643="Completed",AH643="Failed"),"Inconsistent - Completed Order with Failed Payment","OK")</f>
        <v>OK</v>
      </c>
      <c r="AK643" s="3" t="s">
        <v>54</v>
      </c>
      <c r="AL643" s="3" t="str">
        <f aca="false">IF(OR(T643="Negative - Invalid",T643="Above Allowed Range - Invalid",AE643="Invalid - Ship Before Order",AK643&lt;&gt;"Unique",AB643="Mismatch",AC643="Mismatch",AJ643&lt;&gt;"OK"),"Invalid",IF(OR(H643="Yes",O643="Yes",T643="Missing"),"Warning","Clean"))</f>
        <v>Clean</v>
      </c>
    </row>
    <row r="644" customFormat="false" ht="15" hidden="false" customHeight="true" outlineLevel="0" collapsed="false">
      <c r="A644" s="3" t="s">
        <v>2060</v>
      </c>
      <c r="B644" s="4" t="n">
        <v>45533</v>
      </c>
      <c r="C644" s="4" t="n">
        <v>45535</v>
      </c>
      <c r="D644" s="3" t="s">
        <v>2061</v>
      </c>
      <c r="E644" s="3" t="s">
        <v>69</v>
      </c>
      <c r="F644" s="3" t="s">
        <v>121</v>
      </c>
      <c r="G644" s="3" t="s">
        <v>59</v>
      </c>
      <c r="H644" s="3" t="s">
        <v>43</v>
      </c>
      <c r="I644" s="3" t="s">
        <v>196</v>
      </c>
      <c r="J644" s="3" t="s">
        <v>197</v>
      </c>
      <c r="K644" s="3" t="s">
        <v>46</v>
      </c>
      <c r="L644" s="3" t="s">
        <v>183</v>
      </c>
      <c r="M644" s="3" t="s">
        <v>2062</v>
      </c>
      <c r="N644" s="3" t="s">
        <v>49</v>
      </c>
      <c r="O644" s="3" t="s">
        <v>43</v>
      </c>
      <c r="P644" s="5" t="n">
        <v>9</v>
      </c>
      <c r="Q644" s="6" t="n">
        <v>1275.21</v>
      </c>
      <c r="R644" s="3" t="s">
        <v>84</v>
      </c>
      <c r="S644" s="7" t="n">
        <v>0.25</v>
      </c>
      <c r="T644" s="3" t="s">
        <v>51</v>
      </c>
      <c r="U644" s="7" t="n">
        <f aca="false">IF(T644="Valid",S644,0)</f>
        <v>0.25</v>
      </c>
      <c r="V644" s="6" t="n">
        <v>8607.67</v>
      </c>
      <c r="W644" s="6" t="n">
        <v>5337.64</v>
      </c>
      <c r="X644" s="6" t="n">
        <v>3270.03</v>
      </c>
      <c r="Y644" s="6" t="n">
        <f aca="false">P644*Q644*(1-U644)</f>
        <v>8607.6675</v>
      </c>
      <c r="Z644" s="6" t="n">
        <f aca="false">Y644-W644</f>
        <v>3270.0275</v>
      </c>
      <c r="AA644" s="8" t="n">
        <f aca="false">IF(Y644=0,0,Z644/Y644)</f>
        <v>0.379897051088463</v>
      </c>
      <c r="AB644" s="3" t="str">
        <f aca="false">IF(ABS(V644-Y644)&gt;1,"Mismatch","OK")</f>
        <v>OK</v>
      </c>
      <c r="AC644" s="3" t="str">
        <f aca="false">IF(ABS(X644-Z644)&gt;1,"Mismatch","OK")</f>
        <v>OK</v>
      </c>
      <c r="AD644" s="5" t="n">
        <f aca="false">IF(OR(B644="",C644=""),"",C644-B644)</f>
        <v>2</v>
      </c>
      <c r="AE644" s="3" t="str">
        <f aca="false">IF(AD644="","Unknown",IF(AD644&lt;0,"Invalid - Ship Before Order","OK"))</f>
        <v>OK</v>
      </c>
      <c r="AF644" s="5" t="n">
        <f aca="false">IF(B644="","",MONTH(B644))</f>
        <v>8</v>
      </c>
      <c r="AG644" s="5" t="n">
        <f aca="false">IF(B644="","",YEAR(B644))</f>
        <v>2024</v>
      </c>
      <c r="AH644" s="3" t="s">
        <v>185</v>
      </c>
      <c r="AI644" s="3" t="s">
        <v>130</v>
      </c>
      <c r="AJ644" s="3" t="str">
        <f aca="false">IF(AND(AI644="Completed",AH644="Failed"),"Inconsistent - Completed Order with Failed Payment","OK")</f>
        <v>OK</v>
      </c>
      <c r="AK644" s="3" t="s">
        <v>54</v>
      </c>
      <c r="AL644" s="3" t="str">
        <f aca="false">IF(OR(T644="Negative - Invalid",T644="Above Allowed Range - Invalid",AE644="Invalid - Ship Before Order",AK644&lt;&gt;"Unique",AB644="Mismatch",AC644="Mismatch",AJ644&lt;&gt;"OK"),"Invalid",IF(OR(H644="Yes",O644="Yes",T644="Missing"),"Warning","Clean"))</f>
        <v>Clean</v>
      </c>
    </row>
    <row r="645" customFormat="false" ht="15" hidden="false" customHeight="true" outlineLevel="0" collapsed="false">
      <c r="A645" s="3" t="s">
        <v>2063</v>
      </c>
      <c r="B645" s="4" t="n">
        <v>45327</v>
      </c>
      <c r="C645" s="4" t="n">
        <v>45335</v>
      </c>
      <c r="D645" s="3" t="s">
        <v>759</v>
      </c>
      <c r="E645" s="3" t="s">
        <v>155</v>
      </c>
      <c r="F645" s="3" t="s">
        <v>121</v>
      </c>
      <c r="G645" s="3" t="s">
        <v>42</v>
      </c>
      <c r="H645" s="3" t="s">
        <v>43</v>
      </c>
      <c r="I645" s="3" t="s">
        <v>163</v>
      </c>
      <c r="J645" s="3" t="s">
        <v>164</v>
      </c>
      <c r="K645" s="3" t="s">
        <v>46</v>
      </c>
      <c r="L645" s="3" t="s">
        <v>117</v>
      </c>
      <c r="M645" s="3" t="s">
        <v>2064</v>
      </c>
      <c r="N645" s="3" t="s">
        <v>83</v>
      </c>
      <c r="O645" s="3" t="s">
        <v>43</v>
      </c>
      <c r="P645" s="5" t="n">
        <v>8</v>
      </c>
      <c r="Q645" s="6" t="n">
        <v>3871.18</v>
      </c>
      <c r="R645" s="3" t="s">
        <v>107</v>
      </c>
      <c r="S645" s="7" t="n">
        <v>0.15</v>
      </c>
      <c r="T645" s="3" t="s">
        <v>51</v>
      </c>
      <c r="U645" s="7" t="n">
        <f aca="false">IF(T645="Valid",S645,0)</f>
        <v>0.15</v>
      </c>
      <c r="V645" s="6" t="n">
        <v>26324.02</v>
      </c>
      <c r="W645" s="6" t="n">
        <v>16277.96</v>
      </c>
      <c r="X645" s="6" t="n">
        <v>10046.06</v>
      </c>
      <c r="Y645" s="6" t="n">
        <f aca="false">P645*Q645*(1-U645)</f>
        <v>26324.024</v>
      </c>
      <c r="Z645" s="6" t="n">
        <f aca="false">Y645-W645</f>
        <v>10046.064</v>
      </c>
      <c r="AA645" s="8" t="n">
        <f aca="false">IF(Y645=0,0,Z645/Y645)</f>
        <v>0.381631015075811</v>
      </c>
      <c r="AB645" s="3" t="str">
        <f aca="false">IF(ABS(V645-Y645)&gt;1,"Mismatch","OK")</f>
        <v>OK</v>
      </c>
      <c r="AC645" s="3" t="str">
        <f aca="false">IF(ABS(X645-Z645)&gt;1,"Mismatch","OK")</f>
        <v>OK</v>
      </c>
      <c r="AD645" s="5" t="n">
        <f aca="false">IF(OR(B645="",C645=""),"",C645-B645)</f>
        <v>8</v>
      </c>
      <c r="AE645" s="3" t="str">
        <f aca="false">IF(AD645="","Unknown",IF(AD645&lt;0,"Invalid - Ship Before Order","OK"))</f>
        <v>OK</v>
      </c>
      <c r="AF645" s="5" t="n">
        <f aca="false">IF(B645="","",MONTH(B645))</f>
        <v>2</v>
      </c>
      <c r="AG645" s="5" t="n">
        <f aca="false">IF(B645="","",YEAR(B645))</f>
        <v>2024</v>
      </c>
      <c r="AH645" s="3" t="s">
        <v>185</v>
      </c>
      <c r="AI645" s="3" t="s">
        <v>130</v>
      </c>
      <c r="AJ645" s="3" t="str">
        <f aca="false">IF(AND(AI645="Completed",AH645="Failed"),"Inconsistent - Completed Order with Failed Payment","OK")</f>
        <v>OK</v>
      </c>
      <c r="AK645" s="3" t="s">
        <v>54</v>
      </c>
      <c r="AL645" s="3" t="str">
        <f aca="false">IF(OR(T645="Negative - Invalid",T645="Above Allowed Range - Invalid",AE645="Invalid - Ship Before Order",AK645&lt;&gt;"Unique",AB645="Mismatch",AC645="Mismatch",AJ645&lt;&gt;"OK"),"Invalid",IF(OR(H645="Yes",O645="Yes",T645="Missing"),"Warning","Clean"))</f>
        <v>Clean</v>
      </c>
    </row>
    <row r="646" customFormat="false" ht="15" hidden="false" customHeight="true" outlineLevel="0" collapsed="false">
      <c r="A646" s="3" t="s">
        <v>2065</v>
      </c>
      <c r="B646" s="4" t="n">
        <v>45757</v>
      </c>
      <c r="C646" s="4" t="n">
        <v>45764</v>
      </c>
      <c r="D646" s="3" t="s">
        <v>2066</v>
      </c>
      <c r="E646" s="3" t="s">
        <v>96</v>
      </c>
      <c r="F646" s="3" t="s">
        <v>41</v>
      </c>
      <c r="G646" s="3" t="s">
        <v>59</v>
      </c>
      <c r="H646" s="3" t="s">
        <v>43</v>
      </c>
      <c r="I646" s="3" t="s">
        <v>125</v>
      </c>
      <c r="J646" s="3" t="s">
        <v>126</v>
      </c>
      <c r="K646" s="3" t="s">
        <v>62</v>
      </c>
      <c r="L646" s="3" t="s">
        <v>91</v>
      </c>
      <c r="M646" s="3" t="s">
        <v>2067</v>
      </c>
      <c r="N646" s="3" t="s">
        <v>83</v>
      </c>
      <c r="O646" s="3" t="s">
        <v>43</v>
      </c>
      <c r="P646" s="5" t="n">
        <v>4</v>
      </c>
      <c r="Q646" s="6" t="n">
        <v>3750.02</v>
      </c>
      <c r="R646" s="3" t="s">
        <v>128</v>
      </c>
      <c r="S646" s="7" t="n">
        <v>0.05</v>
      </c>
      <c r="T646" s="3" t="s">
        <v>51</v>
      </c>
      <c r="U646" s="7" t="n">
        <f aca="false">IF(T646="Valid",S646,0)</f>
        <v>0.05</v>
      </c>
      <c r="V646" s="6" t="n">
        <v>14250.08</v>
      </c>
      <c r="W646" s="6" t="n">
        <v>10914.92</v>
      </c>
      <c r="X646" s="6" t="n">
        <v>3335.16</v>
      </c>
      <c r="Y646" s="6" t="n">
        <f aca="false">P646*Q646*(1-U646)</f>
        <v>14250.076</v>
      </c>
      <c r="Z646" s="6" t="n">
        <f aca="false">Y646-W646</f>
        <v>3335.156</v>
      </c>
      <c r="AA646" s="8" t="n">
        <f aca="false">IF(Y646=0,0,Z646/Y646)</f>
        <v>0.234044786848856</v>
      </c>
      <c r="AB646" s="3" t="str">
        <f aca="false">IF(ABS(V646-Y646)&gt;1,"Mismatch","OK")</f>
        <v>OK</v>
      </c>
      <c r="AC646" s="3" t="str">
        <f aca="false">IF(ABS(X646-Z646)&gt;1,"Mismatch","OK")</f>
        <v>OK</v>
      </c>
      <c r="AD646" s="5" t="n">
        <f aca="false">IF(OR(B646="",C646=""),"",C646-B646)</f>
        <v>7</v>
      </c>
      <c r="AE646" s="3" t="str">
        <f aca="false">IF(AD646="","Unknown",IF(AD646&lt;0,"Invalid - Ship Before Order","OK"))</f>
        <v>OK</v>
      </c>
      <c r="AF646" s="5" t="n">
        <f aca="false">IF(B646="","",MONTH(B646))</f>
        <v>4</v>
      </c>
      <c r="AG646" s="5" t="n">
        <f aca="false">IF(B646="","",YEAR(B646))</f>
        <v>2025</v>
      </c>
      <c r="AH646" s="3" t="s">
        <v>52</v>
      </c>
      <c r="AI646" s="3" t="s">
        <v>53</v>
      </c>
      <c r="AJ646" s="3" t="str">
        <f aca="false">IF(AND(AI646="Completed",AH646="Failed"),"Inconsistent - Completed Order with Failed Payment","OK")</f>
        <v>OK</v>
      </c>
      <c r="AK646" s="3" t="s">
        <v>54</v>
      </c>
      <c r="AL646" s="3" t="str">
        <f aca="false">IF(OR(T646="Negative - Invalid",T646="Above Allowed Range - Invalid",AE646="Invalid - Ship Before Order",AK646&lt;&gt;"Unique",AB646="Mismatch",AC646="Mismatch",AJ646&lt;&gt;"OK"),"Invalid",IF(OR(H646="Yes",O646="Yes",T646="Missing"),"Warning","Clean"))</f>
        <v>Clean</v>
      </c>
    </row>
    <row r="647" customFormat="false" ht="15" hidden="false" customHeight="true" outlineLevel="0" collapsed="false">
      <c r="A647" s="3" t="s">
        <v>2068</v>
      </c>
      <c r="B647" s="4" t="n">
        <v>45295</v>
      </c>
      <c r="C647" s="4" t="n">
        <v>45300</v>
      </c>
      <c r="D647" s="3" t="s">
        <v>2069</v>
      </c>
      <c r="E647" s="3" t="s">
        <v>298</v>
      </c>
      <c r="F647" s="3" t="s">
        <v>41</v>
      </c>
      <c r="G647" s="3" t="s">
        <v>59</v>
      </c>
      <c r="H647" s="3" t="s">
        <v>43</v>
      </c>
      <c r="I647" s="3" t="s">
        <v>174</v>
      </c>
      <c r="J647" s="3" t="s">
        <v>175</v>
      </c>
      <c r="K647" s="3" t="s">
        <v>62</v>
      </c>
      <c r="L647" s="3" t="s">
        <v>91</v>
      </c>
      <c r="M647" s="3" t="s">
        <v>2070</v>
      </c>
      <c r="N647" s="3" t="s">
        <v>49</v>
      </c>
      <c r="O647" s="3" t="s">
        <v>43</v>
      </c>
      <c r="P647" s="5" t="n">
        <v>6</v>
      </c>
      <c r="Q647" s="6" t="n">
        <v>2423.61</v>
      </c>
      <c r="R647" s="3" t="s">
        <v>203</v>
      </c>
      <c r="S647" s="7" t="n">
        <v>0.1</v>
      </c>
      <c r="T647" s="3" t="s">
        <v>51</v>
      </c>
      <c r="U647" s="7" t="n">
        <f aca="false">IF(T647="Valid",S647,0)</f>
        <v>0.1</v>
      </c>
      <c r="V647" s="6" t="n">
        <v>13087.49</v>
      </c>
      <c r="W647" s="6" t="n">
        <v>7608.89</v>
      </c>
      <c r="X647" s="6" t="n">
        <v>5133.22</v>
      </c>
      <c r="Y647" s="6" t="n">
        <f aca="false">P647*Q647*(1-U647)</f>
        <v>13087.494</v>
      </c>
      <c r="Z647" s="6" t="n">
        <f aca="false">Y647-W647</f>
        <v>5478.604</v>
      </c>
      <c r="AA647" s="8" t="n">
        <f aca="false">IF(Y647=0,0,Z647/Y647)</f>
        <v>0.418613678065488</v>
      </c>
      <c r="AB647" s="3" t="str">
        <f aca="false">IF(ABS(V647-Y647)&gt;1,"Mismatch","OK")</f>
        <v>OK</v>
      </c>
      <c r="AC647" s="3" t="str">
        <f aca="false">IF(ABS(X647-Z647)&gt;1,"Mismatch","OK")</f>
        <v>Mismatch</v>
      </c>
      <c r="AD647" s="5" t="n">
        <f aca="false">IF(OR(B647="",C647=""),"",C647-B647)</f>
        <v>5</v>
      </c>
      <c r="AE647" s="3" t="str">
        <f aca="false">IF(AD647="","Unknown",IF(AD647&lt;0,"Invalid - Ship Before Order","OK"))</f>
        <v>OK</v>
      </c>
      <c r="AF647" s="5" t="n">
        <f aca="false">IF(B647="","",MONTH(B647))</f>
        <v>1</v>
      </c>
      <c r="AG647" s="5" t="n">
        <f aca="false">IF(B647="","",YEAR(B647))</f>
        <v>2024</v>
      </c>
      <c r="AH647" s="3" t="s">
        <v>52</v>
      </c>
      <c r="AI647" s="3" t="s">
        <v>53</v>
      </c>
      <c r="AJ647" s="3" t="str">
        <f aca="false">IF(AND(AI647="Completed",AH647="Failed"),"Inconsistent - Completed Order with Failed Payment","OK")</f>
        <v>OK</v>
      </c>
      <c r="AK647" s="3" t="s">
        <v>54</v>
      </c>
      <c r="AL647" s="3" t="str">
        <f aca="false">IF(OR(T647="Negative - Invalid",T647="Above Allowed Range - Invalid",AE647="Invalid - Ship Before Order",AK647&lt;&gt;"Unique",AB647="Mismatch",AC647="Mismatch",AJ647&lt;&gt;"OK"),"Invalid",IF(OR(H647="Yes",O647="Yes",T647="Missing"),"Warning","Clean"))</f>
        <v>Invalid</v>
      </c>
    </row>
    <row r="648" customFormat="false" ht="15" hidden="false" customHeight="true" outlineLevel="0" collapsed="false">
      <c r="A648" s="3" t="s">
        <v>2071</v>
      </c>
      <c r="B648" s="4" t="n">
        <v>45553</v>
      </c>
      <c r="C648" s="4" t="n">
        <v>45559</v>
      </c>
      <c r="D648" s="3" t="s">
        <v>2072</v>
      </c>
      <c r="E648" s="3" t="s">
        <v>96</v>
      </c>
      <c r="F648" s="3" t="s">
        <v>58</v>
      </c>
      <c r="G648" s="3" t="s">
        <v>59</v>
      </c>
      <c r="H648" s="3" t="s">
        <v>43</v>
      </c>
      <c r="I648" s="3" t="s">
        <v>262</v>
      </c>
      <c r="J648" s="3" t="s">
        <v>263</v>
      </c>
      <c r="K648" s="3" t="s">
        <v>99</v>
      </c>
      <c r="L648" s="3" t="s">
        <v>308</v>
      </c>
      <c r="M648" s="3" t="s">
        <v>2073</v>
      </c>
      <c r="N648" s="3" t="s">
        <v>72</v>
      </c>
      <c r="O648" s="3" t="s">
        <v>43</v>
      </c>
      <c r="P648" s="5" t="n">
        <v>3</v>
      </c>
      <c r="Q648" s="6" t="n">
        <v>729.14</v>
      </c>
      <c r="R648" s="3" t="s">
        <v>84</v>
      </c>
      <c r="S648" s="7" t="n">
        <v>0.25</v>
      </c>
      <c r="T648" s="3" t="s">
        <v>51</v>
      </c>
      <c r="U648" s="7" t="n">
        <f aca="false">IF(T648="Valid",S648,0)</f>
        <v>0.25</v>
      </c>
      <c r="V648" s="6" t="n">
        <v>1640.57</v>
      </c>
      <c r="W648" s="6" t="n">
        <v>1136.98</v>
      </c>
      <c r="X648" s="6" t="n">
        <v>503.59</v>
      </c>
      <c r="Y648" s="6" t="n">
        <f aca="false">P648*Q648*(1-U648)</f>
        <v>1640.565</v>
      </c>
      <c r="Z648" s="6" t="n">
        <f aca="false">Y648-W648</f>
        <v>503.585</v>
      </c>
      <c r="AA648" s="8" t="n">
        <f aca="false">IF(Y648=0,0,Z648/Y648)</f>
        <v>0.306958273521622</v>
      </c>
      <c r="AB648" s="3" t="str">
        <f aca="false">IF(ABS(V648-Y648)&gt;1,"Mismatch","OK")</f>
        <v>OK</v>
      </c>
      <c r="AC648" s="3" t="str">
        <f aca="false">IF(ABS(X648-Z648)&gt;1,"Mismatch","OK")</f>
        <v>OK</v>
      </c>
      <c r="AD648" s="5" t="n">
        <f aca="false">IF(OR(B648="",C648=""),"",C648-B648)</f>
        <v>6</v>
      </c>
      <c r="AE648" s="3" t="str">
        <f aca="false">IF(AD648="","Unknown",IF(AD648&lt;0,"Invalid - Ship Before Order","OK"))</f>
        <v>OK</v>
      </c>
      <c r="AF648" s="5" t="n">
        <f aca="false">IF(B648="","",MONTH(B648))</f>
        <v>9</v>
      </c>
      <c r="AG648" s="5" t="n">
        <f aca="false">IF(B648="","",YEAR(B648))</f>
        <v>2024</v>
      </c>
      <c r="AH648" s="3" t="s">
        <v>52</v>
      </c>
      <c r="AI648" s="3" t="s">
        <v>53</v>
      </c>
      <c r="AJ648" s="3" t="str">
        <f aca="false">IF(AND(AI648="Completed",AH648="Failed"),"Inconsistent - Completed Order with Failed Payment","OK")</f>
        <v>OK</v>
      </c>
      <c r="AK648" s="3" t="s">
        <v>54</v>
      </c>
      <c r="AL648" s="3" t="str">
        <f aca="false">IF(OR(T648="Negative - Invalid",T648="Above Allowed Range - Invalid",AE648="Invalid - Ship Before Order",AK648&lt;&gt;"Unique",AB648="Mismatch",AC648="Mismatch",AJ648&lt;&gt;"OK"),"Invalid",IF(OR(H648="Yes",O648="Yes",T648="Missing"),"Warning","Clean"))</f>
        <v>Clean</v>
      </c>
    </row>
    <row r="649" customFormat="false" ht="15" hidden="false" customHeight="true" outlineLevel="0" collapsed="false">
      <c r="A649" s="3" t="s">
        <v>2074</v>
      </c>
      <c r="B649" s="4" t="n">
        <v>45658</v>
      </c>
      <c r="C649" s="4" t="n">
        <v>45666</v>
      </c>
      <c r="D649" s="3" t="s">
        <v>2075</v>
      </c>
      <c r="E649" s="3" t="s">
        <v>168</v>
      </c>
      <c r="F649" s="3" t="s">
        <v>58</v>
      </c>
      <c r="G649" s="3" t="s">
        <v>42</v>
      </c>
      <c r="H649" s="3" t="s">
        <v>43</v>
      </c>
      <c r="I649" s="3" t="s">
        <v>149</v>
      </c>
      <c r="J649" s="3" t="s">
        <v>150</v>
      </c>
      <c r="K649" s="3" t="s">
        <v>46</v>
      </c>
      <c r="L649" s="3" t="s">
        <v>70</v>
      </c>
      <c r="M649" s="3" t="s">
        <v>2076</v>
      </c>
      <c r="N649" s="3" t="s">
        <v>72</v>
      </c>
      <c r="O649" s="3" t="s">
        <v>43</v>
      </c>
      <c r="P649" s="5" t="n">
        <v>8</v>
      </c>
      <c r="Q649" s="6" t="n">
        <v>2123.81</v>
      </c>
      <c r="R649" s="3" t="s">
        <v>107</v>
      </c>
      <c r="S649" s="7" t="n">
        <v>0.15</v>
      </c>
      <c r="T649" s="3" t="s">
        <v>51</v>
      </c>
      <c r="U649" s="7" t="n">
        <f aca="false">IF(T649="Valid",S649,0)</f>
        <v>0.15</v>
      </c>
      <c r="V649" s="6" t="n">
        <v>14441.91</v>
      </c>
      <c r="W649" s="6" t="n">
        <v>10872.89</v>
      </c>
      <c r="X649" s="6" t="n">
        <v>3569.02</v>
      </c>
      <c r="Y649" s="6" t="n">
        <f aca="false">P649*Q649*(1-U649)</f>
        <v>14441.908</v>
      </c>
      <c r="Z649" s="6" t="n">
        <f aca="false">Y649-W649</f>
        <v>3569.018</v>
      </c>
      <c r="AA649" s="8" t="n">
        <f aca="false">IF(Y649=0,0,Z649/Y649)</f>
        <v>0.247129257436067</v>
      </c>
      <c r="AB649" s="3" t="str">
        <f aca="false">IF(ABS(V649-Y649)&gt;1,"Mismatch","OK")</f>
        <v>OK</v>
      </c>
      <c r="AC649" s="3" t="str">
        <f aca="false">IF(ABS(X649-Z649)&gt;1,"Mismatch","OK")</f>
        <v>OK</v>
      </c>
      <c r="AD649" s="5" t="n">
        <f aca="false">IF(OR(B649="",C649=""),"",C649-B649)</f>
        <v>8</v>
      </c>
      <c r="AE649" s="3" t="str">
        <f aca="false">IF(AD649="","Unknown",IF(AD649&lt;0,"Invalid - Ship Before Order","OK"))</f>
        <v>OK</v>
      </c>
      <c r="AF649" s="5" t="n">
        <f aca="false">IF(B649="","",MONTH(B649))</f>
        <v>1</v>
      </c>
      <c r="AG649" s="5" t="n">
        <f aca="false">IF(B649="","",YEAR(B649))</f>
        <v>2025</v>
      </c>
      <c r="AH649" s="3" t="s">
        <v>52</v>
      </c>
      <c r="AI649" s="3" t="s">
        <v>53</v>
      </c>
      <c r="AJ649" s="3" t="str">
        <f aca="false">IF(AND(AI649="Completed",AH649="Failed"),"Inconsistent - Completed Order with Failed Payment","OK")</f>
        <v>OK</v>
      </c>
      <c r="AK649" s="3" t="s">
        <v>54</v>
      </c>
      <c r="AL649" s="3" t="str">
        <f aca="false">IF(OR(T649="Negative - Invalid",T649="Above Allowed Range - Invalid",AE649="Invalid - Ship Before Order",AK649&lt;&gt;"Unique",AB649="Mismatch",AC649="Mismatch",AJ649&lt;&gt;"OK"),"Invalid",IF(OR(H649="Yes",O649="Yes",T649="Missing"),"Warning","Clean"))</f>
        <v>Clean</v>
      </c>
    </row>
    <row r="650" customFormat="false" ht="15" hidden="false" customHeight="true" outlineLevel="0" collapsed="false">
      <c r="A650" s="3" t="s">
        <v>2077</v>
      </c>
      <c r="B650" s="4" t="n">
        <v>45403</v>
      </c>
      <c r="C650" s="4" t="n">
        <v>45406</v>
      </c>
      <c r="D650" s="3" t="s">
        <v>2078</v>
      </c>
      <c r="E650" s="3" t="s">
        <v>104</v>
      </c>
      <c r="F650" s="3" t="s">
        <v>58</v>
      </c>
      <c r="G650" s="3" t="s">
        <v>78</v>
      </c>
      <c r="H650" s="3" t="s">
        <v>43</v>
      </c>
      <c r="I650" s="3" t="s">
        <v>110</v>
      </c>
      <c r="J650" s="3" t="s">
        <v>111</v>
      </c>
      <c r="K650" s="3" t="s">
        <v>46</v>
      </c>
      <c r="L650" s="3" t="s">
        <v>70</v>
      </c>
      <c r="M650" s="3" t="s">
        <v>2079</v>
      </c>
      <c r="N650" s="3" t="s">
        <v>65</v>
      </c>
      <c r="O650" s="3" t="s">
        <v>43</v>
      </c>
      <c r="P650" s="5" t="n">
        <v>9</v>
      </c>
      <c r="Q650" s="6" t="n">
        <v>703.59</v>
      </c>
      <c r="R650" s="3" t="s">
        <v>50</v>
      </c>
      <c r="S650" s="7" t="n">
        <v>0.2</v>
      </c>
      <c r="T650" s="3" t="s">
        <v>51</v>
      </c>
      <c r="U650" s="7" t="n">
        <f aca="false">IF(T650="Valid",S650,0)</f>
        <v>0.2</v>
      </c>
      <c r="V650" s="6" t="n">
        <v>5065.85</v>
      </c>
      <c r="W650" s="6" t="n">
        <v>3517.23</v>
      </c>
      <c r="X650" s="6" t="n">
        <v>1548.62</v>
      </c>
      <c r="Y650" s="6" t="n">
        <f aca="false">P650*Q650*(1-U650)</f>
        <v>5065.848</v>
      </c>
      <c r="Z650" s="6" t="n">
        <f aca="false">Y650-W650</f>
        <v>1548.618</v>
      </c>
      <c r="AA650" s="8" t="n">
        <f aca="false">IF(Y650=0,0,Z650/Y650)</f>
        <v>0.305697683783643</v>
      </c>
      <c r="AB650" s="3" t="str">
        <f aca="false">IF(ABS(V650-Y650)&gt;1,"Mismatch","OK")</f>
        <v>OK</v>
      </c>
      <c r="AC650" s="3" t="str">
        <f aca="false">IF(ABS(X650-Z650)&gt;1,"Mismatch","OK")</f>
        <v>OK</v>
      </c>
      <c r="AD650" s="5" t="n">
        <f aca="false">IF(OR(B650="",C650=""),"",C650-B650)</f>
        <v>3</v>
      </c>
      <c r="AE650" s="3" t="str">
        <f aca="false">IF(AD650="","Unknown",IF(AD650&lt;0,"Invalid - Ship Before Order","OK"))</f>
        <v>OK</v>
      </c>
      <c r="AF650" s="5" t="n">
        <f aca="false">IF(B650="","",MONTH(B650))</f>
        <v>4</v>
      </c>
      <c r="AG650" s="5" t="n">
        <f aca="false">IF(B650="","",YEAR(B650))</f>
        <v>2024</v>
      </c>
      <c r="AH650" s="3" t="s">
        <v>185</v>
      </c>
      <c r="AI650" s="3" t="s">
        <v>130</v>
      </c>
      <c r="AJ650" s="3" t="str">
        <f aca="false">IF(AND(AI650="Completed",AH650="Failed"),"Inconsistent - Completed Order with Failed Payment","OK")</f>
        <v>OK</v>
      </c>
      <c r="AK650" s="3" t="s">
        <v>54</v>
      </c>
      <c r="AL650" s="3" t="str">
        <f aca="false">IF(OR(T650="Negative - Invalid",T650="Above Allowed Range - Invalid",AE650="Invalid - Ship Before Order",AK650&lt;&gt;"Unique",AB650="Mismatch",AC650="Mismatch",AJ650&lt;&gt;"OK"),"Invalid",IF(OR(H650="Yes",O650="Yes",T650="Missing"),"Warning","Clean"))</f>
        <v>Clean</v>
      </c>
    </row>
    <row r="651" customFormat="false" ht="15" hidden="false" customHeight="true" outlineLevel="0" collapsed="false">
      <c r="A651" s="3" t="s">
        <v>2080</v>
      </c>
      <c r="B651" s="4" t="n">
        <v>45880</v>
      </c>
      <c r="C651" s="4" t="n">
        <v>45888</v>
      </c>
      <c r="D651" s="3" t="s">
        <v>2081</v>
      </c>
      <c r="E651" s="3" t="s">
        <v>298</v>
      </c>
      <c r="F651" s="3" t="s">
        <v>58</v>
      </c>
      <c r="G651" s="3" t="s">
        <v>78</v>
      </c>
      <c r="H651" s="3" t="s">
        <v>43</v>
      </c>
      <c r="I651" s="3" t="s">
        <v>216</v>
      </c>
      <c r="J651" s="3" t="s">
        <v>217</v>
      </c>
      <c r="K651" s="3" t="s">
        <v>99</v>
      </c>
      <c r="L651" s="3" t="s">
        <v>100</v>
      </c>
      <c r="M651" s="3" t="s">
        <v>2082</v>
      </c>
      <c r="N651" s="3" t="s">
        <v>83</v>
      </c>
      <c r="O651" s="3" t="s">
        <v>43</v>
      </c>
      <c r="P651" s="5" t="n">
        <v>4</v>
      </c>
      <c r="Q651" s="6" t="n">
        <v>2258.96</v>
      </c>
      <c r="R651" s="3" t="s">
        <v>84</v>
      </c>
      <c r="S651" s="7" t="n">
        <v>0.25</v>
      </c>
      <c r="T651" s="3" t="s">
        <v>51</v>
      </c>
      <c r="U651" s="7" t="n">
        <f aca="false">IF(T651="Valid",S651,0)</f>
        <v>0.25</v>
      </c>
      <c r="V651" s="6" t="n">
        <v>6776.88</v>
      </c>
      <c r="W651" s="6" t="n">
        <v>3836.24</v>
      </c>
      <c r="X651" s="6" t="n">
        <v>2940.64</v>
      </c>
      <c r="Y651" s="6" t="n">
        <f aca="false">P651*Q651*(1-U651)</f>
        <v>6776.88</v>
      </c>
      <c r="Z651" s="6" t="n">
        <f aca="false">Y651-W651</f>
        <v>2940.64</v>
      </c>
      <c r="AA651" s="8" t="n">
        <f aca="false">IF(Y651=0,0,Z651/Y651)</f>
        <v>0.433922394966415</v>
      </c>
      <c r="AB651" s="3" t="str">
        <f aca="false">IF(ABS(V651-Y651)&gt;1,"Mismatch","OK")</f>
        <v>OK</v>
      </c>
      <c r="AC651" s="3" t="str">
        <f aca="false">IF(ABS(X651-Z651)&gt;1,"Mismatch","OK")</f>
        <v>OK</v>
      </c>
      <c r="AD651" s="5" t="n">
        <f aca="false">IF(OR(B651="",C651=""),"",C651-B651)</f>
        <v>8</v>
      </c>
      <c r="AE651" s="3" t="str">
        <f aca="false">IF(AD651="","Unknown",IF(AD651&lt;0,"Invalid - Ship Before Order","OK"))</f>
        <v>OK</v>
      </c>
      <c r="AF651" s="5" t="n">
        <f aca="false">IF(B651="","",MONTH(B651))</f>
        <v>8</v>
      </c>
      <c r="AG651" s="5" t="n">
        <f aca="false">IF(B651="","",YEAR(B651))</f>
        <v>2025</v>
      </c>
      <c r="AH651" s="3" t="s">
        <v>52</v>
      </c>
      <c r="AI651" s="3" t="s">
        <v>53</v>
      </c>
      <c r="AJ651" s="3" t="str">
        <f aca="false">IF(AND(AI651="Completed",AH651="Failed"),"Inconsistent - Completed Order with Failed Payment","OK")</f>
        <v>OK</v>
      </c>
      <c r="AK651" s="3" t="s">
        <v>54</v>
      </c>
      <c r="AL651" s="3" t="str">
        <f aca="false">IF(OR(T651="Negative - Invalid",T651="Above Allowed Range - Invalid",AE651="Invalid - Ship Before Order",AK651&lt;&gt;"Unique",AB651="Mismatch",AC651="Mismatch",AJ651&lt;&gt;"OK"),"Invalid",IF(OR(H651="Yes",O651="Yes",T651="Missing"),"Warning","Clean"))</f>
        <v>Clean</v>
      </c>
    </row>
    <row r="652" customFormat="false" ht="15" hidden="false" customHeight="true" outlineLevel="0" collapsed="false">
      <c r="A652" s="3" t="s">
        <v>2083</v>
      </c>
      <c r="B652" s="4" t="n">
        <v>45395</v>
      </c>
      <c r="C652" s="4" t="n">
        <v>45403</v>
      </c>
      <c r="D652" s="3" t="s">
        <v>412</v>
      </c>
      <c r="E652" s="3" t="s">
        <v>155</v>
      </c>
      <c r="F652" s="3" t="s">
        <v>121</v>
      </c>
      <c r="G652" s="3" t="s">
        <v>59</v>
      </c>
      <c r="H652" s="3" t="s">
        <v>43</v>
      </c>
      <c r="I652" s="3" t="s">
        <v>174</v>
      </c>
      <c r="J652" s="3" t="s">
        <v>175</v>
      </c>
      <c r="K652" s="3" t="s">
        <v>99</v>
      </c>
      <c r="L652" s="3" t="s">
        <v>100</v>
      </c>
      <c r="M652" s="3" t="s">
        <v>2084</v>
      </c>
      <c r="N652" s="3" t="s">
        <v>65</v>
      </c>
      <c r="O652" s="3" t="s">
        <v>43</v>
      </c>
      <c r="P652" s="5" t="n">
        <v>7</v>
      </c>
      <c r="Q652" s="6" t="n">
        <v>2648.76</v>
      </c>
      <c r="R652" s="3" t="s">
        <v>107</v>
      </c>
      <c r="S652" s="7" t="n">
        <v>0.15</v>
      </c>
      <c r="T652" s="3" t="s">
        <v>51</v>
      </c>
      <c r="U652" s="7" t="n">
        <f aca="false">IF(T652="Valid",S652,0)</f>
        <v>0.15</v>
      </c>
      <c r="V652" s="6" t="n">
        <v>15760.12</v>
      </c>
      <c r="W652" s="6" t="n">
        <v>9931.53</v>
      </c>
      <c r="X652" s="6" t="n">
        <v>5828.59</v>
      </c>
      <c r="Y652" s="6" t="n">
        <f aca="false">P652*Q652*(1-U652)</f>
        <v>15760.122</v>
      </c>
      <c r="Z652" s="6" t="n">
        <f aca="false">Y652-W652</f>
        <v>5828.592</v>
      </c>
      <c r="AA652" s="8" t="n">
        <f aca="false">IF(Y652=0,0,Z652/Y652)</f>
        <v>0.369831654856479</v>
      </c>
      <c r="AB652" s="3" t="str">
        <f aca="false">IF(ABS(V652-Y652)&gt;1,"Mismatch","OK")</f>
        <v>OK</v>
      </c>
      <c r="AC652" s="3" t="str">
        <f aca="false">IF(ABS(X652-Z652)&gt;1,"Mismatch","OK")</f>
        <v>OK</v>
      </c>
      <c r="AD652" s="5" t="n">
        <f aca="false">IF(OR(B652="",C652=""),"",C652-B652)</f>
        <v>8</v>
      </c>
      <c r="AE652" s="3" t="str">
        <f aca="false">IF(AD652="","Unknown",IF(AD652&lt;0,"Invalid - Ship Before Order","OK"))</f>
        <v>OK</v>
      </c>
      <c r="AF652" s="5" t="n">
        <f aca="false">IF(B652="","",MONTH(B652))</f>
        <v>4</v>
      </c>
      <c r="AG652" s="5" t="n">
        <f aca="false">IF(B652="","",YEAR(B652))</f>
        <v>2024</v>
      </c>
      <c r="AH652" s="3" t="s">
        <v>185</v>
      </c>
      <c r="AI652" s="3" t="s">
        <v>130</v>
      </c>
      <c r="AJ652" s="3" t="str">
        <f aca="false">IF(AND(AI652="Completed",AH652="Failed"),"Inconsistent - Completed Order with Failed Payment","OK")</f>
        <v>OK</v>
      </c>
      <c r="AK652" s="3" t="s">
        <v>54</v>
      </c>
      <c r="AL652" s="3" t="str">
        <f aca="false">IF(OR(T652="Negative - Invalid",T652="Above Allowed Range - Invalid",AE652="Invalid - Ship Before Order",AK652&lt;&gt;"Unique",AB652="Mismatch",AC652="Mismatch",AJ652&lt;&gt;"OK"),"Invalid",IF(OR(H652="Yes",O652="Yes",T652="Missing"),"Warning","Clean"))</f>
        <v>Clean</v>
      </c>
    </row>
    <row r="653" customFormat="false" ht="15" hidden="false" customHeight="true" outlineLevel="0" collapsed="false">
      <c r="A653" s="3" t="s">
        <v>2085</v>
      </c>
      <c r="B653" s="4" t="n">
        <v>45875</v>
      </c>
      <c r="C653" s="4" t="n">
        <v>45878</v>
      </c>
      <c r="D653" s="3" t="s">
        <v>2086</v>
      </c>
      <c r="E653" s="3" t="s">
        <v>57</v>
      </c>
      <c r="F653" s="3" t="s">
        <v>58</v>
      </c>
      <c r="G653" s="3" t="s">
        <v>78</v>
      </c>
      <c r="H653" s="3" t="s">
        <v>43</v>
      </c>
      <c r="I653" s="3" t="s">
        <v>110</v>
      </c>
      <c r="J653" s="3" t="s">
        <v>111</v>
      </c>
      <c r="K653" s="3" t="s">
        <v>46</v>
      </c>
      <c r="L653" s="3" t="s">
        <v>47</v>
      </c>
      <c r="M653" s="3" t="s">
        <v>2087</v>
      </c>
      <c r="N653" s="3" t="s">
        <v>49</v>
      </c>
      <c r="O653" s="3" t="s">
        <v>43</v>
      </c>
      <c r="P653" s="5" t="n">
        <v>3</v>
      </c>
      <c r="Q653" s="6" t="n">
        <v>598.55</v>
      </c>
      <c r="R653" s="3" t="s">
        <v>66</v>
      </c>
      <c r="S653" s="7" t="n">
        <v>0</v>
      </c>
      <c r="T653" s="3" t="s">
        <v>51</v>
      </c>
      <c r="U653" s="7" t="n">
        <f aca="false">IF(T653="Valid",S653,0)</f>
        <v>0</v>
      </c>
      <c r="V653" s="6" t="n">
        <v>1795.65</v>
      </c>
      <c r="W653" s="6" t="n">
        <v>996.72</v>
      </c>
      <c r="X653" s="6" t="n">
        <v>798.93</v>
      </c>
      <c r="Y653" s="6" t="n">
        <f aca="false">P653*Q653*(1-U653)</f>
        <v>1795.65</v>
      </c>
      <c r="Z653" s="6" t="n">
        <f aca="false">Y653-W653</f>
        <v>798.93</v>
      </c>
      <c r="AA653" s="8" t="n">
        <f aca="false">IF(Y653=0,0,Z653/Y653)</f>
        <v>0.444925235986968</v>
      </c>
      <c r="AB653" s="3" t="str">
        <f aca="false">IF(ABS(V653-Y653)&gt;1,"Mismatch","OK")</f>
        <v>OK</v>
      </c>
      <c r="AC653" s="3" t="str">
        <f aca="false">IF(ABS(X653-Z653)&gt;1,"Mismatch","OK")</f>
        <v>OK</v>
      </c>
      <c r="AD653" s="5" t="n">
        <f aca="false">IF(OR(B653="",C653=""),"",C653-B653)</f>
        <v>3</v>
      </c>
      <c r="AE653" s="3" t="str">
        <f aca="false">IF(AD653="","Unknown",IF(AD653&lt;0,"Invalid - Ship Before Order","OK"))</f>
        <v>OK</v>
      </c>
      <c r="AF653" s="5" t="n">
        <f aca="false">IF(B653="","",MONTH(B653))</f>
        <v>8</v>
      </c>
      <c r="AG653" s="5" t="n">
        <f aca="false">IF(B653="","",YEAR(B653))</f>
        <v>2025</v>
      </c>
      <c r="AH653" s="3" t="s">
        <v>52</v>
      </c>
      <c r="AI653" s="3" t="s">
        <v>53</v>
      </c>
      <c r="AJ653" s="3" t="str">
        <f aca="false">IF(AND(AI653="Completed",AH653="Failed"),"Inconsistent - Completed Order with Failed Payment","OK")</f>
        <v>OK</v>
      </c>
      <c r="AK653" s="3" t="s">
        <v>54</v>
      </c>
      <c r="AL653" s="3" t="str">
        <f aca="false">IF(OR(T653="Negative - Invalid",T653="Above Allowed Range - Invalid",AE653="Invalid - Ship Before Order",AK653&lt;&gt;"Unique",AB653="Mismatch",AC653="Mismatch",AJ653&lt;&gt;"OK"),"Invalid",IF(OR(H653="Yes",O653="Yes",T653="Missing"),"Warning","Clean"))</f>
        <v>Clean</v>
      </c>
    </row>
    <row r="654" customFormat="false" ht="15" hidden="false" customHeight="true" outlineLevel="0" collapsed="false">
      <c r="A654" s="3" t="s">
        <v>2088</v>
      </c>
      <c r="B654" s="4" t="n">
        <v>45733</v>
      </c>
      <c r="C654" s="4" t="n">
        <v>45737</v>
      </c>
      <c r="D654" s="3" t="s">
        <v>1732</v>
      </c>
      <c r="E654" s="3" t="s">
        <v>159</v>
      </c>
      <c r="F654" s="3" t="s">
        <v>41</v>
      </c>
      <c r="G654" s="3" t="s">
        <v>42</v>
      </c>
      <c r="H654" s="3" t="s">
        <v>43</v>
      </c>
      <c r="I654" s="3" t="s">
        <v>163</v>
      </c>
      <c r="J654" s="3" t="s">
        <v>164</v>
      </c>
      <c r="K654" s="3" t="s">
        <v>46</v>
      </c>
      <c r="L654" s="3" t="s">
        <v>183</v>
      </c>
      <c r="M654" s="3" t="s">
        <v>2089</v>
      </c>
      <c r="N654" s="3" t="s">
        <v>83</v>
      </c>
      <c r="O654" s="3" t="s">
        <v>43</v>
      </c>
      <c r="P654" s="5" t="n">
        <v>5</v>
      </c>
      <c r="Q654" s="6" t="n">
        <v>4320.59</v>
      </c>
      <c r="R654" s="3" t="s">
        <v>107</v>
      </c>
      <c r="S654" s="7" t="n">
        <v>0.15</v>
      </c>
      <c r="T654" s="3" t="s">
        <v>51</v>
      </c>
      <c r="U654" s="7" t="n">
        <f aca="false">IF(T654="Valid",S654,0)</f>
        <v>0.15</v>
      </c>
      <c r="V654" s="6" t="n">
        <v>18362.51</v>
      </c>
      <c r="W654" s="6" t="n">
        <v>11133.97</v>
      </c>
      <c r="X654" s="6" t="n">
        <v>7228.54</v>
      </c>
      <c r="Y654" s="6" t="n">
        <f aca="false">P654*Q654*(1-U654)</f>
        <v>18362.5075</v>
      </c>
      <c r="Z654" s="6" t="n">
        <f aca="false">Y654-W654</f>
        <v>7228.5375</v>
      </c>
      <c r="AA654" s="8" t="n">
        <f aca="false">IF(Y654=0,0,Z654/Y654)</f>
        <v>0.393657429411533</v>
      </c>
      <c r="AB654" s="3" t="str">
        <f aca="false">IF(ABS(V654-Y654)&gt;1,"Mismatch","OK")</f>
        <v>OK</v>
      </c>
      <c r="AC654" s="3" t="str">
        <f aca="false">IF(ABS(X654-Z654)&gt;1,"Mismatch","OK")</f>
        <v>OK</v>
      </c>
      <c r="AD654" s="5" t="n">
        <f aca="false">IF(OR(B654="",C654=""),"",C654-B654)</f>
        <v>4</v>
      </c>
      <c r="AE654" s="3" t="str">
        <f aca="false">IF(AD654="","Unknown",IF(AD654&lt;0,"Invalid - Ship Before Order","OK"))</f>
        <v>OK</v>
      </c>
      <c r="AF654" s="5" t="n">
        <f aca="false">IF(B654="","",MONTH(B654))</f>
        <v>3</v>
      </c>
      <c r="AG654" s="5" t="n">
        <f aca="false">IF(B654="","",YEAR(B654))</f>
        <v>2025</v>
      </c>
      <c r="AH654" s="3" t="s">
        <v>52</v>
      </c>
      <c r="AI654" s="3" t="s">
        <v>53</v>
      </c>
      <c r="AJ654" s="3" t="str">
        <f aca="false">IF(AND(AI654="Completed",AH654="Failed"),"Inconsistent - Completed Order with Failed Payment","OK")</f>
        <v>OK</v>
      </c>
      <c r="AK654" s="3" t="s">
        <v>54</v>
      </c>
      <c r="AL654" s="3" t="str">
        <f aca="false">IF(OR(T654="Negative - Invalid",T654="Above Allowed Range - Invalid",AE654="Invalid - Ship Before Order",AK654&lt;&gt;"Unique",AB654="Mismatch",AC654="Mismatch",AJ654&lt;&gt;"OK"),"Invalid",IF(OR(H654="Yes",O654="Yes",T654="Missing"),"Warning","Clean"))</f>
        <v>Clean</v>
      </c>
    </row>
    <row r="655" customFormat="false" ht="15" hidden="false" customHeight="true" outlineLevel="0" collapsed="false">
      <c r="A655" s="3" t="s">
        <v>2090</v>
      </c>
      <c r="B655" s="4" t="n">
        <v>45751</v>
      </c>
      <c r="C655" s="4" t="n">
        <v>45754</v>
      </c>
      <c r="D655" s="3" t="s">
        <v>2091</v>
      </c>
      <c r="E655" s="3" t="s">
        <v>141</v>
      </c>
      <c r="F655" s="3" t="s">
        <v>58</v>
      </c>
      <c r="G655" s="3" t="s">
        <v>78</v>
      </c>
      <c r="H655" s="3" t="s">
        <v>43</v>
      </c>
      <c r="I655" s="3" t="s">
        <v>281</v>
      </c>
      <c r="J655" s="3" t="s">
        <v>282</v>
      </c>
      <c r="K655" s="3" t="s">
        <v>99</v>
      </c>
      <c r="L655" s="3" t="s">
        <v>105</v>
      </c>
      <c r="M655" s="3" t="s">
        <v>2092</v>
      </c>
      <c r="N655" s="3" t="s">
        <v>49</v>
      </c>
      <c r="O655" s="3" t="s">
        <v>43</v>
      </c>
      <c r="P655" s="5" t="n">
        <v>7</v>
      </c>
      <c r="Q655" s="6" t="n">
        <v>4457.93</v>
      </c>
      <c r="R655" s="3" t="s">
        <v>107</v>
      </c>
      <c r="S655" s="7" t="n">
        <v>0.15</v>
      </c>
      <c r="T655" s="3" t="s">
        <v>51</v>
      </c>
      <c r="U655" s="7" t="n">
        <f aca="false">IF(T655="Valid",S655,0)</f>
        <v>0.15</v>
      </c>
      <c r="V655" s="6" t="n">
        <v>26524.68</v>
      </c>
      <c r="W655" s="6" t="n">
        <v>20574.3</v>
      </c>
      <c r="X655" s="6" t="n">
        <v>5950.38</v>
      </c>
      <c r="Y655" s="6" t="n">
        <f aca="false">P655*Q655*(1-U655)</f>
        <v>26524.6835</v>
      </c>
      <c r="Z655" s="6" t="n">
        <f aca="false">Y655-W655</f>
        <v>5950.3835</v>
      </c>
      <c r="AA655" s="8" t="n">
        <f aca="false">IF(Y655=0,0,Z655/Y655)</f>
        <v>0.224333817215953</v>
      </c>
      <c r="AB655" s="3" t="str">
        <f aca="false">IF(ABS(V655-Y655)&gt;1,"Mismatch","OK")</f>
        <v>OK</v>
      </c>
      <c r="AC655" s="3" t="str">
        <f aca="false">IF(ABS(X655-Z655)&gt;1,"Mismatch","OK")</f>
        <v>OK</v>
      </c>
      <c r="AD655" s="5" t="n">
        <f aca="false">IF(OR(B655="",C655=""),"",C655-B655)</f>
        <v>3</v>
      </c>
      <c r="AE655" s="3" t="str">
        <f aca="false">IF(AD655="","Unknown",IF(AD655&lt;0,"Invalid - Ship Before Order","OK"))</f>
        <v>OK</v>
      </c>
      <c r="AF655" s="5" t="n">
        <f aca="false">IF(B655="","",MONTH(B655))</f>
        <v>4</v>
      </c>
      <c r="AG655" s="5" t="n">
        <f aca="false">IF(B655="","",YEAR(B655))</f>
        <v>2025</v>
      </c>
      <c r="AH655" s="3" t="s">
        <v>52</v>
      </c>
      <c r="AI655" s="3" t="s">
        <v>53</v>
      </c>
      <c r="AJ655" s="3" t="str">
        <f aca="false">IF(AND(AI655="Completed",AH655="Failed"),"Inconsistent - Completed Order with Failed Payment","OK")</f>
        <v>OK</v>
      </c>
      <c r="AK655" s="3" t="s">
        <v>54</v>
      </c>
      <c r="AL655" s="3" t="str">
        <f aca="false">IF(OR(T655="Negative - Invalid",T655="Above Allowed Range - Invalid",AE655="Invalid - Ship Before Order",AK655&lt;&gt;"Unique",AB655="Mismatch",AC655="Mismatch",AJ655&lt;&gt;"OK"),"Invalid",IF(OR(H655="Yes",O655="Yes",T655="Missing"),"Warning","Clean"))</f>
        <v>Clean</v>
      </c>
    </row>
    <row r="656" customFormat="false" ht="15" hidden="false" customHeight="true" outlineLevel="0" collapsed="false">
      <c r="A656" s="3" t="s">
        <v>2093</v>
      </c>
      <c r="B656" s="4" t="n">
        <v>45942</v>
      </c>
      <c r="C656" s="4" t="n">
        <v>45946</v>
      </c>
      <c r="D656" s="3" t="s">
        <v>966</v>
      </c>
      <c r="E656" s="3" t="s">
        <v>192</v>
      </c>
      <c r="F656" s="3" t="s">
        <v>116</v>
      </c>
      <c r="G656" s="3" t="s">
        <v>59</v>
      </c>
      <c r="H656" s="3" t="s">
        <v>43</v>
      </c>
      <c r="I656" s="3" t="s">
        <v>174</v>
      </c>
      <c r="J656" s="3" t="s">
        <v>175</v>
      </c>
      <c r="K656" s="3" t="s">
        <v>99</v>
      </c>
      <c r="L656" s="3" t="s">
        <v>308</v>
      </c>
      <c r="M656" s="3" t="s">
        <v>2094</v>
      </c>
      <c r="N656" s="3" t="s">
        <v>65</v>
      </c>
      <c r="O656" s="3" t="s">
        <v>43</v>
      </c>
      <c r="P656" s="5" t="n">
        <v>1</v>
      </c>
      <c r="Q656" s="6" t="n">
        <v>2570.06</v>
      </c>
      <c r="R656" s="3" t="s">
        <v>50</v>
      </c>
      <c r="S656" s="7" t="n">
        <v>0.2</v>
      </c>
      <c r="T656" s="3" t="s">
        <v>51</v>
      </c>
      <c r="U656" s="7" t="n">
        <f aca="false">IF(T656="Valid",S656,0)</f>
        <v>0.2</v>
      </c>
      <c r="V656" s="6" t="n">
        <v>2056.05</v>
      </c>
      <c r="W656" s="6" t="n">
        <v>1662.39</v>
      </c>
      <c r="X656" s="6" t="n">
        <v>393.66</v>
      </c>
      <c r="Y656" s="6" t="n">
        <f aca="false">P656*Q656*(1-U656)</f>
        <v>2056.048</v>
      </c>
      <c r="Z656" s="6" t="n">
        <f aca="false">Y656-W656</f>
        <v>393.658</v>
      </c>
      <c r="AA656" s="8" t="n">
        <f aca="false">IF(Y656=0,0,Z656/Y656)</f>
        <v>0.191463428869365</v>
      </c>
      <c r="AB656" s="3" t="str">
        <f aca="false">IF(ABS(V656-Y656)&gt;1,"Mismatch","OK")</f>
        <v>OK</v>
      </c>
      <c r="AC656" s="3" t="str">
        <f aca="false">IF(ABS(X656-Z656)&gt;1,"Mismatch","OK")</f>
        <v>OK</v>
      </c>
      <c r="AD656" s="5" t="n">
        <f aca="false">IF(OR(B656="",C656=""),"",C656-B656)</f>
        <v>4</v>
      </c>
      <c r="AE656" s="3" t="str">
        <f aca="false">IF(AD656="","Unknown",IF(AD656&lt;0,"Invalid - Ship Before Order","OK"))</f>
        <v>OK</v>
      </c>
      <c r="AF656" s="5" t="n">
        <f aca="false">IF(B656="","",MONTH(B656))</f>
        <v>10</v>
      </c>
      <c r="AG656" s="5" t="n">
        <f aca="false">IF(B656="","",YEAR(B656))</f>
        <v>2025</v>
      </c>
      <c r="AH656" s="3" t="s">
        <v>52</v>
      </c>
      <c r="AI656" s="3" t="s">
        <v>53</v>
      </c>
      <c r="AJ656" s="3" t="str">
        <f aca="false">IF(AND(AI656="Completed",AH656="Failed"),"Inconsistent - Completed Order with Failed Payment","OK")</f>
        <v>OK</v>
      </c>
      <c r="AK656" s="3" t="s">
        <v>54</v>
      </c>
      <c r="AL656" s="3" t="str">
        <f aca="false">IF(OR(T656="Negative - Invalid",T656="Above Allowed Range - Invalid",AE656="Invalid - Ship Before Order",AK656&lt;&gt;"Unique",AB656="Mismatch",AC656="Mismatch",AJ656&lt;&gt;"OK"),"Invalid",IF(OR(H656="Yes",O656="Yes",T656="Missing"),"Warning","Clean"))</f>
        <v>Clean</v>
      </c>
    </row>
    <row r="657" customFormat="false" ht="15" hidden="false" customHeight="true" outlineLevel="0" collapsed="false">
      <c r="A657" s="3" t="s">
        <v>2095</v>
      </c>
      <c r="B657" s="4" t="n">
        <v>45895</v>
      </c>
      <c r="C657" s="4" t="n">
        <v>45895</v>
      </c>
      <c r="D657" s="3" t="s">
        <v>2096</v>
      </c>
      <c r="E657" s="3" t="s">
        <v>104</v>
      </c>
      <c r="F657" s="3" t="s">
        <v>121</v>
      </c>
      <c r="G657" s="3" t="s">
        <v>59</v>
      </c>
      <c r="H657" s="3" t="s">
        <v>43</v>
      </c>
      <c r="I657" s="3" t="s">
        <v>125</v>
      </c>
      <c r="J657" s="3" t="s">
        <v>126</v>
      </c>
      <c r="K657" s="3" t="s">
        <v>62</v>
      </c>
      <c r="L657" s="3" t="s">
        <v>81</v>
      </c>
      <c r="M657" s="3" t="s">
        <v>2097</v>
      </c>
      <c r="N657" s="3" t="s">
        <v>83</v>
      </c>
      <c r="O657" s="3" t="s">
        <v>43</v>
      </c>
      <c r="P657" s="5" t="n">
        <v>4</v>
      </c>
      <c r="Q657" s="6" t="n">
        <v>2151.82</v>
      </c>
      <c r="R657" s="3" t="s">
        <v>66</v>
      </c>
      <c r="S657" s="7" t="n">
        <v>0</v>
      </c>
      <c r="T657" s="3" t="s">
        <v>51</v>
      </c>
      <c r="U657" s="7" t="n">
        <f aca="false">IF(T657="Valid",S657,0)</f>
        <v>0</v>
      </c>
      <c r="V657" s="6" t="n">
        <v>8607.28</v>
      </c>
      <c r="W657" s="6" t="n">
        <v>5124.01</v>
      </c>
      <c r="X657" s="6" t="n">
        <v>3483.27</v>
      </c>
      <c r="Y657" s="6" t="n">
        <f aca="false">P657*Q657*(1-U657)</f>
        <v>8607.28</v>
      </c>
      <c r="Z657" s="6" t="n">
        <f aca="false">Y657-W657</f>
        <v>3483.27</v>
      </c>
      <c r="AA657" s="8" t="n">
        <f aca="false">IF(Y657=0,0,Z657/Y657)</f>
        <v>0.404688821555706</v>
      </c>
      <c r="AB657" s="3" t="str">
        <f aca="false">IF(ABS(V657-Y657)&gt;1,"Mismatch","OK")</f>
        <v>OK</v>
      </c>
      <c r="AC657" s="3" t="str">
        <f aca="false">IF(ABS(X657-Z657)&gt;1,"Mismatch","OK")</f>
        <v>OK</v>
      </c>
      <c r="AD657" s="5" t="n">
        <f aca="false">IF(OR(B657="",C657=""),"",C657-B657)</f>
        <v>0</v>
      </c>
      <c r="AE657" s="3" t="str">
        <f aca="false">IF(AD657="","Unknown",IF(AD657&lt;0,"Invalid - Ship Before Order","OK"))</f>
        <v>OK</v>
      </c>
      <c r="AF657" s="5" t="n">
        <f aca="false">IF(B657="","",MONTH(B657))</f>
        <v>8</v>
      </c>
      <c r="AG657" s="5" t="n">
        <f aca="false">IF(B657="","",YEAR(B657))</f>
        <v>2025</v>
      </c>
      <c r="AH657" s="3" t="s">
        <v>52</v>
      </c>
      <c r="AI657" s="3" t="s">
        <v>53</v>
      </c>
      <c r="AJ657" s="3" t="str">
        <f aca="false">IF(AND(AI657="Completed",AH657="Failed"),"Inconsistent - Completed Order with Failed Payment","OK")</f>
        <v>OK</v>
      </c>
      <c r="AK657" s="3" t="s">
        <v>54</v>
      </c>
      <c r="AL657" s="3" t="str">
        <f aca="false">IF(OR(T657="Negative - Invalid",T657="Above Allowed Range - Invalid",AE657="Invalid - Ship Before Order",AK657&lt;&gt;"Unique",AB657="Mismatch",AC657="Mismatch",AJ657&lt;&gt;"OK"),"Invalid",IF(OR(H657="Yes",O657="Yes",T657="Missing"),"Warning","Clean"))</f>
        <v>Clean</v>
      </c>
    </row>
    <row r="658" customFormat="false" ht="15" hidden="false" customHeight="true" outlineLevel="0" collapsed="false">
      <c r="A658" s="3" t="s">
        <v>2098</v>
      </c>
      <c r="B658" s="4" t="n">
        <v>45419</v>
      </c>
      <c r="C658" s="4" t="n">
        <v>45426</v>
      </c>
      <c r="D658" s="3" t="s">
        <v>2099</v>
      </c>
      <c r="E658" s="3" t="s">
        <v>104</v>
      </c>
      <c r="F658" s="3" t="s">
        <v>58</v>
      </c>
      <c r="G658" s="3" t="s">
        <v>42</v>
      </c>
      <c r="H658" s="3" t="s">
        <v>43</v>
      </c>
      <c r="I658" s="3" t="s">
        <v>270</v>
      </c>
      <c r="J658" s="3" t="s">
        <v>271</v>
      </c>
      <c r="K658" s="3" t="s">
        <v>99</v>
      </c>
      <c r="L658" s="3" t="s">
        <v>308</v>
      </c>
      <c r="M658" s="3" t="s">
        <v>2100</v>
      </c>
      <c r="N658" s="3" t="s">
        <v>65</v>
      </c>
      <c r="O658" s="3" t="s">
        <v>43</v>
      </c>
      <c r="P658" s="5" t="n">
        <v>4</v>
      </c>
      <c r="Q658" s="6" t="n">
        <v>2751.1</v>
      </c>
      <c r="R658" s="3" t="s">
        <v>2101</v>
      </c>
      <c r="S658" s="7" t="n">
        <v>-0.05</v>
      </c>
      <c r="T658" s="3" t="s">
        <v>171</v>
      </c>
      <c r="U658" s="7" t="n">
        <f aca="false">IF(T658="Valid",S658,0)</f>
        <v>0</v>
      </c>
      <c r="V658" s="6" t="n">
        <v>9903.96</v>
      </c>
      <c r="W658" s="6" t="n">
        <v>7696.28</v>
      </c>
      <c r="X658" s="6" t="n">
        <v>2207.68</v>
      </c>
      <c r="Y658" s="6" t="n">
        <f aca="false">P658*Q658*(1-U658)</f>
        <v>11004.4</v>
      </c>
      <c r="Z658" s="6" t="n">
        <f aca="false">Y658-W658</f>
        <v>3308.12</v>
      </c>
      <c r="AA658" s="8" t="n">
        <f aca="false">IF(Y658=0,0,Z658/Y658)</f>
        <v>0.300617934644324</v>
      </c>
      <c r="AB658" s="3" t="str">
        <f aca="false">IF(ABS(V658-Y658)&gt;1,"Mismatch","OK")</f>
        <v>Mismatch</v>
      </c>
      <c r="AC658" s="3" t="str">
        <f aca="false">IF(ABS(X658-Z658)&gt;1,"Mismatch","OK")</f>
        <v>Mismatch</v>
      </c>
      <c r="AD658" s="5" t="n">
        <f aca="false">IF(OR(B658="",C658=""),"",C658-B658)</f>
        <v>7</v>
      </c>
      <c r="AE658" s="3" t="str">
        <f aca="false">IF(AD658="","Unknown",IF(AD658&lt;0,"Invalid - Ship Before Order","OK"))</f>
        <v>OK</v>
      </c>
      <c r="AF658" s="5" t="n">
        <f aca="false">IF(B658="","",MONTH(B658))</f>
        <v>5</v>
      </c>
      <c r="AG658" s="5" t="n">
        <f aca="false">IF(B658="","",YEAR(B658))</f>
        <v>2024</v>
      </c>
      <c r="AH658" s="3" t="s">
        <v>52</v>
      </c>
      <c r="AI658" s="3" t="s">
        <v>53</v>
      </c>
      <c r="AJ658" s="3" t="str">
        <f aca="false">IF(AND(AI658="Completed",AH658="Failed"),"Inconsistent - Completed Order with Failed Payment","OK")</f>
        <v>OK</v>
      </c>
      <c r="AK658" s="3" t="s">
        <v>54</v>
      </c>
      <c r="AL658" s="3" t="str">
        <f aca="false">IF(OR(T658="Negative - Invalid",T658="Above Allowed Range - Invalid",AE658="Invalid - Ship Before Order",AK658&lt;&gt;"Unique",AB658="Mismatch",AC658="Mismatch",AJ658&lt;&gt;"OK"),"Invalid",IF(OR(H658="Yes",O658="Yes",T658="Missing"),"Warning","Clean"))</f>
        <v>Invalid</v>
      </c>
    </row>
    <row r="659" customFormat="false" ht="15" hidden="false" customHeight="true" outlineLevel="0" collapsed="false">
      <c r="A659" s="3" t="s">
        <v>2102</v>
      </c>
      <c r="B659" s="4" t="n">
        <v>45876</v>
      </c>
      <c r="C659" s="4" t="n">
        <v>45879</v>
      </c>
      <c r="D659" s="3" t="s">
        <v>2103</v>
      </c>
      <c r="E659" s="3" t="s">
        <v>115</v>
      </c>
      <c r="F659" s="3" t="s">
        <v>121</v>
      </c>
      <c r="G659" s="3" t="s">
        <v>59</v>
      </c>
      <c r="H659" s="3" t="s">
        <v>43</v>
      </c>
      <c r="I659" s="3" t="s">
        <v>174</v>
      </c>
      <c r="J659" s="3" t="s">
        <v>175</v>
      </c>
      <c r="K659" s="3" t="s">
        <v>46</v>
      </c>
      <c r="L659" s="3" t="s">
        <v>151</v>
      </c>
      <c r="M659" s="3" t="s">
        <v>2104</v>
      </c>
      <c r="N659" s="3" t="s">
        <v>49</v>
      </c>
      <c r="O659" s="3" t="s">
        <v>43</v>
      </c>
      <c r="P659" s="5" t="n">
        <v>1</v>
      </c>
      <c r="Q659" s="6" t="n">
        <v>2541.25</v>
      </c>
      <c r="R659" s="3" t="s">
        <v>50</v>
      </c>
      <c r="S659" s="7" t="n">
        <v>0.2</v>
      </c>
      <c r="T659" s="3" t="s">
        <v>51</v>
      </c>
      <c r="U659" s="7" t="n">
        <f aca="false">IF(T659="Valid",S659,0)</f>
        <v>0.2</v>
      </c>
      <c r="V659" s="6" t="n">
        <v>2033</v>
      </c>
      <c r="W659" s="6" t="n">
        <v>1291.41</v>
      </c>
      <c r="X659" s="6" t="n">
        <v>741.59</v>
      </c>
      <c r="Y659" s="6" t="n">
        <f aca="false">P659*Q659*(1-U659)</f>
        <v>2033</v>
      </c>
      <c r="Z659" s="6" t="n">
        <f aca="false">Y659-W659</f>
        <v>741.59</v>
      </c>
      <c r="AA659" s="8" t="n">
        <f aca="false">IF(Y659=0,0,Z659/Y659)</f>
        <v>0.364776192818495</v>
      </c>
      <c r="AB659" s="3" t="str">
        <f aca="false">IF(ABS(V659-Y659)&gt;1,"Mismatch","OK")</f>
        <v>OK</v>
      </c>
      <c r="AC659" s="3" t="str">
        <f aca="false">IF(ABS(X659-Z659)&gt;1,"Mismatch","OK")</f>
        <v>OK</v>
      </c>
      <c r="AD659" s="5" t="n">
        <f aca="false">IF(OR(B659="",C659=""),"",C659-B659)</f>
        <v>3</v>
      </c>
      <c r="AE659" s="3" t="str">
        <f aca="false">IF(AD659="","Unknown",IF(AD659&lt;0,"Invalid - Ship Before Order","OK"))</f>
        <v>OK</v>
      </c>
      <c r="AF659" s="5" t="n">
        <f aca="false">IF(B659="","",MONTH(B659))</f>
        <v>8</v>
      </c>
      <c r="AG659" s="5" t="n">
        <f aca="false">IF(B659="","",YEAR(B659))</f>
        <v>2025</v>
      </c>
      <c r="AH659" s="3" t="s">
        <v>52</v>
      </c>
      <c r="AI659" s="3" t="s">
        <v>53</v>
      </c>
      <c r="AJ659" s="3" t="str">
        <f aca="false">IF(AND(AI659="Completed",AH659="Failed"),"Inconsistent - Completed Order with Failed Payment","OK")</f>
        <v>OK</v>
      </c>
      <c r="AK659" s="3" t="s">
        <v>54</v>
      </c>
      <c r="AL659" s="3" t="str">
        <f aca="false">IF(OR(T659="Negative - Invalid",T659="Above Allowed Range - Invalid",AE659="Invalid - Ship Before Order",AK659&lt;&gt;"Unique",AB659="Mismatch",AC659="Mismatch",AJ659&lt;&gt;"OK"),"Invalid",IF(OR(H659="Yes",O659="Yes",T659="Missing"),"Warning","Clean"))</f>
        <v>Clean</v>
      </c>
    </row>
    <row r="660" customFormat="false" ht="15" hidden="false" customHeight="true" outlineLevel="0" collapsed="false">
      <c r="A660" s="3" t="s">
        <v>2105</v>
      </c>
      <c r="B660" s="4" t="n">
        <v>45817</v>
      </c>
      <c r="C660" s="4" t="n">
        <v>45820</v>
      </c>
      <c r="D660" s="3" t="s">
        <v>2106</v>
      </c>
      <c r="E660" s="3" t="s">
        <v>159</v>
      </c>
      <c r="F660" s="3" t="s">
        <v>41</v>
      </c>
      <c r="G660" s="3" t="s">
        <v>237</v>
      </c>
      <c r="H660" s="3" t="s">
        <v>238</v>
      </c>
      <c r="I660" s="3" t="s">
        <v>174</v>
      </c>
      <c r="J660" s="3" t="s">
        <v>175</v>
      </c>
      <c r="K660" s="3" t="s">
        <v>46</v>
      </c>
      <c r="L660" s="3" t="s">
        <v>70</v>
      </c>
      <c r="M660" s="3" t="s">
        <v>2107</v>
      </c>
      <c r="N660" s="3" t="s">
        <v>72</v>
      </c>
      <c r="O660" s="3" t="s">
        <v>43</v>
      </c>
      <c r="P660" s="5" t="n">
        <v>7</v>
      </c>
      <c r="Q660" s="6" t="n">
        <v>2852.42</v>
      </c>
      <c r="R660" s="3" t="s">
        <v>66</v>
      </c>
      <c r="S660" s="7" t="n">
        <v>0</v>
      </c>
      <c r="T660" s="3" t="s">
        <v>51</v>
      </c>
      <c r="U660" s="7" t="n">
        <f aca="false">IF(T660="Valid",S660,0)</f>
        <v>0</v>
      </c>
      <c r="V660" s="6" t="n">
        <v>19966.94</v>
      </c>
      <c r="W660" s="6" t="n">
        <v>12690.83</v>
      </c>
      <c r="X660" s="6" t="n">
        <v>7276.11</v>
      </c>
      <c r="Y660" s="6" t="n">
        <f aca="false">P660*Q660*(1-U660)</f>
        <v>19966.94</v>
      </c>
      <c r="Z660" s="6" t="n">
        <f aca="false">Y660-W660</f>
        <v>7276.11</v>
      </c>
      <c r="AA660" s="8" t="n">
        <f aca="false">IF(Y660=0,0,Z660/Y660)</f>
        <v>0.364407866202833</v>
      </c>
      <c r="AB660" s="3" t="str">
        <f aca="false">IF(ABS(V660-Y660)&gt;1,"Mismatch","OK")</f>
        <v>OK</v>
      </c>
      <c r="AC660" s="3" t="str">
        <f aca="false">IF(ABS(X660-Z660)&gt;1,"Mismatch","OK")</f>
        <v>OK</v>
      </c>
      <c r="AD660" s="5" t="n">
        <f aca="false">IF(OR(B660="",C660=""),"",C660-B660)</f>
        <v>3</v>
      </c>
      <c r="AE660" s="3" t="str">
        <f aca="false">IF(AD660="","Unknown",IF(AD660&lt;0,"Invalid - Ship Before Order","OK"))</f>
        <v>OK</v>
      </c>
      <c r="AF660" s="5" t="n">
        <f aca="false">IF(B660="","",MONTH(B660))</f>
        <v>6</v>
      </c>
      <c r="AG660" s="5" t="n">
        <f aca="false">IF(B660="","",YEAR(B660))</f>
        <v>2025</v>
      </c>
      <c r="AH660" s="3" t="s">
        <v>129</v>
      </c>
      <c r="AI660" s="3" t="s">
        <v>93</v>
      </c>
      <c r="AJ660" s="3" t="str">
        <f aca="false">IF(AND(AI660="Completed",AH660="Failed"),"Inconsistent - Completed Order with Failed Payment","OK")</f>
        <v>OK</v>
      </c>
      <c r="AK660" s="3" t="s">
        <v>54</v>
      </c>
      <c r="AL660" s="3" t="str">
        <f aca="false">IF(OR(T660="Negative - Invalid",T660="Above Allowed Range - Invalid",AE660="Invalid - Ship Before Order",AK660&lt;&gt;"Unique",AB660="Mismatch",AC660="Mismatch",AJ660&lt;&gt;"OK"),"Invalid",IF(OR(H660="Yes",O660="Yes",T660="Missing"),"Warning","Clean"))</f>
        <v>Warning</v>
      </c>
    </row>
    <row r="661" customFormat="false" ht="15" hidden="false" customHeight="true" outlineLevel="0" collapsed="false">
      <c r="A661" s="3" t="s">
        <v>2108</v>
      </c>
      <c r="B661" s="4" t="n">
        <v>45678</v>
      </c>
      <c r="C661" s="4" t="n">
        <v>45679</v>
      </c>
      <c r="D661" s="3" t="s">
        <v>2109</v>
      </c>
      <c r="E661" s="3" t="s">
        <v>192</v>
      </c>
      <c r="F661" s="3" t="s">
        <v>116</v>
      </c>
      <c r="G661" s="3" t="s">
        <v>78</v>
      </c>
      <c r="H661" s="3" t="s">
        <v>43</v>
      </c>
      <c r="I661" s="3" t="s">
        <v>206</v>
      </c>
      <c r="J661" s="3" t="s">
        <v>207</v>
      </c>
      <c r="K661" s="3" t="s">
        <v>99</v>
      </c>
      <c r="L661" s="3" t="s">
        <v>201</v>
      </c>
      <c r="M661" s="3" t="s">
        <v>2110</v>
      </c>
      <c r="N661" s="3" t="s">
        <v>49</v>
      </c>
      <c r="O661" s="3" t="s">
        <v>43</v>
      </c>
      <c r="P661" s="5" t="n">
        <v>2</v>
      </c>
      <c r="Q661" s="6" t="n">
        <v>444.31</v>
      </c>
      <c r="R661" s="3" t="s">
        <v>50</v>
      </c>
      <c r="S661" s="7" t="n">
        <v>0.2</v>
      </c>
      <c r="T661" s="3" t="s">
        <v>51</v>
      </c>
      <c r="U661" s="7" t="n">
        <f aca="false">IF(T661="Valid",S661,0)</f>
        <v>0.2</v>
      </c>
      <c r="V661" s="6" t="n">
        <v>710.9</v>
      </c>
      <c r="W661" s="6" t="n">
        <v>513.88</v>
      </c>
      <c r="X661" s="6" t="n">
        <v>197.02</v>
      </c>
      <c r="Y661" s="6" t="n">
        <f aca="false">P661*Q661*(1-U661)</f>
        <v>710.896</v>
      </c>
      <c r="Z661" s="6" t="n">
        <f aca="false">Y661-W661</f>
        <v>197.016</v>
      </c>
      <c r="AA661" s="8" t="n">
        <f aca="false">IF(Y661=0,0,Z661/Y661)</f>
        <v>0.277137584119196</v>
      </c>
      <c r="AB661" s="3" t="str">
        <f aca="false">IF(ABS(V661-Y661)&gt;1,"Mismatch","OK")</f>
        <v>OK</v>
      </c>
      <c r="AC661" s="3" t="str">
        <f aca="false">IF(ABS(X661-Z661)&gt;1,"Mismatch","OK")</f>
        <v>OK</v>
      </c>
      <c r="AD661" s="5" t="n">
        <f aca="false">IF(OR(B661="",C661=""),"",C661-B661)</f>
        <v>1</v>
      </c>
      <c r="AE661" s="3" t="str">
        <f aca="false">IF(AD661="","Unknown",IF(AD661&lt;0,"Invalid - Ship Before Order","OK"))</f>
        <v>OK</v>
      </c>
      <c r="AF661" s="5" t="n">
        <f aca="false">IF(B661="","",MONTH(B661))</f>
        <v>1</v>
      </c>
      <c r="AG661" s="5" t="n">
        <f aca="false">IF(B661="","",YEAR(B661))</f>
        <v>2025</v>
      </c>
      <c r="AH661" s="3" t="s">
        <v>129</v>
      </c>
      <c r="AI661" s="3" t="s">
        <v>93</v>
      </c>
      <c r="AJ661" s="3" t="str">
        <f aca="false">IF(AND(AI661="Completed",AH661="Failed"),"Inconsistent - Completed Order with Failed Payment","OK")</f>
        <v>OK</v>
      </c>
      <c r="AK661" s="3" t="s">
        <v>54</v>
      </c>
      <c r="AL661" s="3" t="str">
        <f aca="false">IF(OR(T661="Negative - Invalid",T661="Above Allowed Range - Invalid",AE661="Invalid - Ship Before Order",AK661&lt;&gt;"Unique",AB661="Mismatch",AC661="Mismatch",AJ661&lt;&gt;"OK"),"Invalid",IF(OR(H661="Yes",O661="Yes",T661="Missing"),"Warning","Clean"))</f>
        <v>Clean</v>
      </c>
    </row>
    <row r="662" customFormat="false" ht="15" hidden="false" customHeight="true" outlineLevel="0" collapsed="false">
      <c r="A662" s="3" t="s">
        <v>2111</v>
      </c>
      <c r="B662" s="4" t="n">
        <v>45853</v>
      </c>
      <c r="C662" s="4" t="n">
        <v>45853</v>
      </c>
      <c r="D662" s="3" t="s">
        <v>2112</v>
      </c>
      <c r="E662" s="3" t="s">
        <v>77</v>
      </c>
      <c r="F662" s="3" t="s">
        <v>58</v>
      </c>
      <c r="G662" s="3" t="s">
        <v>59</v>
      </c>
      <c r="H662" s="3" t="s">
        <v>43</v>
      </c>
      <c r="I662" s="3" t="s">
        <v>262</v>
      </c>
      <c r="J662" s="3" t="s">
        <v>263</v>
      </c>
      <c r="K662" s="3" t="s">
        <v>99</v>
      </c>
      <c r="L662" s="3" t="s">
        <v>201</v>
      </c>
      <c r="M662" s="3" t="s">
        <v>2113</v>
      </c>
      <c r="N662" s="3" t="s">
        <v>65</v>
      </c>
      <c r="O662" s="3" t="s">
        <v>43</v>
      </c>
      <c r="P662" s="5" t="n">
        <v>4</v>
      </c>
      <c r="Q662" s="6" t="n">
        <v>4442.91</v>
      </c>
      <c r="R662" s="3" t="s">
        <v>203</v>
      </c>
      <c r="S662" s="7" t="n">
        <v>0.1</v>
      </c>
      <c r="T662" s="3" t="s">
        <v>51</v>
      </c>
      <c r="U662" s="7" t="n">
        <f aca="false">IF(T662="Valid",S662,0)</f>
        <v>0.1</v>
      </c>
      <c r="V662" s="6" t="n">
        <v>15994.48</v>
      </c>
      <c r="W662" s="6" t="n">
        <v>9224.28</v>
      </c>
      <c r="X662" s="6" t="n">
        <v>6770.2</v>
      </c>
      <c r="Y662" s="6" t="n">
        <f aca="false">P662*Q662*(1-U662)</f>
        <v>15994.476</v>
      </c>
      <c r="Z662" s="6" t="n">
        <f aca="false">Y662-W662</f>
        <v>6770.196</v>
      </c>
      <c r="AA662" s="8" t="n">
        <f aca="false">IF(Y662=0,0,Z662/Y662)</f>
        <v>0.423283388589911</v>
      </c>
      <c r="AB662" s="3" t="str">
        <f aca="false">IF(ABS(V662-Y662)&gt;1,"Mismatch","OK")</f>
        <v>OK</v>
      </c>
      <c r="AC662" s="3" t="str">
        <f aca="false">IF(ABS(X662-Z662)&gt;1,"Mismatch","OK")</f>
        <v>OK</v>
      </c>
      <c r="AD662" s="5" t="n">
        <f aca="false">IF(OR(B662="",C662=""),"",C662-B662)</f>
        <v>0</v>
      </c>
      <c r="AE662" s="3" t="str">
        <f aca="false">IF(AD662="","Unknown",IF(AD662&lt;0,"Invalid - Ship Before Order","OK"))</f>
        <v>OK</v>
      </c>
      <c r="AF662" s="5" t="n">
        <f aca="false">IF(B662="","",MONTH(B662))</f>
        <v>7</v>
      </c>
      <c r="AG662" s="5" t="n">
        <f aca="false">IF(B662="","",YEAR(B662))</f>
        <v>2025</v>
      </c>
      <c r="AH662" s="3" t="s">
        <v>52</v>
      </c>
      <c r="AI662" s="3" t="s">
        <v>53</v>
      </c>
      <c r="AJ662" s="3" t="str">
        <f aca="false">IF(AND(AI662="Completed",AH662="Failed"),"Inconsistent - Completed Order with Failed Payment","OK")</f>
        <v>OK</v>
      </c>
      <c r="AK662" s="3" t="s">
        <v>54</v>
      </c>
      <c r="AL662" s="3" t="str">
        <f aca="false">IF(OR(T662="Negative - Invalid",T662="Above Allowed Range - Invalid",AE662="Invalid - Ship Before Order",AK662&lt;&gt;"Unique",AB662="Mismatch",AC662="Mismatch",AJ662&lt;&gt;"OK"),"Invalid",IF(OR(H662="Yes",O662="Yes",T662="Missing"),"Warning","Clean"))</f>
        <v>Clean</v>
      </c>
    </row>
    <row r="663" customFormat="false" ht="15" hidden="false" customHeight="true" outlineLevel="0" collapsed="false">
      <c r="A663" s="3" t="s">
        <v>2114</v>
      </c>
      <c r="B663" s="4" t="n">
        <v>45429</v>
      </c>
      <c r="C663" s="4" t="n">
        <v>45434</v>
      </c>
      <c r="D663" s="3" t="s">
        <v>2115</v>
      </c>
      <c r="E663" s="3" t="s">
        <v>159</v>
      </c>
      <c r="F663" s="3" t="s">
        <v>41</v>
      </c>
      <c r="G663" s="3" t="s">
        <v>78</v>
      </c>
      <c r="H663" s="3" t="s">
        <v>43</v>
      </c>
      <c r="I663" s="3" t="s">
        <v>110</v>
      </c>
      <c r="J663" s="3" t="s">
        <v>111</v>
      </c>
      <c r="K663" s="3" t="s">
        <v>99</v>
      </c>
      <c r="L663" s="3" t="s">
        <v>308</v>
      </c>
      <c r="M663" s="3" t="s">
        <v>2116</v>
      </c>
      <c r="N663" s="3" t="s">
        <v>49</v>
      </c>
      <c r="O663" s="3" t="s">
        <v>43</v>
      </c>
      <c r="P663" s="5" t="n">
        <v>7</v>
      </c>
      <c r="Q663" s="6" t="n">
        <v>232.5</v>
      </c>
      <c r="R663" s="3" t="s">
        <v>66</v>
      </c>
      <c r="S663" s="7" t="n">
        <v>0</v>
      </c>
      <c r="T663" s="3" t="s">
        <v>51</v>
      </c>
      <c r="U663" s="7" t="n">
        <f aca="false">IF(T663="Valid",S663,0)</f>
        <v>0</v>
      </c>
      <c r="V663" s="6" t="n">
        <v>1627.5</v>
      </c>
      <c r="W663" s="6" t="n">
        <v>939.9</v>
      </c>
      <c r="X663" s="6" t="n">
        <v>687.6</v>
      </c>
      <c r="Y663" s="6" t="n">
        <f aca="false">P663*Q663*(1-U663)</f>
        <v>1627.5</v>
      </c>
      <c r="Z663" s="6" t="n">
        <f aca="false">Y663-W663</f>
        <v>687.6</v>
      </c>
      <c r="AA663" s="8" t="n">
        <f aca="false">IF(Y663=0,0,Z663/Y663)</f>
        <v>0.422488479262673</v>
      </c>
      <c r="AB663" s="3" t="str">
        <f aca="false">IF(ABS(V663-Y663)&gt;1,"Mismatch","OK")</f>
        <v>OK</v>
      </c>
      <c r="AC663" s="3" t="str">
        <f aca="false">IF(ABS(X663-Z663)&gt;1,"Mismatch","OK")</f>
        <v>OK</v>
      </c>
      <c r="AD663" s="5" t="n">
        <f aca="false">IF(OR(B663="",C663=""),"",C663-B663)</f>
        <v>5</v>
      </c>
      <c r="AE663" s="3" t="str">
        <f aca="false">IF(AD663="","Unknown",IF(AD663&lt;0,"Invalid - Ship Before Order","OK"))</f>
        <v>OK</v>
      </c>
      <c r="AF663" s="5" t="n">
        <f aca="false">IF(B663="","",MONTH(B663))</f>
        <v>5</v>
      </c>
      <c r="AG663" s="5" t="n">
        <f aca="false">IF(B663="","",YEAR(B663))</f>
        <v>2024</v>
      </c>
      <c r="AH663" s="3" t="s">
        <v>52</v>
      </c>
      <c r="AI663" s="3" t="s">
        <v>53</v>
      </c>
      <c r="AJ663" s="3" t="str">
        <f aca="false">IF(AND(AI663="Completed",AH663="Failed"),"Inconsistent - Completed Order with Failed Payment","OK")</f>
        <v>OK</v>
      </c>
      <c r="AK663" s="3" t="s">
        <v>54</v>
      </c>
      <c r="AL663" s="3" t="str">
        <f aca="false">IF(OR(T663="Negative - Invalid",T663="Above Allowed Range - Invalid",AE663="Invalid - Ship Before Order",AK663&lt;&gt;"Unique",AB663="Mismatch",AC663="Mismatch",AJ663&lt;&gt;"OK"),"Invalid",IF(OR(H663="Yes",O663="Yes",T663="Missing"),"Warning","Clean"))</f>
        <v>Clean</v>
      </c>
    </row>
    <row r="664" customFormat="false" ht="15" hidden="false" customHeight="true" outlineLevel="0" collapsed="false">
      <c r="A664" s="3" t="s">
        <v>2117</v>
      </c>
      <c r="B664" s="4" t="n">
        <v>45305</v>
      </c>
      <c r="C664" s="4" t="n">
        <v>45309</v>
      </c>
      <c r="D664" s="3" t="s">
        <v>2118</v>
      </c>
      <c r="E664" s="3" t="s">
        <v>57</v>
      </c>
      <c r="F664" s="3" t="s">
        <v>121</v>
      </c>
      <c r="G664" s="3" t="s">
        <v>88</v>
      </c>
      <c r="H664" s="3" t="s">
        <v>43</v>
      </c>
      <c r="I664" s="3" t="s">
        <v>44</v>
      </c>
      <c r="J664" s="3" t="s">
        <v>136</v>
      </c>
      <c r="K664" s="3" t="s">
        <v>99</v>
      </c>
      <c r="L664" s="3" t="s">
        <v>308</v>
      </c>
      <c r="M664" s="3" t="s">
        <v>2119</v>
      </c>
      <c r="N664" s="3" t="s">
        <v>65</v>
      </c>
      <c r="O664" s="3" t="s">
        <v>43</v>
      </c>
      <c r="P664" s="5" t="n">
        <v>6</v>
      </c>
      <c r="Q664" s="6" t="n">
        <v>1784.8</v>
      </c>
      <c r="R664" s="3" t="s">
        <v>203</v>
      </c>
      <c r="S664" s="7" t="n">
        <v>0.1</v>
      </c>
      <c r="T664" s="3" t="s">
        <v>51</v>
      </c>
      <c r="U664" s="7" t="n">
        <f aca="false">IF(T664="Valid",S664,0)</f>
        <v>0.1</v>
      </c>
      <c r="V664" s="6" t="n">
        <v>9637.92</v>
      </c>
      <c r="W664" s="6" t="n">
        <v>7329.29</v>
      </c>
      <c r="X664" s="6" t="n">
        <v>2308.63</v>
      </c>
      <c r="Y664" s="6" t="n">
        <f aca="false">P664*Q664*(1-U664)</f>
        <v>9637.92</v>
      </c>
      <c r="Z664" s="6" t="n">
        <f aca="false">Y664-W664</f>
        <v>2308.63</v>
      </c>
      <c r="AA664" s="8" t="n">
        <f aca="false">IF(Y664=0,0,Z664/Y664)</f>
        <v>0.239536123976958</v>
      </c>
      <c r="AB664" s="3" t="str">
        <f aca="false">IF(ABS(V664-Y664)&gt;1,"Mismatch","OK")</f>
        <v>OK</v>
      </c>
      <c r="AC664" s="3" t="str">
        <f aca="false">IF(ABS(X664-Z664)&gt;1,"Mismatch","OK")</f>
        <v>OK</v>
      </c>
      <c r="AD664" s="5" t="n">
        <f aca="false">IF(OR(B664="",C664=""),"",C664-B664)</f>
        <v>4</v>
      </c>
      <c r="AE664" s="3" t="str">
        <f aca="false">IF(AD664="","Unknown",IF(AD664&lt;0,"Invalid - Ship Before Order","OK"))</f>
        <v>OK</v>
      </c>
      <c r="AF664" s="5" t="n">
        <f aca="false">IF(B664="","",MONTH(B664))</f>
        <v>1</v>
      </c>
      <c r="AG664" s="5" t="n">
        <f aca="false">IF(B664="","",YEAR(B664))</f>
        <v>2024</v>
      </c>
      <c r="AH664" s="3" t="s">
        <v>52</v>
      </c>
      <c r="AI664" s="3" t="s">
        <v>53</v>
      </c>
      <c r="AJ664" s="3" t="str">
        <f aca="false">IF(AND(AI664="Completed",AH664="Failed"),"Inconsistent - Completed Order with Failed Payment","OK")</f>
        <v>OK</v>
      </c>
      <c r="AK664" s="3" t="s">
        <v>54</v>
      </c>
      <c r="AL664" s="3" t="str">
        <f aca="false">IF(OR(T664="Negative - Invalid",T664="Above Allowed Range - Invalid",AE664="Invalid - Ship Before Order",AK664&lt;&gt;"Unique",AB664="Mismatch",AC664="Mismatch",AJ664&lt;&gt;"OK"),"Invalid",IF(OR(H664="Yes",O664="Yes",T664="Missing"),"Warning","Clean"))</f>
        <v>Clean</v>
      </c>
    </row>
    <row r="665" customFormat="false" ht="15" hidden="false" customHeight="true" outlineLevel="0" collapsed="false">
      <c r="A665" s="3" t="s">
        <v>2120</v>
      </c>
      <c r="B665" s="4" t="n">
        <v>45414</v>
      </c>
      <c r="C665" s="4" t="n">
        <v>45420</v>
      </c>
      <c r="D665" s="3" t="s">
        <v>2121</v>
      </c>
      <c r="E665" s="3" t="s">
        <v>145</v>
      </c>
      <c r="F665" s="3" t="s">
        <v>121</v>
      </c>
      <c r="G665" s="3" t="s">
        <v>59</v>
      </c>
      <c r="H665" s="3" t="s">
        <v>43</v>
      </c>
      <c r="I665" s="3" t="s">
        <v>262</v>
      </c>
      <c r="J665" s="3" t="s">
        <v>263</v>
      </c>
      <c r="K665" s="3" t="s">
        <v>99</v>
      </c>
      <c r="L665" s="3" t="s">
        <v>105</v>
      </c>
      <c r="M665" s="3" t="s">
        <v>2122</v>
      </c>
      <c r="N665" s="3" t="s">
        <v>49</v>
      </c>
      <c r="O665" s="3" t="s">
        <v>43</v>
      </c>
      <c r="P665" s="5" t="n">
        <v>2</v>
      </c>
      <c r="Q665" s="6" t="n">
        <v>3185.01</v>
      </c>
      <c r="R665" s="3" t="s">
        <v>2123</v>
      </c>
      <c r="S665" s="7" t="n">
        <v>-0.24</v>
      </c>
      <c r="T665" s="3" t="s">
        <v>171</v>
      </c>
      <c r="U665" s="7" t="n">
        <f aca="false">IF(T665="Valid",S665,0)</f>
        <v>0</v>
      </c>
      <c r="V665" s="6" t="n">
        <v>4777.52</v>
      </c>
      <c r="W665" s="6" t="n">
        <v>3152.98</v>
      </c>
      <c r="X665" s="6" t="n">
        <v>1624.54</v>
      </c>
      <c r="Y665" s="6" t="n">
        <f aca="false">P665*Q665*(1-U665)</f>
        <v>6370.02</v>
      </c>
      <c r="Z665" s="6" t="n">
        <f aca="false">Y665-W665</f>
        <v>3217.04</v>
      </c>
      <c r="AA665" s="8" t="n">
        <f aca="false">IF(Y665=0,0,Z665/Y665)</f>
        <v>0.505028241669571</v>
      </c>
      <c r="AB665" s="3" t="str">
        <f aca="false">IF(ABS(V665-Y665)&gt;1,"Mismatch","OK")</f>
        <v>Mismatch</v>
      </c>
      <c r="AC665" s="3" t="str">
        <f aca="false">IF(ABS(X665-Z665)&gt;1,"Mismatch","OK")</f>
        <v>Mismatch</v>
      </c>
      <c r="AD665" s="5" t="n">
        <f aca="false">IF(OR(B665="",C665=""),"",C665-B665)</f>
        <v>6</v>
      </c>
      <c r="AE665" s="3" t="str">
        <f aca="false">IF(AD665="","Unknown",IF(AD665&lt;0,"Invalid - Ship Before Order","OK"))</f>
        <v>OK</v>
      </c>
      <c r="AF665" s="5" t="n">
        <f aca="false">IF(B665="","",MONTH(B665))</f>
        <v>5</v>
      </c>
      <c r="AG665" s="5" t="n">
        <f aca="false">IF(B665="","",YEAR(B665))</f>
        <v>2024</v>
      </c>
      <c r="AH665" s="3" t="s">
        <v>52</v>
      </c>
      <c r="AI665" s="3" t="s">
        <v>53</v>
      </c>
      <c r="AJ665" s="3" t="str">
        <f aca="false">IF(AND(AI665="Completed",AH665="Failed"),"Inconsistent - Completed Order with Failed Payment","OK")</f>
        <v>OK</v>
      </c>
      <c r="AK665" s="3" t="s">
        <v>54</v>
      </c>
      <c r="AL665" s="3" t="str">
        <f aca="false">IF(OR(T665="Negative - Invalid",T665="Above Allowed Range - Invalid",AE665="Invalid - Ship Before Order",AK665&lt;&gt;"Unique",AB665="Mismatch",AC665="Mismatch",AJ665&lt;&gt;"OK"),"Invalid",IF(OR(H665="Yes",O665="Yes",T665="Missing"),"Warning","Clean"))</f>
        <v>Invalid</v>
      </c>
    </row>
    <row r="666" customFormat="false" ht="15" hidden="false" customHeight="true" outlineLevel="0" collapsed="false">
      <c r="A666" s="3" t="s">
        <v>2124</v>
      </c>
      <c r="B666" s="4" t="n">
        <v>45633</v>
      </c>
      <c r="C666" s="4" t="n">
        <v>45636</v>
      </c>
      <c r="D666" s="3" t="s">
        <v>2125</v>
      </c>
      <c r="E666" s="3" t="s">
        <v>57</v>
      </c>
      <c r="F666" s="3" t="s">
        <v>121</v>
      </c>
      <c r="G666" s="3" t="s">
        <v>78</v>
      </c>
      <c r="H666" s="3" t="s">
        <v>43</v>
      </c>
      <c r="I666" s="3" t="s">
        <v>79</v>
      </c>
      <c r="J666" s="3" t="s">
        <v>80</v>
      </c>
      <c r="K666" s="3" t="s">
        <v>99</v>
      </c>
      <c r="L666" s="3" t="s">
        <v>100</v>
      </c>
      <c r="M666" s="3" t="s">
        <v>2126</v>
      </c>
      <c r="N666" s="3" t="s">
        <v>83</v>
      </c>
      <c r="O666" s="3" t="s">
        <v>43</v>
      </c>
      <c r="P666" s="5" t="n">
        <v>1</v>
      </c>
      <c r="Q666" s="6" t="n">
        <v>1908.83</v>
      </c>
      <c r="R666" s="3" t="s">
        <v>50</v>
      </c>
      <c r="S666" s="7" t="n">
        <v>0.2</v>
      </c>
      <c r="T666" s="3" t="s">
        <v>51</v>
      </c>
      <c r="U666" s="7" t="n">
        <f aca="false">IF(T666="Valid",S666,0)</f>
        <v>0.2</v>
      </c>
      <c r="V666" s="6" t="n">
        <v>1527.06</v>
      </c>
      <c r="W666" s="6" t="n">
        <v>1055.89</v>
      </c>
      <c r="X666" s="6" t="n">
        <v>471.17</v>
      </c>
      <c r="Y666" s="6" t="n">
        <f aca="false">P666*Q666*(1-U666)</f>
        <v>1527.064</v>
      </c>
      <c r="Z666" s="6" t="n">
        <f aca="false">Y666-W666</f>
        <v>471.174</v>
      </c>
      <c r="AA666" s="8" t="n">
        <f aca="false">IF(Y666=0,0,Z666/Y666)</f>
        <v>0.308548954071342</v>
      </c>
      <c r="AB666" s="3" t="str">
        <f aca="false">IF(ABS(V666-Y666)&gt;1,"Mismatch","OK")</f>
        <v>OK</v>
      </c>
      <c r="AC666" s="3" t="str">
        <f aca="false">IF(ABS(X666-Z666)&gt;1,"Mismatch","OK")</f>
        <v>OK</v>
      </c>
      <c r="AD666" s="5" t="n">
        <f aca="false">IF(OR(B666="",C666=""),"",C666-B666)</f>
        <v>3</v>
      </c>
      <c r="AE666" s="3" t="str">
        <f aca="false">IF(AD666="","Unknown",IF(AD666&lt;0,"Invalid - Ship Before Order","OK"))</f>
        <v>OK</v>
      </c>
      <c r="AF666" s="5" t="n">
        <f aca="false">IF(B666="","",MONTH(B666))</f>
        <v>12</v>
      </c>
      <c r="AG666" s="5" t="n">
        <f aca="false">IF(B666="","",YEAR(B666))</f>
        <v>2024</v>
      </c>
      <c r="AH666" s="3" t="s">
        <v>52</v>
      </c>
      <c r="AI666" s="3" t="s">
        <v>53</v>
      </c>
      <c r="AJ666" s="3" t="str">
        <f aca="false">IF(AND(AI666="Completed",AH666="Failed"),"Inconsistent - Completed Order with Failed Payment","OK")</f>
        <v>OK</v>
      </c>
      <c r="AK666" s="3" t="s">
        <v>54</v>
      </c>
      <c r="AL666" s="3" t="str">
        <f aca="false">IF(OR(T666="Negative - Invalid",T666="Above Allowed Range - Invalid",AE666="Invalid - Ship Before Order",AK666&lt;&gt;"Unique",AB666="Mismatch",AC666="Mismatch",AJ666&lt;&gt;"OK"),"Invalid",IF(OR(H666="Yes",O666="Yes",T666="Missing"),"Warning","Clean"))</f>
        <v>Clean</v>
      </c>
    </row>
    <row r="667" customFormat="false" ht="15" hidden="false" customHeight="true" outlineLevel="0" collapsed="false">
      <c r="A667" s="3" t="s">
        <v>2127</v>
      </c>
      <c r="B667" s="4" t="n">
        <v>45670</v>
      </c>
      <c r="C667" s="4" t="n">
        <v>45670</v>
      </c>
      <c r="D667" s="3" t="s">
        <v>2128</v>
      </c>
      <c r="E667" s="3" t="s">
        <v>145</v>
      </c>
      <c r="F667" s="3" t="s">
        <v>121</v>
      </c>
      <c r="G667" s="3" t="s">
        <v>88</v>
      </c>
      <c r="H667" s="3" t="s">
        <v>43</v>
      </c>
      <c r="I667" s="3" t="s">
        <v>211</v>
      </c>
      <c r="J667" s="3" t="s">
        <v>212</v>
      </c>
      <c r="K667" s="3" t="s">
        <v>46</v>
      </c>
      <c r="L667" s="3" t="s">
        <v>70</v>
      </c>
      <c r="M667" s="3" t="s">
        <v>2129</v>
      </c>
      <c r="N667" s="3" t="s">
        <v>83</v>
      </c>
      <c r="O667" s="3" t="s">
        <v>43</v>
      </c>
      <c r="P667" s="5" t="n">
        <v>3</v>
      </c>
      <c r="Q667" s="6" t="n">
        <v>2110.52</v>
      </c>
      <c r="R667" s="3" t="s">
        <v>203</v>
      </c>
      <c r="S667" s="7" t="n">
        <v>0.1</v>
      </c>
      <c r="T667" s="3" t="s">
        <v>51</v>
      </c>
      <c r="U667" s="7" t="n">
        <f aca="false">IF(T667="Valid",S667,0)</f>
        <v>0.1</v>
      </c>
      <c r="V667" s="6" t="n">
        <v>5698.4</v>
      </c>
      <c r="W667" s="6" t="n">
        <v>3640.89</v>
      </c>
      <c r="X667" s="6" t="n">
        <v>2057.51</v>
      </c>
      <c r="Y667" s="6" t="n">
        <f aca="false">P667*Q667*(1-U667)</f>
        <v>5698.404</v>
      </c>
      <c r="Z667" s="6" t="n">
        <f aca="false">Y667-W667</f>
        <v>2057.514</v>
      </c>
      <c r="AA667" s="8" t="n">
        <f aca="false">IF(Y667=0,0,Z667/Y667)</f>
        <v>0.361068467591978</v>
      </c>
      <c r="AB667" s="3" t="str">
        <f aca="false">IF(ABS(V667-Y667)&gt;1,"Mismatch","OK")</f>
        <v>OK</v>
      </c>
      <c r="AC667" s="3" t="str">
        <f aca="false">IF(ABS(X667-Z667)&gt;1,"Mismatch","OK")</f>
        <v>OK</v>
      </c>
      <c r="AD667" s="5" t="n">
        <f aca="false">IF(OR(B667="",C667=""),"",C667-B667)</f>
        <v>0</v>
      </c>
      <c r="AE667" s="3" t="str">
        <f aca="false">IF(AD667="","Unknown",IF(AD667&lt;0,"Invalid - Ship Before Order","OK"))</f>
        <v>OK</v>
      </c>
      <c r="AF667" s="5" t="n">
        <f aca="false">IF(B667="","",MONTH(B667))</f>
        <v>1</v>
      </c>
      <c r="AG667" s="5" t="n">
        <f aca="false">IF(B667="","",YEAR(B667))</f>
        <v>2025</v>
      </c>
      <c r="AH667" s="3" t="s">
        <v>185</v>
      </c>
      <c r="AI667" s="3" t="s">
        <v>93</v>
      </c>
      <c r="AJ667" s="3" t="str">
        <f aca="false">IF(AND(AI667="Completed",AH667="Failed"),"Inconsistent - Completed Order with Failed Payment","OK")</f>
        <v>OK</v>
      </c>
      <c r="AK667" s="3" t="s">
        <v>54</v>
      </c>
      <c r="AL667" s="3" t="str">
        <f aca="false">IF(OR(T667="Negative - Invalid",T667="Above Allowed Range - Invalid",AE667="Invalid - Ship Before Order",AK667&lt;&gt;"Unique",AB667="Mismatch",AC667="Mismatch",AJ667&lt;&gt;"OK"),"Invalid",IF(OR(H667="Yes",O667="Yes",T667="Missing"),"Warning","Clean"))</f>
        <v>Clean</v>
      </c>
    </row>
    <row r="668" customFormat="false" ht="15" hidden="false" customHeight="true" outlineLevel="0" collapsed="false">
      <c r="A668" s="3" t="s">
        <v>2130</v>
      </c>
      <c r="B668" s="4" t="n">
        <v>45464</v>
      </c>
      <c r="C668" s="4" t="n">
        <v>45469</v>
      </c>
      <c r="D668" s="3" t="s">
        <v>2131</v>
      </c>
      <c r="E668" s="3" t="s">
        <v>168</v>
      </c>
      <c r="F668" s="3" t="s">
        <v>58</v>
      </c>
      <c r="G668" s="3" t="s">
        <v>42</v>
      </c>
      <c r="H668" s="3" t="s">
        <v>43</v>
      </c>
      <c r="I668" s="3" t="s">
        <v>149</v>
      </c>
      <c r="J668" s="3" t="s">
        <v>150</v>
      </c>
      <c r="K668" s="3" t="s">
        <v>99</v>
      </c>
      <c r="L668" s="3" t="s">
        <v>105</v>
      </c>
      <c r="M668" s="3" t="s">
        <v>2132</v>
      </c>
      <c r="N668" s="3" t="s">
        <v>65</v>
      </c>
      <c r="O668" s="3" t="s">
        <v>43</v>
      </c>
      <c r="P668" s="5" t="n">
        <v>1</v>
      </c>
      <c r="Q668" s="6" t="n">
        <v>279.83</v>
      </c>
      <c r="R668" s="3" t="s">
        <v>128</v>
      </c>
      <c r="S668" s="7" t="n">
        <v>0.05</v>
      </c>
      <c r="T668" s="3" t="s">
        <v>51</v>
      </c>
      <c r="U668" s="7" t="n">
        <f aca="false">IF(T668="Valid",S668,0)</f>
        <v>0.05</v>
      </c>
      <c r="V668" s="6" t="n">
        <v>265.84</v>
      </c>
      <c r="W668" s="6" t="n">
        <v>223.49</v>
      </c>
      <c r="X668" s="6" t="n">
        <v>42.35</v>
      </c>
      <c r="Y668" s="6" t="n">
        <f aca="false">P668*Q668*(1-U668)</f>
        <v>265.8385</v>
      </c>
      <c r="Z668" s="6" t="n">
        <f aca="false">Y668-W668</f>
        <v>42.3484999999999</v>
      </c>
      <c r="AA668" s="8" t="n">
        <f aca="false">IF(Y668=0,0,Z668/Y668)</f>
        <v>0.15930160605029</v>
      </c>
      <c r="AB668" s="3" t="str">
        <f aca="false">IF(ABS(V668-Y668)&gt;1,"Mismatch","OK")</f>
        <v>OK</v>
      </c>
      <c r="AC668" s="3" t="str">
        <f aca="false">IF(ABS(X668-Z668)&gt;1,"Mismatch","OK")</f>
        <v>OK</v>
      </c>
      <c r="AD668" s="5" t="n">
        <f aca="false">IF(OR(B668="",C668=""),"",C668-B668)</f>
        <v>5</v>
      </c>
      <c r="AE668" s="3" t="str">
        <f aca="false">IF(AD668="","Unknown",IF(AD668&lt;0,"Invalid - Ship Before Order","OK"))</f>
        <v>OK</v>
      </c>
      <c r="AF668" s="5" t="n">
        <f aca="false">IF(B668="","",MONTH(B668))</f>
        <v>6</v>
      </c>
      <c r="AG668" s="5" t="n">
        <f aca="false">IF(B668="","",YEAR(B668))</f>
        <v>2024</v>
      </c>
      <c r="AH668" s="3" t="s">
        <v>52</v>
      </c>
      <c r="AI668" s="3" t="s">
        <v>53</v>
      </c>
      <c r="AJ668" s="3" t="str">
        <f aca="false">IF(AND(AI668="Completed",AH668="Failed"),"Inconsistent - Completed Order with Failed Payment","OK")</f>
        <v>OK</v>
      </c>
      <c r="AK668" s="3" t="s">
        <v>54</v>
      </c>
      <c r="AL668" s="3" t="str">
        <f aca="false">IF(OR(T668="Negative - Invalid",T668="Above Allowed Range - Invalid",AE668="Invalid - Ship Before Order",AK668&lt;&gt;"Unique",AB668="Mismatch",AC668="Mismatch",AJ668&lt;&gt;"OK"),"Invalid",IF(OR(H668="Yes",O668="Yes",T668="Missing"),"Warning","Clean"))</f>
        <v>Clean</v>
      </c>
    </row>
    <row r="669" customFormat="false" ht="15" hidden="false" customHeight="true" outlineLevel="0" collapsed="false">
      <c r="A669" s="3" t="s">
        <v>2133</v>
      </c>
      <c r="B669" s="4" t="n">
        <v>45797</v>
      </c>
      <c r="C669" s="4" t="n">
        <v>45804</v>
      </c>
      <c r="D669" s="3" t="s">
        <v>2134</v>
      </c>
      <c r="E669" s="3" t="s">
        <v>192</v>
      </c>
      <c r="F669" s="3" t="s">
        <v>58</v>
      </c>
      <c r="G669" s="3" t="s">
        <v>59</v>
      </c>
      <c r="H669" s="3" t="s">
        <v>43</v>
      </c>
      <c r="I669" s="3" t="s">
        <v>174</v>
      </c>
      <c r="J669" s="3" t="s">
        <v>175</v>
      </c>
      <c r="K669" s="3" t="s">
        <v>99</v>
      </c>
      <c r="L669" s="3" t="s">
        <v>308</v>
      </c>
      <c r="M669" s="3" t="s">
        <v>2135</v>
      </c>
      <c r="N669" s="3" t="s">
        <v>83</v>
      </c>
      <c r="O669" s="3" t="s">
        <v>43</v>
      </c>
      <c r="P669" s="5" t="n">
        <v>1</v>
      </c>
      <c r="Q669" s="6" t="n">
        <v>3959.14</v>
      </c>
      <c r="R669" s="3" t="s">
        <v>66</v>
      </c>
      <c r="S669" s="7" t="n">
        <v>0</v>
      </c>
      <c r="T669" s="3" t="s">
        <v>51</v>
      </c>
      <c r="U669" s="7" t="n">
        <f aca="false">IF(T669="Valid",S669,0)</f>
        <v>0</v>
      </c>
      <c r="V669" s="6" t="n">
        <v>3959.14</v>
      </c>
      <c r="W669" s="6" t="n">
        <v>3239.53</v>
      </c>
      <c r="X669" s="6" t="n">
        <v>719.61</v>
      </c>
      <c r="Y669" s="6" t="n">
        <f aca="false">P669*Q669*(1-U669)</f>
        <v>3959.14</v>
      </c>
      <c r="Z669" s="6" t="n">
        <f aca="false">Y669-W669</f>
        <v>719.61</v>
      </c>
      <c r="AA669" s="8" t="n">
        <f aca="false">IF(Y669=0,0,Z669/Y669)</f>
        <v>0.18175916992074</v>
      </c>
      <c r="AB669" s="3" t="str">
        <f aca="false">IF(ABS(V669-Y669)&gt;1,"Mismatch","OK")</f>
        <v>OK</v>
      </c>
      <c r="AC669" s="3" t="str">
        <f aca="false">IF(ABS(X669-Z669)&gt;1,"Mismatch","OK")</f>
        <v>OK</v>
      </c>
      <c r="AD669" s="5" t="n">
        <f aca="false">IF(OR(B669="",C669=""),"",C669-B669)</f>
        <v>7</v>
      </c>
      <c r="AE669" s="3" t="str">
        <f aca="false">IF(AD669="","Unknown",IF(AD669&lt;0,"Invalid - Ship Before Order","OK"))</f>
        <v>OK</v>
      </c>
      <c r="AF669" s="5" t="n">
        <f aca="false">IF(B669="","",MONTH(B669))</f>
        <v>5</v>
      </c>
      <c r="AG669" s="5" t="n">
        <f aca="false">IF(B669="","",YEAR(B669))</f>
        <v>2025</v>
      </c>
      <c r="AH669" s="3" t="s">
        <v>138</v>
      </c>
      <c r="AI669" s="3" t="s">
        <v>130</v>
      </c>
      <c r="AJ669" s="3" t="str">
        <f aca="false">IF(AND(AI669="Completed",AH669="Failed"),"Inconsistent - Completed Order with Failed Payment","OK")</f>
        <v>OK</v>
      </c>
      <c r="AK669" s="3" t="s">
        <v>54</v>
      </c>
      <c r="AL669" s="3" t="str">
        <f aca="false">IF(OR(T669="Negative - Invalid",T669="Above Allowed Range - Invalid",AE669="Invalid - Ship Before Order",AK669&lt;&gt;"Unique",AB669="Mismatch",AC669="Mismatch",AJ669&lt;&gt;"OK"),"Invalid",IF(OR(H669="Yes",O669="Yes",T669="Missing"),"Warning","Clean"))</f>
        <v>Clean</v>
      </c>
    </row>
    <row r="670" customFormat="false" ht="15" hidden="false" customHeight="true" outlineLevel="0" collapsed="false">
      <c r="A670" s="3" t="s">
        <v>2136</v>
      </c>
      <c r="B670" s="4" t="n">
        <v>45617</v>
      </c>
      <c r="C670" s="4" t="n">
        <v>45619</v>
      </c>
      <c r="D670" s="3" t="s">
        <v>2137</v>
      </c>
      <c r="E670" s="3" t="s">
        <v>57</v>
      </c>
      <c r="F670" s="3" t="s">
        <v>116</v>
      </c>
      <c r="G670" s="3" t="s">
        <v>88</v>
      </c>
      <c r="H670" s="3" t="s">
        <v>43</v>
      </c>
      <c r="I670" s="3" t="s">
        <v>211</v>
      </c>
      <c r="J670" s="3" t="s">
        <v>212</v>
      </c>
      <c r="K670" s="3" t="s">
        <v>46</v>
      </c>
      <c r="L670" s="3" t="s">
        <v>47</v>
      </c>
      <c r="M670" s="3" t="s">
        <v>2138</v>
      </c>
      <c r="N670" s="3" t="s">
        <v>49</v>
      </c>
      <c r="O670" s="3" t="s">
        <v>43</v>
      </c>
      <c r="P670" s="5" t="n">
        <v>5</v>
      </c>
      <c r="Q670" s="6" t="n">
        <v>600.46</v>
      </c>
      <c r="R670" s="3" t="s">
        <v>50</v>
      </c>
      <c r="S670" s="7" t="n">
        <v>0.2</v>
      </c>
      <c r="T670" s="3" t="s">
        <v>51</v>
      </c>
      <c r="U670" s="7" t="n">
        <f aca="false">IF(T670="Valid",S670,0)</f>
        <v>0.2</v>
      </c>
      <c r="V670" s="6" t="n">
        <v>2401.84</v>
      </c>
      <c r="W670" s="6" t="n">
        <v>1873.11</v>
      </c>
      <c r="X670" s="6" t="n">
        <v>528.73</v>
      </c>
      <c r="Y670" s="6" t="n">
        <f aca="false">P670*Q670*(1-U670)</f>
        <v>2401.84</v>
      </c>
      <c r="Z670" s="6" t="n">
        <f aca="false">Y670-W670</f>
        <v>528.73</v>
      </c>
      <c r="AA670" s="8" t="n">
        <f aca="false">IF(Y670=0,0,Z670/Y670)</f>
        <v>0.22013539619625</v>
      </c>
      <c r="AB670" s="3" t="str">
        <f aca="false">IF(ABS(V670-Y670)&gt;1,"Mismatch","OK")</f>
        <v>OK</v>
      </c>
      <c r="AC670" s="3" t="str">
        <f aca="false">IF(ABS(X670-Z670)&gt;1,"Mismatch","OK")</f>
        <v>OK</v>
      </c>
      <c r="AD670" s="5" t="n">
        <f aca="false">IF(OR(B670="",C670=""),"",C670-B670)</f>
        <v>2</v>
      </c>
      <c r="AE670" s="3" t="str">
        <f aca="false">IF(AD670="","Unknown",IF(AD670&lt;0,"Invalid - Ship Before Order","OK"))</f>
        <v>OK</v>
      </c>
      <c r="AF670" s="5" t="n">
        <f aca="false">IF(B670="","",MONTH(B670))</f>
        <v>11</v>
      </c>
      <c r="AG670" s="5" t="n">
        <f aca="false">IF(B670="","",YEAR(B670))</f>
        <v>2024</v>
      </c>
      <c r="AH670" s="3" t="s">
        <v>52</v>
      </c>
      <c r="AI670" s="3" t="s">
        <v>53</v>
      </c>
      <c r="AJ670" s="3" t="str">
        <f aca="false">IF(AND(AI670="Completed",AH670="Failed"),"Inconsistent - Completed Order with Failed Payment","OK")</f>
        <v>OK</v>
      </c>
      <c r="AK670" s="3" t="s">
        <v>54</v>
      </c>
      <c r="AL670" s="3" t="str">
        <f aca="false">IF(OR(T670="Negative - Invalid",T670="Above Allowed Range - Invalid",AE670="Invalid - Ship Before Order",AK670&lt;&gt;"Unique",AB670="Mismatch",AC670="Mismatch",AJ670&lt;&gt;"OK"),"Invalid",IF(OR(H670="Yes",O670="Yes",T670="Missing"),"Warning","Clean"))</f>
        <v>Clean</v>
      </c>
    </row>
    <row r="671" customFormat="false" ht="15" hidden="false" customHeight="true" outlineLevel="0" collapsed="false">
      <c r="A671" s="3" t="s">
        <v>2139</v>
      </c>
      <c r="B671" s="4" t="n">
        <v>45375</v>
      </c>
      <c r="C671" s="4" t="n">
        <v>45383</v>
      </c>
      <c r="D671" s="3" t="s">
        <v>2140</v>
      </c>
      <c r="E671" s="3" t="s">
        <v>87</v>
      </c>
      <c r="F671" s="3" t="s">
        <v>121</v>
      </c>
      <c r="G671" s="3" t="s">
        <v>88</v>
      </c>
      <c r="H671" s="3" t="s">
        <v>43</v>
      </c>
      <c r="I671" s="3" t="s">
        <v>89</v>
      </c>
      <c r="J671" s="3" t="s">
        <v>90</v>
      </c>
      <c r="K671" s="3" t="s">
        <v>62</v>
      </c>
      <c r="L671" s="3" t="s">
        <v>63</v>
      </c>
      <c r="M671" s="3" t="s">
        <v>2141</v>
      </c>
      <c r="N671" s="3" t="s">
        <v>49</v>
      </c>
      <c r="O671" s="3" t="s">
        <v>43</v>
      </c>
      <c r="P671" s="5" t="n">
        <v>4</v>
      </c>
      <c r="Q671" s="6" t="n">
        <v>1700.72</v>
      </c>
      <c r="R671" s="3" t="s">
        <v>84</v>
      </c>
      <c r="S671" s="7" t="n">
        <v>0.25</v>
      </c>
      <c r="T671" s="3" t="s">
        <v>51</v>
      </c>
      <c r="U671" s="7" t="n">
        <f aca="false">IF(T671="Valid",S671,0)</f>
        <v>0.25</v>
      </c>
      <c r="V671" s="6" t="n">
        <v>5102.16</v>
      </c>
      <c r="W671" s="6" t="n">
        <v>3226.45</v>
      </c>
      <c r="X671" s="6" t="n">
        <v>1875.71</v>
      </c>
      <c r="Y671" s="6" t="n">
        <f aca="false">P671*Q671*(1-U671)</f>
        <v>5102.16</v>
      </c>
      <c r="Z671" s="6" t="n">
        <f aca="false">Y671-W671</f>
        <v>1875.71</v>
      </c>
      <c r="AA671" s="8" t="n">
        <f aca="false">IF(Y671=0,0,Z671/Y671)</f>
        <v>0.367630572149835</v>
      </c>
      <c r="AB671" s="3" t="str">
        <f aca="false">IF(ABS(V671-Y671)&gt;1,"Mismatch","OK")</f>
        <v>OK</v>
      </c>
      <c r="AC671" s="3" t="str">
        <f aca="false">IF(ABS(X671-Z671)&gt;1,"Mismatch","OK")</f>
        <v>OK</v>
      </c>
      <c r="AD671" s="5" t="n">
        <f aca="false">IF(OR(B671="",C671=""),"",C671-B671)</f>
        <v>8</v>
      </c>
      <c r="AE671" s="3" t="str">
        <f aca="false">IF(AD671="","Unknown",IF(AD671&lt;0,"Invalid - Ship Before Order","OK"))</f>
        <v>OK</v>
      </c>
      <c r="AF671" s="5" t="n">
        <f aca="false">IF(B671="","",MONTH(B671))</f>
        <v>3</v>
      </c>
      <c r="AG671" s="5" t="n">
        <f aca="false">IF(B671="","",YEAR(B671))</f>
        <v>2024</v>
      </c>
      <c r="AH671" s="3" t="s">
        <v>52</v>
      </c>
      <c r="AI671" s="3" t="s">
        <v>53</v>
      </c>
      <c r="AJ671" s="3" t="str">
        <f aca="false">IF(AND(AI671="Completed",AH671="Failed"),"Inconsistent - Completed Order with Failed Payment","OK")</f>
        <v>OK</v>
      </c>
      <c r="AK671" s="3" t="s">
        <v>54</v>
      </c>
      <c r="AL671" s="3" t="str">
        <f aca="false">IF(OR(T671="Negative - Invalid",T671="Above Allowed Range - Invalid",AE671="Invalid - Ship Before Order",AK671&lt;&gt;"Unique",AB671="Mismatch",AC671="Mismatch",AJ671&lt;&gt;"OK"),"Invalid",IF(OR(H671="Yes",O671="Yes",T671="Missing"),"Warning","Clean"))</f>
        <v>Clean</v>
      </c>
    </row>
    <row r="672" customFormat="false" ht="15" hidden="false" customHeight="true" outlineLevel="0" collapsed="false">
      <c r="A672" s="3" t="s">
        <v>2142</v>
      </c>
      <c r="B672" s="4" t="n">
        <v>45690</v>
      </c>
      <c r="C672" s="4" t="n">
        <v>45694</v>
      </c>
      <c r="D672" s="3" t="s">
        <v>1641</v>
      </c>
      <c r="E672" s="3" t="s">
        <v>159</v>
      </c>
      <c r="F672" s="3" t="s">
        <v>116</v>
      </c>
      <c r="G672" s="3" t="s">
        <v>42</v>
      </c>
      <c r="H672" s="3" t="s">
        <v>43</v>
      </c>
      <c r="I672" s="3" t="s">
        <v>163</v>
      </c>
      <c r="J672" s="3" t="s">
        <v>164</v>
      </c>
      <c r="K672" s="3" t="s">
        <v>62</v>
      </c>
      <c r="L672" s="3" t="s">
        <v>63</v>
      </c>
      <c r="M672" s="3" t="s">
        <v>2143</v>
      </c>
      <c r="N672" s="3" t="s">
        <v>83</v>
      </c>
      <c r="O672" s="3" t="s">
        <v>43</v>
      </c>
      <c r="P672" s="5" t="n">
        <v>8</v>
      </c>
      <c r="Q672" s="6" t="n">
        <v>857.86</v>
      </c>
      <c r="R672" s="3" t="s">
        <v>203</v>
      </c>
      <c r="S672" s="7" t="n">
        <v>0.1</v>
      </c>
      <c r="T672" s="3" t="s">
        <v>51</v>
      </c>
      <c r="U672" s="7" t="n">
        <f aca="false">IF(T672="Valid",S672,0)</f>
        <v>0.1</v>
      </c>
      <c r="V672" s="6" t="n">
        <v>6176.59</v>
      </c>
      <c r="W672" s="6" t="n">
        <v>3560.96</v>
      </c>
      <c r="X672" s="6" t="n">
        <v>2615.63</v>
      </c>
      <c r="Y672" s="6" t="n">
        <f aca="false">P672*Q672*(1-U672)</f>
        <v>6176.592</v>
      </c>
      <c r="Z672" s="6" t="n">
        <f aca="false">Y672-W672</f>
        <v>2615.632</v>
      </c>
      <c r="AA672" s="8" t="n">
        <f aca="false">IF(Y672=0,0,Z672/Y672)</f>
        <v>0.423474951882851</v>
      </c>
      <c r="AB672" s="3" t="str">
        <f aca="false">IF(ABS(V672-Y672)&gt;1,"Mismatch","OK")</f>
        <v>OK</v>
      </c>
      <c r="AC672" s="3" t="str">
        <f aca="false">IF(ABS(X672-Z672)&gt;1,"Mismatch","OK")</f>
        <v>OK</v>
      </c>
      <c r="AD672" s="5" t="n">
        <f aca="false">IF(OR(B672="",C672=""),"",C672-B672)</f>
        <v>4</v>
      </c>
      <c r="AE672" s="3" t="str">
        <f aca="false">IF(AD672="","Unknown",IF(AD672&lt;0,"Invalid - Ship Before Order","OK"))</f>
        <v>OK</v>
      </c>
      <c r="AF672" s="5" t="n">
        <f aca="false">IF(B672="","",MONTH(B672))</f>
        <v>2</v>
      </c>
      <c r="AG672" s="5" t="n">
        <f aca="false">IF(B672="","",YEAR(B672))</f>
        <v>2025</v>
      </c>
      <c r="AH672" s="3" t="s">
        <v>52</v>
      </c>
      <c r="AI672" s="3" t="s">
        <v>53</v>
      </c>
      <c r="AJ672" s="3" t="str">
        <f aca="false">IF(AND(AI672="Completed",AH672="Failed"),"Inconsistent - Completed Order with Failed Payment","OK")</f>
        <v>OK</v>
      </c>
      <c r="AK672" s="3" t="s">
        <v>54</v>
      </c>
      <c r="AL672" s="3" t="str">
        <f aca="false">IF(OR(T672="Negative - Invalid",T672="Above Allowed Range - Invalid",AE672="Invalid - Ship Before Order",AK672&lt;&gt;"Unique",AB672="Mismatch",AC672="Mismatch",AJ672&lt;&gt;"OK"),"Invalid",IF(OR(H672="Yes",O672="Yes",T672="Missing"),"Warning","Clean"))</f>
        <v>Clean</v>
      </c>
    </row>
    <row r="673" customFormat="false" ht="15" hidden="false" customHeight="true" outlineLevel="0" collapsed="false">
      <c r="A673" s="3" t="s">
        <v>2144</v>
      </c>
      <c r="B673" s="4" t="n">
        <v>45373</v>
      </c>
      <c r="C673" s="4" t="n">
        <v>45378</v>
      </c>
      <c r="D673" s="3" t="s">
        <v>2145</v>
      </c>
      <c r="E673" s="3" t="s">
        <v>115</v>
      </c>
      <c r="F673" s="3" t="s">
        <v>121</v>
      </c>
      <c r="G673" s="3" t="s">
        <v>88</v>
      </c>
      <c r="H673" s="3" t="s">
        <v>43</v>
      </c>
      <c r="I673" s="3" t="s">
        <v>221</v>
      </c>
      <c r="J673" s="3" t="s">
        <v>222</v>
      </c>
      <c r="K673" s="3" t="s">
        <v>99</v>
      </c>
      <c r="L673" s="3" t="s">
        <v>105</v>
      </c>
      <c r="M673" s="3" t="s">
        <v>2146</v>
      </c>
      <c r="N673" s="3" t="s">
        <v>49</v>
      </c>
      <c r="O673" s="3" t="s">
        <v>43</v>
      </c>
      <c r="P673" s="5" t="n">
        <v>9</v>
      </c>
      <c r="Q673" s="6" t="n">
        <v>3649.51</v>
      </c>
      <c r="R673" s="3" t="s">
        <v>128</v>
      </c>
      <c r="S673" s="7" t="n">
        <v>0.05</v>
      </c>
      <c r="T673" s="3" t="s">
        <v>51</v>
      </c>
      <c r="U673" s="7" t="n">
        <f aca="false">IF(T673="Valid",S673,0)</f>
        <v>0.05</v>
      </c>
      <c r="V673" s="6" t="n">
        <v>31203.31</v>
      </c>
      <c r="W673" s="6" t="n">
        <v>17738.13</v>
      </c>
      <c r="X673" s="6" t="n">
        <v>13465.18</v>
      </c>
      <c r="Y673" s="6" t="n">
        <f aca="false">P673*Q673*(1-U673)</f>
        <v>31203.3105</v>
      </c>
      <c r="Z673" s="6" t="n">
        <f aca="false">Y673-W673</f>
        <v>13465.1805</v>
      </c>
      <c r="AA673" s="8" t="n">
        <f aca="false">IF(Y673=0,0,Z673/Y673)</f>
        <v>0.431530510200192</v>
      </c>
      <c r="AB673" s="3" t="str">
        <f aca="false">IF(ABS(V673-Y673)&gt;1,"Mismatch","OK")</f>
        <v>OK</v>
      </c>
      <c r="AC673" s="3" t="str">
        <f aca="false">IF(ABS(X673-Z673)&gt;1,"Mismatch","OK")</f>
        <v>OK</v>
      </c>
      <c r="AD673" s="5" t="n">
        <f aca="false">IF(OR(B673="",C673=""),"",C673-B673)</f>
        <v>5</v>
      </c>
      <c r="AE673" s="3" t="str">
        <f aca="false">IF(AD673="","Unknown",IF(AD673&lt;0,"Invalid - Ship Before Order","OK"))</f>
        <v>OK</v>
      </c>
      <c r="AF673" s="5" t="n">
        <f aca="false">IF(B673="","",MONTH(B673))</f>
        <v>3</v>
      </c>
      <c r="AG673" s="5" t="n">
        <f aca="false">IF(B673="","",YEAR(B673))</f>
        <v>2024</v>
      </c>
      <c r="AH673" s="3" t="s">
        <v>52</v>
      </c>
      <c r="AI673" s="3" t="s">
        <v>53</v>
      </c>
      <c r="AJ673" s="3" t="str">
        <f aca="false">IF(AND(AI673="Completed",AH673="Failed"),"Inconsistent - Completed Order with Failed Payment","OK")</f>
        <v>OK</v>
      </c>
      <c r="AK673" s="3" t="s">
        <v>54</v>
      </c>
      <c r="AL673" s="3" t="str">
        <f aca="false">IF(OR(T673="Negative - Invalid",T673="Above Allowed Range - Invalid",AE673="Invalid - Ship Before Order",AK673&lt;&gt;"Unique",AB673="Mismatch",AC673="Mismatch",AJ673&lt;&gt;"OK"),"Invalid",IF(OR(H673="Yes",O673="Yes",T673="Missing"),"Warning","Clean"))</f>
        <v>Clean</v>
      </c>
    </row>
    <row r="674" customFormat="false" ht="15" hidden="false" customHeight="true" outlineLevel="0" collapsed="false">
      <c r="A674" s="3" t="s">
        <v>2147</v>
      </c>
      <c r="B674" s="4" t="n">
        <v>45539</v>
      </c>
      <c r="C674" s="4" t="n">
        <v>45540</v>
      </c>
      <c r="D674" s="3" t="s">
        <v>2148</v>
      </c>
      <c r="E674" s="3" t="s">
        <v>115</v>
      </c>
      <c r="F674" s="3" t="s">
        <v>116</v>
      </c>
      <c r="G674" s="3" t="s">
        <v>88</v>
      </c>
      <c r="H674" s="3" t="s">
        <v>43</v>
      </c>
      <c r="I674" s="3" t="s">
        <v>97</v>
      </c>
      <c r="J674" s="3" t="s">
        <v>98</v>
      </c>
      <c r="K674" s="3" t="s">
        <v>62</v>
      </c>
      <c r="L674" s="3" t="s">
        <v>91</v>
      </c>
      <c r="M674" s="3" t="s">
        <v>2149</v>
      </c>
      <c r="N674" s="3" t="s">
        <v>83</v>
      </c>
      <c r="O674" s="3" t="s">
        <v>43</v>
      </c>
      <c r="P674" s="5" t="n">
        <v>5</v>
      </c>
      <c r="Q674" s="6" t="n">
        <v>2528.53</v>
      </c>
      <c r="R674" s="3" t="s">
        <v>128</v>
      </c>
      <c r="S674" s="7" t="n">
        <v>0.05</v>
      </c>
      <c r="T674" s="3" t="s">
        <v>51</v>
      </c>
      <c r="U674" s="7" t="n">
        <f aca="false">IF(T674="Valid",S674,0)</f>
        <v>0.05</v>
      </c>
      <c r="V674" s="6" t="n">
        <v>12010.52</v>
      </c>
      <c r="W674" s="6" t="n">
        <v>7864.61</v>
      </c>
      <c r="X674" s="6" t="n">
        <v>4145.91</v>
      </c>
      <c r="Y674" s="6" t="n">
        <f aca="false">P674*Q674*(1-U674)</f>
        <v>12010.5175</v>
      </c>
      <c r="Z674" s="6" t="n">
        <f aca="false">Y674-W674</f>
        <v>4145.9075</v>
      </c>
      <c r="AA674" s="8" t="n">
        <f aca="false">IF(Y674=0,0,Z674/Y674)</f>
        <v>0.34518974723612</v>
      </c>
      <c r="AB674" s="3" t="str">
        <f aca="false">IF(ABS(V674-Y674)&gt;1,"Mismatch","OK")</f>
        <v>OK</v>
      </c>
      <c r="AC674" s="3" t="str">
        <f aca="false">IF(ABS(X674-Z674)&gt;1,"Mismatch","OK")</f>
        <v>OK</v>
      </c>
      <c r="AD674" s="5" t="n">
        <f aca="false">IF(OR(B674="",C674=""),"",C674-B674)</f>
        <v>1</v>
      </c>
      <c r="AE674" s="3" t="str">
        <f aca="false">IF(AD674="","Unknown",IF(AD674&lt;0,"Invalid - Ship Before Order","OK"))</f>
        <v>OK</v>
      </c>
      <c r="AF674" s="5" t="n">
        <f aca="false">IF(B674="","",MONTH(B674))</f>
        <v>9</v>
      </c>
      <c r="AG674" s="5" t="n">
        <f aca="false">IF(B674="","",YEAR(B674))</f>
        <v>2024</v>
      </c>
      <c r="AH674" s="3" t="s">
        <v>52</v>
      </c>
      <c r="AI674" s="3" t="s">
        <v>130</v>
      </c>
      <c r="AJ674" s="3" t="str">
        <f aca="false">IF(AND(AI674="Completed",AH674="Failed"),"Inconsistent - Completed Order with Failed Payment","OK")</f>
        <v>OK</v>
      </c>
      <c r="AK674" s="3" t="s">
        <v>54</v>
      </c>
      <c r="AL674" s="3" t="str">
        <f aca="false">IF(OR(T674="Negative - Invalid",T674="Above Allowed Range - Invalid",AE674="Invalid - Ship Before Order",AK674&lt;&gt;"Unique",AB674="Mismatch",AC674="Mismatch",AJ674&lt;&gt;"OK"),"Invalid",IF(OR(H674="Yes",O674="Yes",T674="Missing"),"Warning","Clean"))</f>
        <v>Clean</v>
      </c>
    </row>
    <row r="675" customFormat="false" ht="15" hidden="false" customHeight="true" outlineLevel="0" collapsed="false">
      <c r="A675" s="3" t="s">
        <v>2150</v>
      </c>
      <c r="B675" s="4" t="n">
        <v>45701</v>
      </c>
      <c r="C675" s="4" t="n">
        <v>45704</v>
      </c>
      <c r="D675" s="3" t="s">
        <v>2151</v>
      </c>
      <c r="E675" s="3" t="s">
        <v>77</v>
      </c>
      <c r="F675" s="3" t="s">
        <v>58</v>
      </c>
      <c r="G675" s="3" t="s">
        <v>88</v>
      </c>
      <c r="H675" s="3" t="s">
        <v>43</v>
      </c>
      <c r="I675" s="3" t="s">
        <v>44</v>
      </c>
      <c r="J675" s="3" t="s">
        <v>136</v>
      </c>
      <c r="K675" s="3" t="s">
        <v>62</v>
      </c>
      <c r="L675" s="3" t="s">
        <v>188</v>
      </c>
      <c r="M675" s="3" t="s">
        <v>2152</v>
      </c>
      <c r="N675" s="3" t="s">
        <v>49</v>
      </c>
      <c r="O675" s="3" t="s">
        <v>43</v>
      </c>
      <c r="P675" s="5" t="n">
        <v>4</v>
      </c>
      <c r="Q675" s="6" t="n">
        <v>4072.9</v>
      </c>
      <c r="R675" s="3" t="s">
        <v>107</v>
      </c>
      <c r="S675" s="7" t="n">
        <v>0.15</v>
      </c>
      <c r="T675" s="3" t="s">
        <v>51</v>
      </c>
      <c r="U675" s="7" t="n">
        <f aca="false">IF(T675="Valid",S675,0)</f>
        <v>0.15</v>
      </c>
      <c r="V675" s="6" t="n">
        <v>13847.86</v>
      </c>
      <c r="W675" s="6" t="n">
        <v>8471.78</v>
      </c>
      <c r="X675" s="6" t="n">
        <v>5376.08</v>
      </c>
      <c r="Y675" s="6" t="n">
        <f aca="false">P675*Q675*(1-U675)</f>
        <v>13847.86</v>
      </c>
      <c r="Z675" s="6" t="n">
        <f aca="false">Y675-W675</f>
        <v>5376.08</v>
      </c>
      <c r="AA675" s="8" t="n">
        <f aca="false">IF(Y675=0,0,Z675/Y675)</f>
        <v>0.388224606545705</v>
      </c>
      <c r="AB675" s="3" t="str">
        <f aca="false">IF(ABS(V675-Y675)&gt;1,"Mismatch","OK")</f>
        <v>OK</v>
      </c>
      <c r="AC675" s="3" t="str">
        <f aca="false">IF(ABS(X675-Z675)&gt;1,"Mismatch","OK")</f>
        <v>OK</v>
      </c>
      <c r="AD675" s="5" t="n">
        <f aca="false">IF(OR(B675="",C675=""),"",C675-B675)</f>
        <v>3</v>
      </c>
      <c r="AE675" s="3" t="str">
        <f aca="false">IF(AD675="","Unknown",IF(AD675&lt;0,"Invalid - Ship Before Order","OK"))</f>
        <v>OK</v>
      </c>
      <c r="AF675" s="5" t="n">
        <f aca="false">IF(B675="","",MONTH(B675))</f>
        <v>2</v>
      </c>
      <c r="AG675" s="5" t="n">
        <f aca="false">IF(B675="","",YEAR(B675))</f>
        <v>2025</v>
      </c>
      <c r="AH675" s="3" t="s">
        <v>52</v>
      </c>
      <c r="AI675" s="3" t="s">
        <v>53</v>
      </c>
      <c r="AJ675" s="3" t="str">
        <f aca="false">IF(AND(AI675="Completed",AH675="Failed"),"Inconsistent - Completed Order with Failed Payment","OK")</f>
        <v>OK</v>
      </c>
      <c r="AK675" s="3" t="s">
        <v>54</v>
      </c>
      <c r="AL675" s="3" t="str">
        <f aca="false">IF(OR(T675="Negative - Invalid",T675="Above Allowed Range - Invalid",AE675="Invalid - Ship Before Order",AK675&lt;&gt;"Unique",AB675="Mismatch",AC675="Mismatch",AJ675&lt;&gt;"OK"),"Invalid",IF(OR(H675="Yes",O675="Yes",T675="Missing"),"Warning","Clean"))</f>
        <v>Clean</v>
      </c>
    </row>
    <row r="676" customFormat="false" ht="15" hidden="false" customHeight="true" outlineLevel="0" collapsed="false">
      <c r="A676" s="3" t="s">
        <v>2153</v>
      </c>
      <c r="B676" s="4" t="n">
        <v>45430</v>
      </c>
      <c r="C676" s="4" t="n">
        <v>45433</v>
      </c>
      <c r="D676" s="3" t="s">
        <v>2154</v>
      </c>
      <c r="E676" s="3" t="s">
        <v>96</v>
      </c>
      <c r="F676" s="3" t="s">
        <v>116</v>
      </c>
      <c r="G676" s="3" t="s">
        <v>59</v>
      </c>
      <c r="H676" s="3" t="s">
        <v>43</v>
      </c>
      <c r="I676" s="3" t="s">
        <v>262</v>
      </c>
      <c r="J676" s="3" t="s">
        <v>263</v>
      </c>
      <c r="K676" s="3" t="s">
        <v>99</v>
      </c>
      <c r="L676" s="3" t="s">
        <v>100</v>
      </c>
      <c r="M676" s="3" t="s">
        <v>2155</v>
      </c>
      <c r="N676" s="3" t="s">
        <v>49</v>
      </c>
      <c r="O676" s="3" t="s">
        <v>43</v>
      </c>
      <c r="P676" s="5" t="n">
        <v>1</v>
      </c>
      <c r="Q676" s="6" t="n">
        <v>1033.71</v>
      </c>
      <c r="R676" s="3" t="s">
        <v>66</v>
      </c>
      <c r="S676" s="7" t="n">
        <v>0</v>
      </c>
      <c r="T676" s="3" t="s">
        <v>51</v>
      </c>
      <c r="U676" s="7" t="n">
        <f aca="false">IF(T676="Valid",S676,0)</f>
        <v>0</v>
      </c>
      <c r="V676" s="6" t="n">
        <v>1033.71</v>
      </c>
      <c r="W676" s="6" t="n">
        <v>630.82</v>
      </c>
      <c r="X676" s="6" t="n">
        <v>402.89</v>
      </c>
      <c r="Y676" s="6" t="n">
        <f aca="false">P676*Q676*(1-U676)</f>
        <v>1033.71</v>
      </c>
      <c r="Z676" s="6" t="n">
        <f aca="false">Y676-W676</f>
        <v>402.89</v>
      </c>
      <c r="AA676" s="8" t="n">
        <f aca="false">IF(Y676=0,0,Z676/Y676)</f>
        <v>0.389751477687166</v>
      </c>
      <c r="AB676" s="3" t="str">
        <f aca="false">IF(ABS(V676-Y676)&gt;1,"Mismatch","OK")</f>
        <v>OK</v>
      </c>
      <c r="AC676" s="3" t="str">
        <f aca="false">IF(ABS(X676-Z676)&gt;1,"Mismatch","OK")</f>
        <v>OK</v>
      </c>
      <c r="AD676" s="5" t="n">
        <f aca="false">IF(OR(B676="",C676=""),"",C676-B676)</f>
        <v>3</v>
      </c>
      <c r="AE676" s="3" t="str">
        <f aca="false">IF(AD676="","Unknown",IF(AD676&lt;0,"Invalid - Ship Before Order","OK"))</f>
        <v>OK</v>
      </c>
      <c r="AF676" s="5" t="n">
        <f aca="false">IF(B676="","",MONTH(B676))</f>
        <v>5</v>
      </c>
      <c r="AG676" s="5" t="n">
        <f aca="false">IF(B676="","",YEAR(B676))</f>
        <v>2024</v>
      </c>
      <c r="AH676" s="3" t="s">
        <v>138</v>
      </c>
      <c r="AI676" s="3" t="s">
        <v>130</v>
      </c>
      <c r="AJ676" s="3" t="str">
        <f aca="false">IF(AND(AI676="Completed",AH676="Failed"),"Inconsistent - Completed Order with Failed Payment","OK")</f>
        <v>OK</v>
      </c>
      <c r="AK676" s="3" t="s">
        <v>54</v>
      </c>
      <c r="AL676" s="3" t="str">
        <f aca="false">IF(OR(T676="Negative - Invalid",T676="Above Allowed Range - Invalid",AE676="Invalid - Ship Before Order",AK676&lt;&gt;"Unique",AB676="Mismatch",AC676="Mismatch",AJ676&lt;&gt;"OK"),"Invalid",IF(OR(H676="Yes",O676="Yes",T676="Missing"),"Warning","Clean"))</f>
        <v>Clean</v>
      </c>
    </row>
    <row r="677" customFormat="false" ht="15" hidden="false" customHeight="true" outlineLevel="0" collapsed="false">
      <c r="A677" s="3" t="s">
        <v>2156</v>
      </c>
      <c r="B677" s="4" t="n">
        <v>45815</v>
      </c>
      <c r="C677" s="4" t="n">
        <v>45818</v>
      </c>
      <c r="D677" s="3" t="s">
        <v>2055</v>
      </c>
      <c r="E677" s="3" t="s">
        <v>155</v>
      </c>
      <c r="F677" s="3" t="s">
        <v>41</v>
      </c>
      <c r="G677" s="3" t="s">
        <v>42</v>
      </c>
      <c r="H677" s="3" t="s">
        <v>43</v>
      </c>
      <c r="I677" s="3" t="s">
        <v>44</v>
      </c>
      <c r="J677" s="3" t="s">
        <v>45</v>
      </c>
      <c r="K677" s="3" t="s">
        <v>62</v>
      </c>
      <c r="L677" s="3" t="s">
        <v>81</v>
      </c>
      <c r="M677" s="3" t="s">
        <v>2157</v>
      </c>
      <c r="N677" s="3" t="s">
        <v>65</v>
      </c>
      <c r="O677" s="3" t="s">
        <v>43</v>
      </c>
      <c r="P677" s="5" t="n">
        <v>3</v>
      </c>
      <c r="Q677" s="6" t="n">
        <v>963.26</v>
      </c>
      <c r="R677" s="3" t="s">
        <v>66</v>
      </c>
      <c r="S677" s="7" t="n">
        <v>0</v>
      </c>
      <c r="T677" s="3" t="s">
        <v>51</v>
      </c>
      <c r="U677" s="7" t="n">
        <f aca="false">IF(T677="Valid",S677,0)</f>
        <v>0</v>
      </c>
      <c r="V677" s="6" t="n">
        <v>2889.78</v>
      </c>
      <c r="W677" s="6" t="n">
        <v>1811.23</v>
      </c>
      <c r="X677" s="6" t="n">
        <v>1078.55</v>
      </c>
      <c r="Y677" s="6" t="n">
        <f aca="false">P677*Q677*(1-U677)</f>
        <v>2889.78</v>
      </c>
      <c r="Z677" s="6" t="n">
        <f aca="false">Y677-W677</f>
        <v>1078.55</v>
      </c>
      <c r="AA677" s="8" t="n">
        <f aca="false">IF(Y677=0,0,Z677/Y677)</f>
        <v>0.373229103945629</v>
      </c>
      <c r="AB677" s="3" t="str">
        <f aca="false">IF(ABS(V677-Y677)&gt;1,"Mismatch","OK")</f>
        <v>OK</v>
      </c>
      <c r="AC677" s="3" t="str">
        <f aca="false">IF(ABS(X677-Z677)&gt;1,"Mismatch","OK")</f>
        <v>OK</v>
      </c>
      <c r="AD677" s="5" t="n">
        <f aca="false">IF(OR(B677="",C677=""),"",C677-B677)</f>
        <v>3</v>
      </c>
      <c r="AE677" s="3" t="str">
        <f aca="false">IF(AD677="","Unknown",IF(AD677&lt;0,"Invalid - Ship Before Order","OK"))</f>
        <v>OK</v>
      </c>
      <c r="AF677" s="5" t="n">
        <f aca="false">IF(B677="","",MONTH(B677))</f>
        <v>6</v>
      </c>
      <c r="AG677" s="5" t="n">
        <f aca="false">IF(B677="","",YEAR(B677))</f>
        <v>2025</v>
      </c>
      <c r="AH677" s="3" t="s">
        <v>52</v>
      </c>
      <c r="AI677" s="3" t="s">
        <v>53</v>
      </c>
      <c r="AJ677" s="3" t="str">
        <f aca="false">IF(AND(AI677="Completed",AH677="Failed"),"Inconsistent - Completed Order with Failed Payment","OK")</f>
        <v>OK</v>
      </c>
      <c r="AK677" s="3" t="s">
        <v>54</v>
      </c>
      <c r="AL677" s="3" t="str">
        <f aca="false">IF(OR(T677="Negative - Invalid",T677="Above Allowed Range - Invalid",AE677="Invalid - Ship Before Order",AK677&lt;&gt;"Unique",AB677="Mismatch",AC677="Mismatch",AJ677&lt;&gt;"OK"),"Invalid",IF(OR(H677="Yes",O677="Yes",T677="Missing"),"Warning","Clean"))</f>
        <v>Clean</v>
      </c>
    </row>
    <row r="678" customFormat="false" ht="15" hidden="false" customHeight="true" outlineLevel="0" collapsed="false">
      <c r="A678" s="3" t="s">
        <v>2158</v>
      </c>
      <c r="B678" s="4" t="n">
        <v>45911</v>
      </c>
      <c r="C678" s="4" t="n">
        <v>45918</v>
      </c>
      <c r="D678" s="3" t="s">
        <v>2159</v>
      </c>
      <c r="E678" s="3" t="s">
        <v>145</v>
      </c>
      <c r="F678" s="3" t="s">
        <v>58</v>
      </c>
      <c r="G678" s="3" t="s">
        <v>42</v>
      </c>
      <c r="H678" s="3" t="s">
        <v>43</v>
      </c>
      <c r="I678" s="3" t="s">
        <v>384</v>
      </c>
      <c r="J678" s="3" t="s">
        <v>385</v>
      </c>
      <c r="K678" s="3" t="s">
        <v>99</v>
      </c>
      <c r="L678" s="3" t="s">
        <v>201</v>
      </c>
      <c r="M678" s="3" t="s">
        <v>2160</v>
      </c>
      <c r="N678" s="3" t="s">
        <v>65</v>
      </c>
      <c r="O678" s="3" t="s">
        <v>43</v>
      </c>
      <c r="P678" s="5" t="n">
        <v>7</v>
      </c>
      <c r="Q678" s="6" t="n">
        <v>3411.21</v>
      </c>
      <c r="R678" s="3" t="s">
        <v>107</v>
      </c>
      <c r="S678" s="7" t="n">
        <v>0.15</v>
      </c>
      <c r="T678" s="3" t="s">
        <v>51</v>
      </c>
      <c r="U678" s="7" t="n">
        <f aca="false">IF(T678="Valid",S678,0)</f>
        <v>0.15</v>
      </c>
      <c r="V678" s="6" t="n">
        <v>20296.7</v>
      </c>
      <c r="W678" s="6" t="n">
        <v>14920.87</v>
      </c>
      <c r="X678" s="6" t="n">
        <v>5375.83</v>
      </c>
      <c r="Y678" s="6" t="n">
        <f aca="false">P678*Q678*(1-U678)</f>
        <v>20296.6995</v>
      </c>
      <c r="Z678" s="6" t="n">
        <f aca="false">Y678-W678</f>
        <v>5375.8295</v>
      </c>
      <c r="AA678" s="8" t="n">
        <f aca="false">IF(Y678=0,0,Z678/Y678)</f>
        <v>0.264862250140719</v>
      </c>
      <c r="AB678" s="3" t="str">
        <f aca="false">IF(ABS(V678-Y678)&gt;1,"Mismatch","OK")</f>
        <v>OK</v>
      </c>
      <c r="AC678" s="3" t="str">
        <f aca="false">IF(ABS(X678-Z678)&gt;1,"Mismatch","OK")</f>
        <v>OK</v>
      </c>
      <c r="AD678" s="5" t="n">
        <f aca="false">IF(OR(B678="",C678=""),"",C678-B678)</f>
        <v>7</v>
      </c>
      <c r="AE678" s="3" t="str">
        <f aca="false">IF(AD678="","Unknown",IF(AD678&lt;0,"Invalid - Ship Before Order","OK"))</f>
        <v>OK</v>
      </c>
      <c r="AF678" s="5" t="n">
        <f aca="false">IF(B678="","",MONTH(B678))</f>
        <v>9</v>
      </c>
      <c r="AG678" s="5" t="n">
        <f aca="false">IF(B678="","",YEAR(B678))</f>
        <v>2025</v>
      </c>
      <c r="AH678" s="3" t="s">
        <v>52</v>
      </c>
      <c r="AI678" s="3" t="s">
        <v>53</v>
      </c>
      <c r="AJ678" s="3" t="str">
        <f aca="false">IF(AND(AI678="Completed",AH678="Failed"),"Inconsistent - Completed Order with Failed Payment","OK")</f>
        <v>OK</v>
      </c>
      <c r="AK678" s="3" t="s">
        <v>54</v>
      </c>
      <c r="AL678" s="3" t="str">
        <f aca="false">IF(OR(T678="Negative - Invalid",T678="Above Allowed Range - Invalid",AE678="Invalid - Ship Before Order",AK678&lt;&gt;"Unique",AB678="Mismatch",AC678="Mismatch",AJ678&lt;&gt;"OK"),"Invalid",IF(OR(H678="Yes",O678="Yes",T678="Missing"),"Warning","Clean"))</f>
        <v>Clean</v>
      </c>
    </row>
    <row r="679" customFormat="false" ht="15" hidden="false" customHeight="true" outlineLevel="0" collapsed="false">
      <c r="A679" s="3" t="s">
        <v>2161</v>
      </c>
      <c r="B679" s="4" t="n">
        <v>45465</v>
      </c>
      <c r="C679" s="4" t="n">
        <v>45470</v>
      </c>
      <c r="D679" s="3" t="s">
        <v>39</v>
      </c>
      <c r="E679" s="3" t="s">
        <v>69</v>
      </c>
      <c r="F679" s="3" t="s">
        <v>121</v>
      </c>
      <c r="G679" s="3" t="s">
        <v>78</v>
      </c>
      <c r="H679" s="3" t="s">
        <v>43</v>
      </c>
      <c r="I679" s="3" t="s">
        <v>206</v>
      </c>
      <c r="J679" s="3" t="s">
        <v>207</v>
      </c>
      <c r="K679" s="3" t="s">
        <v>62</v>
      </c>
      <c r="L679" s="3" t="s">
        <v>91</v>
      </c>
      <c r="M679" s="3" t="s">
        <v>2162</v>
      </c>
      <c r="N679" s="3" t="s">
        <v>65</v>
      </c>
      <c r="O679" s="3" t="s">
        <v>43</v>
      </c>
      <c r="P679" s="5" t="n">
        <v>7</v>
      </c>
      <c r="Q679" s="6" t="n">
        <v>2623.48</v>
      </c>
      <c r="R679" s="3" t="s">
        <v>66</v>
      </c>
      <c r="S679" s="7" t="n">
        <v>0</v>
      </c>
      <c r="T679" s="3" t="s">
        <v>51</v>
      </c>
      <c r="U679" s="7" t="n">
        <f aca="false">IF(T679="Valid",S679,0)</f>
        <v>0</v>
      </c>
      <c r="V679" s="6" t="n">
        <v>18364.36</v>
      </c>
      <c r="W679" s="6" t="n">
        <v>15445.81</v>
      </c>
      <c r="X679" s="6" t="n">
        <v>2918.55</v>
      </c>
      <c r="Y679" s="6" t="n">
        <f aca="false">P679*Q679*(1-U679)</f>
        <v>18364.36</v>
      </c>
      <c r="Z679" s="6" t="n">
        <f aca="false">Y679-W679</f>
        <v>2918.55</v>
      </c>
      <c r="AA679" s="8" t="n">
        <f aca="false">IF(Y679=0,0,Z679/Y679)</f>
        <v>0.158924678017639</v>
      </c>
      <c r="AB679" s="3" t="str">
        <f aca="false">IF(ABS(V679-Y679)&gt;1,"Mismatch","OK")</f>
        <v>OK</v>
      </c>
      <c r="AC679" s="3" t="str">
        <f aca="false">IF(ABS(X679-Z679)&gt;1,"Mismatch","OK")</f>
        <v>OK</v>
      </c>
      <c r="AD679" s="5" t="n">
        <f aca="false">IF(OR(B679="",C679=""),"",C679-B679)</f>
        <v>5</v>
      </c>
      <c r="AE679" s="3" t="str">
        <f aca="false">IF(AD679="","Unknown",IF(AD679&lt;0,"Invalid - Ship Before Order","OK"))</f>
        <v>OK</v>
      </c>
      <c r="AF679" s="5" t="n">
        <f aca="false">IF(B679="","",MONTH(B679))</f>
        <v>6</v>
      </c>
      <c r="AG679" s="5" t="n">
        <f aca="false">IF(B679="","",YEAR(B679))</f>
        <v>2024</v>
      </c>
      <c r="AH679" s="3" t="s">
        <v>52</v>
      </c>
      <c r="AI679" s="3" t="s">
        <v>53</v>
      </c>
      <c r="AJ679" s="3" t="str">
        <f aca="false">IF(AND(AI679="Completed",AH679="Failed"),"Inconsistent - Completed Order with Failed Payment","OK")</f>
        <v>OK</v>
      </c>
      <c r="AK679" s="3" t="s">
        <v>54</v>
      </c>
      <c r="AL679" s="3" t="str">
        <f aca="false">IF(OR(T679="Negative - Invalid",T679="Above Allowed Range - Invalid",AE679="Invalid - Ship Before Order",AK679&lt;&gt;"Unique",AB679="Mismatch",AC679="Mismatch",AJ679&lt;&gt;"OK"),"Invalid",IF(OR(H679="Yes",O679="Yes",T679="Missing"),"Warning","Clean"))</f>
        <v>Clean</v>
      </c>
    </row>
    <row r="680" customFormat="false" ht="15" hidden="false" customHeight="true" outlineLevel="0" collapsed="false">
      <c r="A680" s="3" t="s">
        <v>2163</v>
      </c>
      <c r="B680" s="4" t="n">
        <v>45620</v>
      </c>
      <c r="C680" s="4" t="n">
        <v>45627</v>
      </c>
      <c r="D680" s="3" t="s">
        <v>2164</v>
      </c>
      <c r="E680" s="3" t="s">
        <v>298</v>
      </c>
      <c r="F680" s="3" t="s">
        <v>116</v>
      </c>
      <c r="G680" s="3" t="s">
        <v>78</v>
      </c>
      <c r="H680" s="3" t="s">
        <v>43</v>
      </c>
      <c r="I680" s="3" t="s">
        <v>206</v>
      </c>
      <c r="J680" s="3" t="s">
        <v>207</v>
      </c>
      <c r="K680" s="3" t="s">
        <v>62</v>
      </c>
      <c r="L680" s="3" t="s">
        <v>63</v>
      </c>
      <c r="M680" s="3" t="s">
        <v>2165</v>
      </c>
      <c r="N680" s="3" t="s">
        <v>49</v>
      </c>
      <c r="O680" s="3" t="s">
        <v>43</v>
      </c>
      <c r="P680" s="5" t="n">
        <v>9</v>
      </c>
      <c r="Q680" s="6" t="n">
        <v>2763.61</v>
      </c>
      <c r="R680" s="3" t="s">
        <v>107</v>
      </c>
      <c r="S680" s="7" t="n">
        <v>0.15</v>
      </c>
      <c r="T680" s="3" t="s">
        <v>51</v>
      </c>
      <c r="U680" s="7" t="n">
        <f aca="false">IF(T680="Valid",S680,0)</f>
        <v>0.15</v>
      </c>
      <c r="V680" s="6" t="n">
        <v>21141.62</v>
      </c>
      <c r="W680" s="6" t="n">
        <v>11676.33</v>
      </c>
      <c r="X680" s="6" t="n">
        <v>9465.29</v>
      </c>
      <c r="Y680" s="6" t="n">
        <f aca="false">P680*Q680*(1-U680)</f>
        <v>21141.6165</v>
      </c>
      <c r="Z680" s="6" t="n">
        <f aca="false">Y680-W680</f>
        <v>9465.2865</v>
      </c>
      <c r="AA680" s="8" t="n">
        <f aca="false">IF(Y680=0,0,Z680/Y680)</f>
        <v>0.447708740719992</v>
      </c>
      <c r="AB680" s="3" t="str">
        <f aca="false">IF(ABS(V680-Y680)&gt;1,"Mismatch","OK")</f>
        <v>OK</v>
      </c>
      <c r="AC680" s="3" t="str">
        <f aca="false">IF(ABS(X680-Z680)&gt;1,"Mismatch","OK")</f>
        <v>OK</v>
      </c>
      <c r="AD680" s="5" t="n">
        <f aca="false">IF(OR(B680="",C680=""),"",C680-B680)</f>
        <v>7</v>
      </c>
      <c r="AE680" s="3" t="str">
        <f aca="false">IF(AD680="","Unknown",IF(AD680&lt;0,"Invalid - Ship Before Order","OK"))</f>
        <v>OK</v>
      </c>
      <c r="AF680" s="5" t="n">
        <f aca="false">IF(B680="","",MONTH(B680))</f>
        <v>11</v>
      </c>
      <c r="AG680" s="5" t="n">
        <f aca="false">IF(B680="","",YEAR(B680))</f>
        <v>2024</v>
      </c>
      <c r="AH680" s="3" t="s">
        <v>52</v>
      </c>
      <c r="AI680" s="3" t="s">
        <v>53</v>
      </c>
      <c r="AJ680" s="3" t="str">
        <f aca="false">IF(AND(AI680="Completed",AH680="Failed"),"Inconsistent - Completed Order with Failed Payment","OK")</f>
        <v>OK</v>
      </c>
      <c r="AK680" s="3" t="s">
        <v>54</v>
      </c>
      <c r="AL680" s="3" t="str">
        <f aca="false">IF(OR(T680="Negative - Invalid",T680="Above Allowed Range - Invalid",AE680="Invalid - Ship Before Order",AK680&lt;&gt;"Unique",AB680="Mismatch",AC680="Mismatch",AJ680&lt;&gt;"OK"),"Invalid",IF(OR(H680="Yes",O680="Yes",T680="Missing"),"Warning","Clean"))</f>
        <v>Clean</v>
      </c>
    </row>
    <row r="681" customFormat="false" ht="15" hidden="false" customHeight="true" outlineLevel="0" collapsed="false">
      <c r="A681" s="3" t="s">
        <v>2166</v>
      </c>
      <c r="B681" s="4" t="n">
        <v>45885</v>
      </c>
      <c r="C681" s="4" t="n">
        <v>45892</v>
      </c>
      <c r="D681" s="3" t="s">
        <v>2167</v>
      </c>
      <c r="E681" s="3" t="s">
        <v>168</v>
      </c>
      <c r="F681" s="3" t="s">
        <v>116</v>
      </c>
      <c r="G681" s="3" t="s">
        <v>42</v>
      </c>
      <c r="H681" s="3" t="s">
        <v>43</v>
      </c>
      <c r="I681" s="3" t="s">
        <v>149</v>
      </c>
      <c r="J681" s="3" t="s">
        <v>150</v>
      </c>
      <c r="K681" s="3" t="s">
        <v>99</v>
      </c>
      <c r="L681" s="3" t="s">
        <v>105</v>
      </c>
      <c r="M681" s="3" t="s">
        <v>2168</v>
      </c>
      <c r="N681" s="3" t="s">
        <v>65</v>
      </c>
      <c r="O681" s="3" t="s">
        <v>43</v>
      </c>
      <c r="P681" s="5" t="n">
        <v>4</v>
      </c>
      <c r="Q681" s="6" t="n">
        <v>1410.57</v>
      </c>
      <c r="R681" s="3" t="s">
        <v>499</v>
      </c>
      <c r="S681" s="7" t="n">
        <v>0.7</v>
      </c>
      <c r="T681" s="3" t="s">
        <v>74</v>
      </c>
      <c r="U681" s="7" t="n">
        <f aca="false">IF(T681="Valid",S681,0)</f>
        <v>0</v>
      </c>
      <c r="V681" s="6" t="n">
        <v>5360.17</v>
      </c>
      <c r="W681" s="6" t="n">
        <v>3881.51</v>
      </c>
      <c r="X681" s="6" t="n">
        <v>1478.66</v>
      </c>
      <c r="Y681" s="6" t="n">
        <f aca="false">P681*Q681*(1-U681)</f>
        <v>5642.28</v>
      </c>
      <c r="Z681" s="6" t="n">
        <f aca="false">Y681-W681</f>
        <v>1760.77</v>
      </c>
      <c r="AA681" s="8" t="n">
        <f aca="false">IF(Y681=0,0,Z681/Y681)</f>
        <v>0.312067107623159</v>
      </c>
      <c r="AB681" s="3" t="str">
        <f aca="false">IF(ABS(V681-Y681)&gt;1,"Mismatch","OK")</f>
        <v>Mismatch</v>
      </c>
      <c r="AC681" s="3" t="str">
        <f aca="false">IF(ABS(X681-Z681)&gt;1,"Mismatch","OK")</f>
        <v>Mismatch</v>
      </c>
      <c r="AD681" s="5" t="n">
        <f aca="false">IF(OR(B681="",C681=""),"",C681-B681)</f>
        <v>7</v>
      </c>
      <c r="AE681" s="3" t="str">
        <f aca="false">IF(AD681="","Unknown",IF(AD681&lt;0,"Invalid - Ship Before Order","OK"))</f>
        <v>OK</v>
      </c>
      <c r="AF681" s="5" t="n">
        <f aca="false">IF(B681="","",MONTH(B681))</f>
        <v>8</v>
      </c>
      <c r="AG681" s="5" t="n">
        <f aca="false">IF(B681="","",YEAR(B681))</f>
        <v>2025</v>
      </c>
      <c r="AH681" s="3" t="s">
        <v>129</v>
      </c>
      <c r="AI681" s="3" t="s">
        <v>93</v>
      </c>
      <c r="AJ681" s="3" t="str">
        <f aca="false">IF(AND(AI681="Completed",AH681="Failed"),"Inconsistent - Completed Order with Failed Payment","OK")</f>
        <v>OK</v>
      </c>
      <c r="AK681" s="3" t="s">
        <v>54</v>
      </c>
      <c r="AL681" s="3" t="str">
        <f aca="false">IF(OR(T681="Negative - Invalid",T681="Above Allowed Range - Invalid",AE681="Invalid - Ship Before Order",AK681&lt;&gt;"Unique",AB681="Mismatch",AC681="Mismatch",AJ681&lt;&gt;"OK"),"Invalid",IF(OR(H681="Yes",O681="Yes",T681="Missing"),"Warning","Clean"))</f>
        <v>Invalid</v>
      </c>
    </row>
    <row r="682" customFormat="false" ht="15" hidden="false" customHeight="true" outlineLevel="0" collapsed="false">
      <c r="A682" s="3" t="s">
        <v>2169</v>
      </c>
      <c r="B682" s="4" t="n">
        <v>45441</v>
      </c>
      <c r="C682" s="4" t="n">
        <v>45448</v>
      </c>
      <c r="D682" s="3" t="s">
        <v>2170</v>
      </c>
      <c r="E682" s="3" t="s">
        <v>298</v>
      </c>
      <c r="F682" s="3" t="s">
        <v>116</v>
      </c>
      <c r="G682" s="3" t="s">
        <v>78</v>
      </c>
      <c r="H682" s="3" t="s">
        <v>43</v>
      </c>
      <c r="I682" s="3" t="s">
        <v>281</v>
      </c>
      <c r="J682" s="3" t="s">
        <v>282</v>
      </c>
      <c r="K682" s="3" t="s">
        <v>99</v>
      </c>
      <c r="L682" s="3" t="s">
        <v>100</v>
      </c>
      <c r="M682" s="3" t="s">
        <v>2171</v>
      </c>
      <c r="N682" s="3" t="s">
        <v>72</v>
      </c>
      <c r="O682" s="3" t="s">
        <v>43</v>
      </c>
      <c r="P682" s="5" t="n">
        <v>4</v>
      </c>
      <c r="Q682" s="6" t="n">
        <v>3700.24</v>
      </c>
      <c r="R682" s="3" t="s">
        <v>66</v>
      </c>
      <c r="S682" s="7" t="n">
        <v>0</v>
      </c>
      <c r="T682" s="3" t="s">
        <v>51</v>
      </c>
      <c r="U682" s="7" t="n">
        <f aca="false">IF(T682="Valid",S682,0)</f>
        <v>0</v>
      </c>
      <c r="V682" s="6" t="n">
        <v>14800.96</v>
      </c>
      <c r="W682" s="6" t="n">
        <v>12048.39</v>
      </c>
      <c r="X682" s="6" t="n">
        <v>2752.57</v>
      </c>
      <c r="Y682" s="6" t="n">
        <f aca="false">P682*Q682*(1-U682)</f>
        <v>14800.96</v>
      </c>
      <c r="Z682" s="6" t="n">
        <f aca="false">Y682-W682</f>
        <v>2752.57</v>
      </c>
      <c r="AA682" s="8" t="n">
        <f aca="false">IF(Y682=0,0,Z682/Y682)</f>
        <v>0.185972396385099</v>
      </c>
      <c r="AB682" s="3" t="str">
        <f aca="false">IF(ABS(V682-Y682)&gt;1,"Mismatch","OK")</f>
        <v>OK</v>
      </c>
      <c r="AC682" s="3" t="str">
        <f aca="false">IF(ABS(X682-Z682)&gt;1,"Mismatch","OK")</f>
        <v>OK</v>
      </c>
      <c r="AD682" s="5" t="n">
        <f aca="false">IF(OR(B682="",C682=""),"",C682-B682)</f>
        <v>7</v>
      </c>
      <c r="AE682" s="3" t="str">
        <f aca="false">IF(AD682="","Unknown",IF(AD682&lt;0,"Invalid - Ship Before Order","OK"))</f>
        <v>OK</v>
      </c>
      <c r="AF682" s="5" t="n">
        <f aca="false">IF(B682="","",MONTH(B682))</f>
        <v>5</v>
      </c>
      <c r="AG682" s="5" t="n">
        <f aca="false">IF(B682="","",YEAR(B682))</f>
        <v>2024</v>
      </c>
      <c r="AH682" s="3" t="s">
        <v>52</v>
      </c>
      <c r="AI682" s="3" t="s">
        <v>53</v>
      </c>
      <c r="AJ682" s="3" t="str">
        <f aca="false">IF(AND(AI682="Completed",AH682="Failed"),"Inconsistent - Completed Order with Failed Payment","OK")</f>
        <v>OK</v>
      </c>
      <c r="AK682" s="3" t="s">
        <v>54</v>
      </c>
      <c r="AL682" s="3" t="str">
        <f aca="false">IF(OR(T682="Negative - Invalid",T682="Above Allowed Range - Invalid",AE682="Invalid - Ship Before Order",AK682&lt;&gt;"Unique",AB682="Mismatch",AC682="Mismatch",AJ682&lt;&gt;"OK"),"Invalid",IF(OR(H682="Yes",O682="Yes",T682="Missing"),"Warning","Clean"))</f>
        <v>Clean</v>
      </c>
    </row>
    <row r="683" customFormat="false" ht="15" hidden="false" customHeight="true" outlineLevel="0" collapsed="false">
      <c r="A683" s="3" t="s">
        <v>2172</v>
      </c>
      <c r="B683" s="4" t="n">
        <v>45477</v>
      </c>
      <c r="C683" s="4" t="n">
        <v>45483</v>
      </c>
      <c r="D683" s="3" t="s">
        <v>2173</v>
      </c>
      <c r="E683" s="3" t="s">
        <v>96</v>
      </c>
      <c r="F683" s="3" t="s">
        <v>116</v>
      </c>
      <c r="G683" s="3" t="s">
        <v>42</v>
      </c>
      <c r="H683" s="3" t="s">
        <v>43</v>
      </c>
      <c r="I683" s="3" t="s">
        <v>384</v>
      </c>
      <c r="J683" s="3" t="s">
        <v>385</v>
      </c>
      <c r="K683" s="3" t="s">
        <v>62</v>
      </c>
      <c r="L683" s="3" t="s">
        <v>63</v>
      </c>
      <c r="M683" s="3" t="s">
        <v>2174</v>
      </c>
      <c r="N683" s="3" t="s">
        <v>49</v>
      </c>
      <c r="O683" s="3" t="s">
        <v>43</v>
      </c>
      <c r="P683" s="5" t="n">
        <v>5</v>
      </c>
      <c r="Q683" s="6" t="n">
        <v>1200.27</v>
      </c>
      <c r="R683" s="3" t="s">
        <v>66</v>
      </c>
      <c r="S683" s="7" t="n">
        <v>0</v>
      </c>
      <c r="T683" s="3" t="s">
        <v>51</v>
      </c>
      <c r="U683" s="7" t="n">
        <f aca="false">IF(T683="Valid",S683,0)</f>
        <v>0</v>
      </c>
      <c r="V683" s="6" t="n">
        <v>6001.35</v>
      </c>
      <c r="W683" s="6" t="n">
        <v>4182.99</v>
      </c>
      <c r="X683" s="6" t="n">
        <v>1818.36</v>
      </c>
      <c r="Y683" s="6" t="n">
        <f aca="false">P683*Q683*(1-U683)</f>
        <v>6001.35</v>
      </c>
      <c r="Z683" s="6" t="n">
        <f aca="false">Y683-W683</f>
        <v>1818.36</v>
      </c>
      <c r="AA683" s="8" t="n">
        <f aca="false">IF(Y683=0,0,Z683/Y683)</f>
        <v>0.302991826838961</v>
      </c>
      <c r="AB683" s="3" t="str">
        <f aca="false">IF(ABS(V683-Y683)&gt;1,"Mismatch","OK")</f>
        <v>OK</v>
      </c>
      <c r="AC683" s="3" t="str">
        <f aca="false">IF(ABS(X683-Z683)&gt;1,"Mismatch","OK")</f>
        <v>OK</v>
      </c>
      <c r="AD683" s="5" t="n">
        <f aca="false">IF(OR(B683="",C683=""),"",C683-B683)</f>
        <v>6</v>
      </c>
      <c r="AE683" s="3" t="str">
        <f aca="false">IF(AD683="","Unknown",IF(AD683&lt;0,"Invalid - Ship Before Order","OK"))</f>
        <v>OK</v>
      </c>
      <c r="AF683" s="5" t="n">
        <f aca="false">IF(B683="","",MONTH(B683))</f>
        <v>7</v>
      </c>
      <c r="AG683" s="5" t="n">
        <f aca="false">IF(B683="","",YEAR(B683))</f>
        <v>2024</v>
      </c>
      <c r="AH683" s="3" t="s">
        <v>52</v>
      </c>
      <c r="AI683" s="3" t="s">
        <v>93</v>
      </c>
      <c r="AJ683" s="3" t="str">
        <f aca="false">IF(AND(AI683="Completed",AH683="Failed"),"Inconsistent - Completed Order with Failed Payment","OK")</f>
        <v>OK</v>
      </c>
      <c r="AK683" s="3" t="s">
        <v>54</v>
      </c>
      <c r="AL683" s="3" t="str">
        <f aca="false">IF(OR(T683="Negative - Invalid",T683="Above Allowed Range - Invalid",AE683="Invalid - Ship Before Order",AK683&lt;&gt;"Unique",AB683="Mismatch",AC683="Mismatch",AJ683&lt;&gt;"OK"),"Invalid",IF(OR(H683="Yes",O683="Yes",T683="Missing"),"Warning","Clean"))</f>
        <v>Clean</v>
      </c>
    </row>
    <row r="684" customFormat="false" ht="15" hidden="false" customHeight="true" outlineLevel="0" collapsed="false">
      <c r="A684" s="3" t="s">
        <v>2175</v>
      </c>
      <c r="B684" s="4" t="n">
        <v>45693</v>
      </c>
      <c r="C684" s="4" t="n">
        <v>45693</v>
      </c>
      <c r="D684" s="3" t="s">
        <v>2176</v>
      </c>
      <c r="E684" s="3" t="s">
        <v>87</v>
      </c>
      <c r="F684" s="3" t="s">
        <v>116</v>
      </c>
      <c r="G684" s="3" t="s">
        <v>42</v>
      </c>
      <c r="H684" s="3" t="s">
        <v>43</v>
      </c>
      <c r="I684" s="3" t="s">
        <v>270</v>
      </c>
      <c r="J684" s="3" t="s">
        <v>271</v>
      </c>
      <c r="K684" s="3" t="s">
        <v>46</v>
      </c>
      <c r="L684" s="3" t="s">
        <v>151</v>
      </c>
      <c r="M684" s="3" t="s">
        <v>2177</v>
      </c>
      <c r="N684" s="3" t="s">
        <v>65</v>
      </c>
      <c r="O684" s="3" t="s">
        <v>43</v>
      </c>
      <c r="P684" s="5" t="n">
        <v>3</v>
      </c>
      <c r="Q684" s="6" t="n">
        <v>2590.78</v>
      </c>
      <c r="R684" s="3"/>
      <c r="S684" s="7"/>
      <c r="T684" s="3" t="s">
        <v>230</v>
      </c>
      <c r="U684" s="7" t="n">
        <f aca="false">IF(T684="Valid",S684,0)</f>
        <v>0</v>
      </c>
      <c r="V684" s="6" t="n">
        <v>7383.72</v>
      </c>
      <c r="W684" s="6" t="n">
        <v>4113.66</v>
      </c>
      <c r="X684" s="6" t="n">
        <v>3270.06</v>
      </c>
      <c r="Y684" s="6" t="n">
        <f aca="false">P684*Q684*(1-U684)</f>
        <v>7772.34</v>
      </c>
      <c r="Z684" s="6" t="n">
        <f aca="false">Y684-W684</f>
        <v>3658.68</v>
      </c>
      <c r="AA684" s="8" t="n">
        <f aca="false">IF(Y684=0,0,Z684/Y684)</f>
        <v>0.470730822377817</v>
      </c>
      <c r="AB684" s="3" t="str">
        <f aca="false">IF(ABS(V684-Y684)&gt;1,"Mismatch","OK")</f>
        <v>Mismatch</v>
      </c>
      <c r="AC684" s="3" t="str">
        <f aca="false">IF(ABS(X684-Z684)&gt;1,"Mismatch","OK")</f>
        <v>Mismatch</v>
      </c>
      <c r="AD684" s="5" t="n">
        <f aca="false">IF(OR(B684="",C684=""),"",C684-B684)</f>
        <v>0</v>
      </c>
      <c r="AE684" s="3" t="str">
        <f aca="false">IF(AD684="","Unknown",IF(AD684&lt;0,"Invalid - Ship Before Order","OK"))</f>
        <v>OK</v>
      </c>
      <c r="AF684" s="5" t="n">
        <f aca="false">IF(B684="","",MONTH(B684))</f>
        <v>2</v>
      </c>
      <c r="AG684" s="5" t="n">
        <f aca="false">IF(B684="","",YEAR(B684))</f>
        <v>2025</v>
      </c>
      <c r="AH684" s="3" t="s">
        <v>52</v>
      </c>
      <c r="AI684" s="3" t="s">
        <v>53</v>
      </c>
      <c r="AJ684" s="3" t="str">
        <f aca="false">IF(AND(AI684="Completed",AH684="Failed"),"Inconsistent - Completed Order with Failed Payment","OK")</f>
        <v>OK</v>
      </c>
      <c r="AK684" s="3" t="s">
        <v>54</v>
      </c>
      <c r="AL684" s="3" t="str">
        <f aca="false">IF(OR(T684="Negative - Invalid",T684="Above Allowed Range - Invalid",AE684="Invalid - Ship Before Order",AK684&lt;&gt;"Unique",AB684="Mismatch",AC684="Mismatch",AJ684&lt;&gt;"OK"),"Invalid",IF(OR(H684="Yes",O684="Yes",T684="Missing"),"Warning","Clean"))</f>
        <v>Invalid</v>
      </c>
    </row>
    <row r="685" customFormat="false" ht="15" hidden="false" customHeight="true" outlineLevel="0" collapsed="false">
      <c r="A685" s="3" t="s">
        <v>2178</v>
      </c>
      <c r="B685" s="4" t="n">
        <v>45858</v>
      </c>
      <c r="C685" s="4" t="n">
        <v>45862</v>
      </c>
      <c r="D685" s="3" t="s">
        <v>2179</v>
      </c>
      <c r="E685" s="3" t="s">
        <v>77</v>
      </c>
      <c r="F685" s="3" t="s">
        <v>58</v>
      </c>
      <c r="G685" s="3" t="s">
        <v>78</v>
      </c>
      <c r="H685" s="3" t="s">
        <v>43</v>
      </c>
      <c r="I685" s="3" t="s">
        <v>79</v>
      </c>
      <c r="J685" s="3" t="s">
        <v>80</v>
      </c>
      <c r="K685" s="3" t="s">
        <v>62</v>
      </c>
      <c r="L685" s="3" t="s">
        <v>81</v>
      </c>
      <c r="M685" s="3" t="s">
        <v>2180</v>
      </c>
      <c r="N685" s="3" t="s">
        <v>49</v>
      </c>
      <c r="O685" s="3" t="s">
        <v>43</v>
      </c>
      <c r="P685" s="5" t="n">
        <v>6</v>
      </c>
      <c r="Q685" s="6" t="n">
        <v>1646.45</v>
      </c>
      <c r="R685" s="3" t="s">
        <v>50</v>
      </c>
      <c r="S685" s="7" t="n">
        <v>0.2</v>
      </c>
      <c r="T685" s="3" t="s">
        <v>51</v>
      </c>
      <c r="U685" s="7" t="n">
        <f aca="false">IF(T685="Valid",S685,0)</f>
        <v>0.2</v>
      </c>
      <c r="V685" s="6" t="n">
        <v>7902.96</v>
      </c>
      <c r="W685" s="6" t="n">
        <v>5512.03</v>
      </c>
      <c r="X685" s="6" t="n">
        <v>2390.93</v>
      </c>
      <c r="Y685" s="6" t="n">
        <f aca="false">P685*Q685*(1-U685)</f>
        <v>7902.96</v>
      </c>
      <c r="Z685" s="6" t="n">
        <f aca="false">Y685-W685</f>
        <v>2390.93</v>
      </c>
      <c r="AA685" s="8" t="n">
        <f aca="false">IF(Y685=0,0,Z685/Y685)</f>
        <v>0.302536011823418</v>
      </c>
      <c r="AB685" s="3" t="str">
        <f aca="false">IF(ABS(V685-Y685)&gt;1,"Mismatch","OK")</f>
        <v>OK</v>
      </c>
      <c r="AC685" s="3" t="str">
        <f aca="false">IF(ABS(X685-Z685)&gt;1,"Mismatch","OK")</f>
        <v>OK</v>
      </c>
      <c r="AD685" s="5" t="n">
        <f aca="false">IF(OR(B685="",C685=""),"",C685-B685)</f>
        <v>4</v>
      </c>
      <c r="AE685" s="3" t="str">
        <f aca="false">IF(AD685="","Unknown",IF(AD685&lt;0,"Invalid - Ship Before Order","OK"))</f>
        <v>OK</v>
      </c>
      <c r="AF685" s="5" t="n">
        <f aca="false">IF(B685="","",MONTH(B685))</f>
        <v>7</v>
      </c>
      <c r="AG685" s="5" t="n">
        <f aca="false">IF(B685="","",YEAR(B685))</f>
        <v>2025</v>
      </c>
      <c r="AH685" s="3" t="s">
        <v>129</v>
      </c>
      <c r="AI685" s="3" t="s">
        <v>93</v>
      </c>
      <c r="AJ685" s="3" t="str">
        <f aca="false">IF(AND(AI685="Completed",AH685="Failed"),"Inconsistent - Completed Order with Failed Payment","OK")</f>
        <v>OK</v>
      </c>
      <c r="AK685" s="3" t="s">
        <v>54</v>
      </c>
      <c r="AL685" s="3" t="str">
        <f aca="false">IF(OR(T685="Negative - Invalid",T685="Above Allowed Range - Invalid",AE685="Invalid - Ship Before Order",AK685&lt;&gt;"Unique",AB685="Mismatch",AC685="Mismatch",AJ685&lt;&gt;"OK"),"Invalid",IF(OR(H685="Yes",O685="Yes",T685="Missing"),"Warning","Clean"))</f>
        <v>Clean</v>
      </c>
    </row>
    <row r="686" customFormat="false" ht="15" hidden="false" customHeight="true" outlineLevel="0" collapsed="false">
      <c r="A686" s="3" t="s">
        <v>2181</v>
      </c>
      <c r="B686" s="4" t="n">
        <v>45859</v>
      </c>
      <c r="C686" s="4" t="n">
        <v>45859</v>
      </c>
      <c r="D686" s="3" t="s">
        <v>2182</v>
      </c>
      <c r="E686" s="3" t="s">
        <v>69</v>
      </c>
      <c r="F686" s="3" t="s">
        <v>121</v>
      </c>
      <c r="G686" s="3" t="s">
        <v>78</v>
      </c>
      <c r="H686" s="3" t="s">
        <v>43</v>
      </c>
      <c r="I686" s="3" t="s">
        <v>281</v>
      </c>
      <c r="J686" s="3" t="s">
        <v>282</v>
      </c>
      <c r="K686" s="3" t="s">
        <v>62</v>
      </c>
      <c r="L686" s="3" t="s">
        <v>188</v>
      </c>
      <c r="M686" s="3" t="s">
        <v>2183</v>
      </c>
      <c r="N686" s="3" t="s">
        <v>72</v>
      </c>
      <c r="O686" s="3" t="s">
        <v>43</v>
      </c>
      <c r="P686" s="5" t="n">
        <v>7</v>
      </c>
      <c r="Q686" s="6" t="n">
        <v>4396.65</v>
      </c>
      <c r="R686" s="3" t="s">
        <v>50</v>
      </c>
      <c r="S686" s="7" t="n">
        <v>0.2</v>
      </c>
      <c r="T686" s="3" t="s">
        <v>51</v>
      </c>
      <c r="U686" s="7" t="n">
        <f aca="false">IF(T686="Valid",S686,0)</f>
        <v>0.2</v>
      </c>
      <c r="V686" s="6" t="n">
        <v>24621.24</v>
      </c>
      <c r="W686" s="6" t="n">
        <v>17155.48</v>
      </c>
      <c r="X686" s="6" t="n">
        <v>7465.76</v>
      </c>
      <c r="Y686" s="6" t="n">
        <f aca="false">P686*Q686*(1-U686)</f>
        <v>24621.24</v>
      </c>
      <c r="Z686" s="6" t="n">
        <f aca="false">Y686-W686</f>
        <v>7465.76</v>
      </c>
      <c r="AA686" s="8" t="n">
        <f aca="false">IF(Y686=0,0,Z686/Y686)</f>
        <v>0.303224370502867</v>
      </c>
      <c r="AB686" s="3" t="str">
        <f aca="false">IF(ABS(V686-Y686)&gt;1,"Mismatch","OK")</f>
        <v>OK</v>
      </c>
      <c r="AC686" s="3" t="str">
        <f aca="false">IF(ABS(X686-Z686)&gt;1,"Mismatch","OK")</f>
        <v>OK</v>
      </c>
      <c r="AD686" s="5" t="n">
        <f aca="false">IF(OR(B686="",C686=""),"",C686-B686)</f>
        <v>0</v>
      </c>
      <c r="AE686" s="3" t="str">
        <f aca="false">IF(AD686="","Unknown",IF(AD686&lt;0,"Invalid - Ship Before Order","OK"))</f>
        <v>OK</v>
      </c>
      <c r="AF686" s="5" t="n">
        <f aca="false">IF(B686="","",MONTH(B686))</f>
        <v>7</v>
      </c>
      <c r="AG686" s="5" t="n">
        <f aca="false">IF(B686="","",YEAR(B686))</f>
        <v>2025</v>
      </c>
      <c r="AH686" s="3" t="s">
        <v>129</v>
      </c>
      <c r="AI686" s="3" t="s">
        <v>93</v>
      </c>
      <c r="AJ686" s="3" t="str">
        <f aca="false">IF(AND(AI686="Completed",AH686="Failed"),"Inconsistent - Completed Order with Failed Payment","OK")</f>
        <v>OK</v>
      </c>
      <c r="AK686" s="3" t="s">
        <v>54</v>
      </c>
      <c r="AL686" s="3" t="str">
        <f aca="false">IF(OR(T686="Negative - Invalid",T686="Above Allowed Range - Invalid",AE686="Invalid - Ship Before Order",AK686&lt;&gt;"Unique",AB686="Mismatch",AC686="Mismatch",AJ686&lt;&gt;"OK"),"Invalid",IF(OR(H686="Yes",O686="Yes",T686="Missing"),"Warning","Clean"))</f>
        <v>Clean</v>
      </c>
    </row>
    <row r="687" customFormat="false" ht="15" hidden="false" customHeight="true" outlineLevel="0" collapsed="false">
      <c r="A687" s="3" t="s">
        <v>2184</v>
      </c>
      <c r="B687" s="4" t="n">
        <v>45931</v>
      </c>
      <c r="C687" s="4" t="n">
        <v>45933</v>
      </c>
      <c r="D687" s="3" t="s">
        <v>1848</v>
      </c>
      <c r="E687" s="3" t="s">
        <v>104</v>
      </c>
      <c r="F687" s="3" t="s">
        <v>116</v>
      </c>
      <c r="G687" s="3" t="s">
        <v>88</v>
      </c>
      <c r="H687" s="3" t="s">
        <v>43</v>
      </c>
      <c r="I687" s="3" t="s">
        <v>221</v>
      </c>
      <c r="J687" s="3" t="s">
        <v>222</v>
      </c>
      <c r="K687" s="3" t="s">
        <v>46</v>
      </c>
      <c r="L687" s="3" t="s">
        <v>70</v>
      </c>
      <c r="M687" s="3" t="s">
        <v>2185</v>
      </c>
      <c r="N687" s="3" t="s">
        <v>83</v>
      </c>
      <c r="O687" s="3" t="s">
        <v>43</v>
      </c>
      <c r="P687" s="5" t="n">
        <v>9</v>
      </c>
      <c r="Q687" s="6" t="n">
        <v>818.15</v>
      </c>
      <c r="R687" s="3" t="s">
        <v>73</v>
      </c>
      <c r="S687" s="7" t="n">
        <v>0.55</v>
      </c>
      <c r="T687" s="3" t="s">
        <v>74</v>
      </c>
      <c r="U687" s="7" t="n">
        <f aca="false">IF(T687="Valid",S687,0)</f>
        <v>0</v>
      </c>
      <c r="V687" s="6" t="n">
        <v>6627.01</v>
      </c>
      <c r="W687" s="6" t="n">
        <v>5606.79</v>
      </c>
      <c r="X687" s="6" t="n">
        <v>1020.22</v>
      </c>
      <c r="Y687" s="6" t="n">
        <f aca="false">P687*Q687*(1-U687)</f>
        <v>7363.35</v>
      </c>
      <c r="Z687" s="6" t="n">
        <f aca="false">Y687-W687</f>
        <v>1756.56</v>
      </c>
      <c r="AA687" s="8" t="n">
        <f aca="false">IF(Y687=0,0,Z687/Y687)</f>
        <v>0.238554462303164</v>
      </c>
      <c r="AB687" s="3" t="str">
        <f aca="false">IF(ABS(V687-Y687)&gt;1,"Mismatch","OK")</f>
        <v>Mismatch</v>
      </c>
      <c r="AC687" s="3" t="str">
        <f aca="false">IF(ABS(X687-Z687)&gt;1,"Mismatch","OK")</f>
        <v>Mismatch</v>
      </c>
      <c r="AD687" s="5" t="n">
        <f aca="false">IF(OR(B687="",C687=""),"",C687-B687)</f>
        <v>2</v>
      </c>
      <c r="AE687" s="3" t="str">
        <f aca="false">IF(AD687="","Unknown",IF(AD687&lt;0,"Invalid - Ship Before Order","OK"))</f>
        <v>OK</v>
      </c>
      <c r="AF687" s="5" t="n">
        <f aca="false">IF(B687="","",MONTH(B687))</f>
        <v>10</v>
      </c>
      <c r="AG687" s="5" t="n">
        <f aca="false">IF(B687="","",YEAR(B687))</f>
        <v>2025</v>
      </c>
      <c r="AH687" s="3" t="s">
        <v>185</v>
      </c>
      <c r="AI687" s="3" t="s">
        <v>93</v>
      </c>
      <c r="AJ687" s="3" t="str">
        <f aca="false">IF(AND(AI687="Completed",AH687="Failed"),"Inconsistent - Completed Order with Failed Payment","OK")</f>
        <v>OK</v>
      </c>
      <c r="AK687" s="3" t="s">
        <v>54</v>
      </c>
      <c r="AL687" s="3" t="str">
        <f aca="false">IF(OR(T687="Negative - Invalid",T687="Above Allowed Range - Invalid",AE687="Invalid - Ship Before Order",AK687&lt;&gt;"Unique",AB687="Mismatch",AC687="Mismatch",AJ687&lt;&gt;"OK"),"Invalid",IF(OR(H687="Yes",O687="Yes",T687="Missing"),"Warning","Clean"))</f>
        <v>Invalid</v>
      </c>
    </row>
    <row r="688" customFormat="false" ht="15" hidden="false" customHeight="true" outlineLevel="0" collapsed="false">
      <c r="A688" s="3" t="s">
        <v>2186</v>
      </c>
      <c r="B688" s="4" t="n">
        <v>45376</v>
      </c>
      <c r="C688" s="4" t="n">
        <v>45384</v>
      </c>
      <c r="D688" s="3" t="s">
        <v>2187</v>
      </c>
      <c r="E688" s="3" t="s">
        <v>159</v>
      </c>
      <c r="F688" s="3" t="s">
        <v>121</v>
      </c>
      <c r="G688" s="3" t="s">
        <v>78</v>
      </c>
      <c r="H688" s="3" t="s">
        <v>43</v>
      </c>
      <c r="I688" s="3" t="s">
        <v>281</v>
      </c>
      <c r="J688" s="3" t="s">
        <v>282</v>
      </c>
      <c r="K688" s="3" t="s">
        <v>99</v>
      </c>
      <c r="L688" s="3" t="s">
        <v>105</v>
      </c>
      <c r="M688" s="3" t="s">
        <v>2188</v>
      </c>
      <c r="N688" s="3" t="s">
        <v>83</v>
      </c>
      <c r="O688" s="3" t="s">
        <v>43</v>
      </c>
      <c r="P688" s="5" t="n">
        <v>2</v>
      </c>
      <c r="Q688" s="6" t="n">
        <v>2349.13</v>
      </c>
      <c r="R688" s="3" t="s">
        <v>66</v>
      </c>
      <c r="S688" s="7" t="n">
        <v>0</v>
      </c>
      <c r="T688" s="3" t="s">
        <v>51</v>
      </c>
      <c r="U688" s="7" t="n">
        <f aca="false">IF(T688="Valid",S688,0)</f>
        <v>0</v>
      </c>
      <c r="V688" s="6" t="n">
        <v>4698.26</v>
      </c>
      <c r="W688" s="6" t="n">
        <v>2654.92</v>
      </c>
      <c r="X688" s="6" t="n">
        <v>2043.34</v>
      </c>
      <c r="Y688" s="6" t="n">
        <f aca="false">P688*Q688*(1-U688)</f>
        <v>4698.26</v>
      </c>
      <c r="Z688" s="6" t="n">
        <f aca="false">Y688-W688</f>
        <v>2043.34</v>
      </c>
      <c r="AA688" s="8" t="n">
        <f aca="false">IF(Y688=0,0,Z688/Y688)</f>
        <v>0.434914202279142</v>
      </c>
      <c r="AB688" s="3" t="str">
        <f aca="false">IF(ABS(V688-Y688)&gt;1,"Mismatch","OK")</f>
        <v>OK</v>
      </c>
      <c r="AC688" s="3" t="str">
        <f aca="false">IF(ABS(X688-Z688)&gt;1,"Mismatch","OK")</f>
        <v>OK</v>
      </c>
      <c r="AD688" s="5" t="n">
        <f aca="false">IF(OR(B688="",C688=""),"",C688-B688)</f>
        <v>8</v>
      </c>
      <c r="AE688" s="3" t="str">
        <f aca="false">IF(AD688="","Unknown",IF(AD688&lt;0,"Invalid - Ship Before Order","OK"))</f>
        <v>OK</v>
      </c>
      <c r="AF688" s="5" t="n">
        <f aca="false">IF(B688="","",MONTH(B688))</f>
        <v>3</v>
      </c>
      <c r="AG688" s="5" t="n">
        <f aca="false">IF(B688="","",YEAR(B688))</f>
        <v>2024</v>
      </c>
      <c r="AH688" s="3" t="s">
        <v>52</v>
      </c>
      <c r="AI688" s="3" t="s">
        <v>53</v>
      </c>
      <c r="AJ688" s="3" t="str">
        <f aca="false">IF(AND(AI688="Completed",AH688="Failed"),"Inconsistent - Completed Order with Failed Payment","OK")</f>
        <v>OK</v>
      </c>
      <c r="AK688" s="3" t="s">
        <v>54</v>
      </c>
      <c r="AL688" s="3" t="str">
        <f aca="false">IF(OR(T688="Negative - Invalid",T688="Above Allowed Range - Invalid",AE688="Invalid - Ship Before Order",AK688&lt;&gt;"Unique",AB688="Mismatch",AC688="Mismatch",AJ688&lt;&gt;"OK"),"Invalid",IF(OR(H688="Yes",O688="Yes",T688="Missing"),"Warning","Clean"))</f>
        <v>Clean</v>
      </c>
    </row>
    <row r="689" customFormat="false" ht="15" hidden="false" customHeight="true" outlineLevel="0" collapsed="false">
      <c r="A689" s="3" t="s">
        <v>2189</v>
      </c>
      <c r="B689" s="4" t="n">
        <v>45938</v>
      </c>
      <c r="C689" s="4" t="n">
        <v>45943</v>
      </c>
      <c r="D689" s="3" t="s">
        <v>2190</v>
      </c>
      <c r="E689" s="3" t="s">
        <v>57</v>
      </c>
      <c r="F689" s="3" t="s">
        <v>121</v>
      </c>
      <c r="G689" s="3" t="s">
        <v>42</v>
      </c>
      <c r="H689" s="3" t="s">
        <v>43</v>
      </c>
      <c r="I689" s="3" t="s">
        <v>149</v>
      </c>
      <c r="J689" s="3" t="s">
        <v>150</v>
      </c>
      <c r="K689" s="3" t="s">
        <v>62</v>
      </c>
      <c r="L689" s="3" t="s">
        <v>63</v>
      </c>
      <c r="M689" s="3" t="s">
        <v>2191</v>
      </c>
      <c r="N689" s="3" t="s">
        <v>72</v>
      </c>
      <c r="O689" s="3" t="s">
        <v>43</v>
      </c>
      <c r="P689" s="5" t="n">
        <v>4</v>
      </c>
      <c r="Q689" s="6" t="n">
        <v>172.05</v>
      </c>
      <c r="R689" s="3" t="s">
        <v>66</v>
      </c>
      <c r="S689" s="7" t="n">
        <v>0</v>
      </c>
      <c r="T689" s="3" t="s">
        <v>51</v>
      </c>
      <c r="U689" s="7" t="n">
        <f aca="false">IF(T689="Valid",S689,0)</f>
        <v>0</v>
      </c>
      <c r="V689" s="6" t="n">
        <v>688.2</v>
      </c>
      <c r="W689" s="6" t="n">
        <v>497.68</v>
      </c>
      <c r="X689" s="6" t="n">
        <v>190.52</v>
      </c>
      <c r="Y689" s="6" t="n">
        <f aca="false">P689*Q689*(1-U689)</f>
        <v>688.2</v>
      </c>
      <c r="Z689" s="6" t="n">
        <f aca="false">Y689-W689</f>
        <v>190.52</v>
      </c>
      <c r="AA689" s="8" t="n">
        <f aca="false">IF(Y689=0,0,Z689/Y689)</f>
        <v>0.276838128451032</v>
      </c>
      <c r="AB689" s="3" t="str">
        <f aca="false">IF(ABS(V689-Y689)&gt;1,"Mismatch","OK")</f>
        <v>OK</v>
      </c>
      <c r="AC689" s="3" t="str">
        <f aca="false">IF(ABS(X689-Z689)&gt;1,"Mismatch","OK")</f>
        <v>OK</v>
      </c>
      <c r="AD689" s="5" t="n">
        <f aca="false">IF(OR(B689="",C689=""),"",C689-B689)</f>
        <v>5</v>
      </c>
      <c r="AE689" s="3" t="str">
        <f aca="false">IF(AD689="","Unknown",IF(AD689&lt;0,"Invalid - Ship Before Order","OK"))</f>
        <v>OK</v>
      </c>
      <c r="AF689" s="5" t="n">
        <f aca="false">IF(B689="","",MONTH(B689))</f>
        <v>10</v>
      </c>
      <c r="AG689" s="5" t="n">
        <f aca="false">IF(B689="","",YEAR(B689))</f>
        <v>2025</v>
      </c>
      <c r="AH689" s="3" t="s">
        <v>185</v>
      </c>
      <c r="AI689" s="3" t="s">
        <v>93</v>
      </c>
      <c r="AJ689" s="3" t="str">
        <f aca="false">IF(AND(AI689="Completed",AH689="Failed"),"Inconsistent - Completed Order with Failed Payment","OK")</f>
        <v>OK</v>
      </c>
      <c r="AK689" s="3" t="s">
        <v>54</v>
      </c>
      <c r="AL689" s="3" t="str">
        <f aca="false">IF(OR(T689="Negative - Invalid",T689="Above Allowed Range - Invalid",AE689="Invalid - Ship Before Order",AK689&lt;&gt;"Unique",AB689="Mismatch",AC689="Mismatch",AJ689&lt;&gt;"OK"),"Invalid",IF(OR(H689="Yes",O689="Yes",T689="Missing"),"Warning","Clean"))</f>
        <v>Clean</v>
      </c>
    </row>
    <row r="690" customFormat="false" ht="15" hidden="false" customHeight="true" outlineLevel="0" collapsed="false">
      <c r="A690" s="3" t="s">
        <v>2192</v>
      </c>
      <c r="B690" s="4" t="n">
        <v>45714</v>
      </c>
      <c r="C690" s="4" t="n">
        <v>45715</v>
      </c>
      <c r="D690" s="3" t="s">
        <v>2193</v>
      </c>
      <c r="E690" s="3" t="s">
        <v>104</v>
      </c>
      <c r="F690" s="3" t="s">
        <v>121</v>
      </c>
      <c r="G690" s="3" t="s">
        <v>42</v>
      </c>
      <c r="H690" s="3" t="s">
        <v>43</v>
      </c>
      <c r="I690" s="3" t="s">
        <v>270</v>
      </c>
      <c r="J690" s="3" t="s">
        <v>271</v>
      </c>
      <c r="K690" s="3" t="s">
        <v>46</v>
      </c>
      <c r="L690" s="3" t="s">
        <v>70</v>
      </c>
      <c r="M690" s="3" t="s">
        <v>2194</v>
      </c>
      <c r="N690" s="3" t="s">
        <v>49</v>
      </c>
      <c r="O690" s="3" t="s">
        <v>43</v>
      </c>
      <c r="P690" s="5" t="n">
        <v>6</v>
      </c>
      <c r="Q690" s="6" t="n">
        <v>3037.66</v>
      </c>
      <c r="R690" s="3" t="s">
        <v>107</v>
      </c>
      <c r="S690" s="7" t="n">
        <v>0.15</v>
      </c>
      <c r="T690" s="3" t="s">
        <v>51</v>
      </c>
      <c r="U690" s="7" t="n">
        <f aca="false">IF(T690="Valid",S690,0)</f>
        <v>0.15</v>
      </c>
      <c r="V690" s="6" t="n">
        <v>15492.07</v>
      </c>
      <c r="W690" s="6" t="n">
        <v>12581.23</v>
      </c>
      <c r="X690" s="6" t="n">
        <v>2910.84</v>
      </c>
      <c r="Y690" s="6" t="n">
        <f aca="false">P690*Q690*(1-U690)</f>
        <v>15492.066</v>
      </c>
      <c r="Z690" s="6" t="n">
        <f aca="false">Y690-W690</f>
        <v>2910.836</v>
      </c>
      <c r="AA690" s="8" t="n">
        <f aca="false">IF(Y690=0,0,Z690/Y690)</f>
        <v>0.187892047451902</v>
      </c>
      <c r="AB690" s="3" t="str">
        <f aca="false">IF(ABS(V690-Y690)&gt;1,"Mismatch","OK")</f>
        <v>OK</v>
      </c>
      <c r="AC690" s="3" t="str">
        <f aca="false">IF(ABS(X690-Z690)&gt;1,"Mismatch","OK")</f>
        <v>OK</v>
      </c>
      <c r="AD690" s="5" t="n">
        <f aca="false">IF(OR(B690="",C690=""),"",C690-B690)</f>
        <v>1</v>
      </c>
      <c r="AE690" s="3" t="str">
        <f aca="false">IF(AD690="","Unknown",IF(AD690&lt;0,"Invalid - Ship Before Order","OK"))</f>
        <v>OK</v>
      </c>
      <c r="AF690" s="5" t="n">
        <f aca="false">IF(B690="","",MONTH(B690))</f>
        <v>2</v>
      </c>
      <c r="AG690" s="5" t="n">
        <f aca="false">IF(B690="","",YEAR(B690))</f>
        <v>2025</v>
      </c>
      <c r="AH690" s="3" t="s">
        <v>52</v>
      </c>
      <c r="AI690" s="3" t="s">
        <v>53</v>
      </c>
      <c r="AJ690" s="3" t="str">
        <f aca="false">IF(AND(AI690="Completed",AH690="Failed"),"Inconsistent - Completed Order with Failed Payment","OK")</f>
        <v>OK</v>
      </c>
      <c r="AK690" s="3" t="s">
        <v>54</v>
      </c>
      <c r="AL690" s="3" t="str">
        <f aca="false">IF(OR(T690="Negative - Invalid",T690="Above Allowed Range - Invalid",AE690="Invalid - Ship Before Order",AK690&lt;&gt;"Unique",AB690="Mismatch",AC690="Mismatch",AJ690&lt;&gt;"OK"),"Invalid",IF(OR(H690="Yes",O690="Yes",T690="Missing"),"Warning","Clean"))</f>
        <v>Clean</v>
      </c>
    </row>
    <row r="691" customFormat="false" ht="15" hidden="false" customHeight="true" outlineLevel="0" collapsed="false">
      <c r="A691" s="3" t="s">
        <v>2195</v>
      </c>
      <c r="B691" s="4" t="n">
        <v>45570</v>
      </c>
      <c r="C691" s="4" t="n">
        <v>45571</v>
      </c>
      <c r="D691" s="3" t="s">
        <v>2196</v>
      </c>
      <c r="E691" s="3" t="s">
        <v>168</v>
      </c>
      <c r="F691" s="3" t="s">
        <v>58</v>
      </c>
      <c r="G691" s="3" t="s">
        <v>42</v>
      </c>
      <c r="H691" s="3" t="s">
        <v>43</v>
      </c>
      <c r="I691" s="3" t="s">
        <v>149</v>
      </c>
      <c r="J691" s="3" t="s">
        <v>150</v>
      </c>
      <c r="K691" s="3" t="s">
        <v>62</v>
      </c>
      <c r="L691" s="3" t="s">
        <v>63</v>
      </c>
      <c r="M691" s="3" t="s">
        <v>2197</v>
      </c>
      <c r="N691" s="3" t="s">
        <v>83</v>
      </c>
      <c r="O691" s="3" t="s">
        <v>43</v>
      </c>
      <c r="P691" s="5" t="n">
        <v>9</v>
      </c>
      <c r="Q691" s="6" t="n">
        <v>489.58</v>
      </c>
      <c r="R691" s="3" t="s">
        <v>107</v>
      </c>
      <c r="S691" s="7" t="n">
        <v>0.15</v>
      </c>
      <c r="T691" s="3" t="s">
        <v>51</v>
      </c>
      <c r="U691" s="7" t="n">
        <f aca="false">IF(T691="Valid",S691,0)</f>
        <v>0.15</v>
      </c>
      <c r="V691" s="6" t="n">
        <v>3745.29</v>
      </c>
      <c r="W691" s="6" t="n">
        <v>2302.65</v>
      </c>
      <c r="X691" s="6" t="n">
        <v>1442.64</v>
      </c>
      <c r="Y691" s="6" t="n">
        <f aca="false">P691*Q691*(1-U691)</f>
        <v>3745.287</v>
      </c>
      <c r="Z691" s="6" t="n">
        <f aca="false">Y691-W691</f>
        <v>1442.637</v>
      </c>
      <c r="AA691" s="8" t="n">
        <f aca="false">IF(Y691=0,0,Z691/Y691)</f>
        <v>0.385187303402917</v>
      </c>
      <c r="AB691" s="3" t="str">
        <f aca="false">IF(ABS(V691-Y691)&gt;1,"Mismatch","OK")</f>
        <v>OK</v>
      </c>
      <c r="AC691" s="3" t="str">
        <f aca="false">IF(ABS(X691-Z691)&gt;1,"Mismatch","OK")</f>
        <v>OK</v>
      </c>
      <c r="AD691" s="5" t="n">
        <f aca="false">IF(OR(B691="",C691=""),"",C691-B691)</f>
        <v>1</v>
      </c>
      <c r="AE691" s="3" t="str">
        <f aca="false">IF(AD691="","Unknown",IF(AD691&lt;0,"Invalid - Ship Before Order","OK"))</f>
        <v>OK</v>
      </c>
      <c r="AF691" s="5" t="n">
        <f aca="false">IF(B691="","",MONTH(B691))</f>
        <v>10</v>
      </c>
      <c r="AG691" s="5" t="n">
        <f aca="false">IF(B691="","",YEAR(B691))</f>
        <v>2024</v>
      </c>
      <c r="AH691" s="3" t="s">
        <v>185</v>
      </c>
      <c r="AI691" s="3" t="s">
        <v>93</v>
      </c>
      <c r="AJ691" s="3" t="str">
        <f aca="false">IF(AND(AI691="Completed",AH691="Failed"),"Inconsistent - Completed Order with Failed Payment","OK")</f>
        <v>OK</v>
      </c>
      <c r="AK691" s="3" t="s">
        <v>54</v>
      </c>
      <c r="AL691" s="3" t="str">
        <f aca="false">IF(OR(T691="Negative - Invalid",T691="Above Allowed Range - Invalid",AE691="Invalid - Ship Before Order",AK691&lt;&gt;"Unique",AB691="Mismatch",AC691="Mismatch",AJ691&lt;&gt;"OK"),"Invalid",IF(OR(H691="Yes",O691="Yes",T691="Missing"),"Warning","Clean"))</f>
        <v>Clean</v>
      </c>
    </row>
    <row r="692" customFormat="false" ht="15" hidden="false" customHeight="true" outlineLevel="0" collapsed="false">
      <c r="A692" s="3" t="s">
        <v>2198</v>
      </c>
      <c r="B692" s="4" t="n">
        <v>45546</v>
      </c>
      <c r="C692" s="4" t="n">
        <v>45550</v>
      </c>
      <c r="D692" s="3" t="s">
        <v>2199</v>
      </c>
      <c r="E692" s="3" t="s">
        <v>159</v>
      </c>
      <c r="F692" s="3" t="s">
        <v>116</v>
      </c>
      <c r="G692" s="3" t="s">
        <v>78</v>
      </c>
      <c r="H692" s="3" t="s">
        <v>43</v>
      </c>
      <c r="I692" s="3" t="s">
        <v>281</v>
      </c>
      <c r="J692" s="3" t="s">
        <v>282</v>
      </c>
      <c r="K692" s="3" t="s">
        <v>46</v>
      </c>
      <c r="L692" s="3" t="s">
        <v>70</v>
      </c>
      <c r="M692" s="3" t="s">
        <v>2200</v>
      </c>
      <c r="N692" s="3" t="s">
        <v>83</v>
      </c>
      <c r="O692" s="3" t="s">
        <v>43</v>
      </c>
      <c r="P692" s="5" t="n">
        <v>4</v>
      </c>
      <c r="Q692" s="6" t="n">
        <v>865.63</v>
      </c>
      <c r="R692" s="3" t="s">
        <v>66</v>
      </c>
      <c r="S692" s="7" t="n">
        <v>0</v>
      </c>
      <c r="T692" s="3" t="s">
        <v>51</v>
      </c>
      <c r="U692" s="7" t="n">
        <f aca="false">IF(T692="Valid",S692,0)</f>
        <v>0</v>
      </c>
      <c r="V692" s="6" t="n">
        <v>3462.52</v>
      </c>
      <c r="W692" s="6" t="n">
        <v>2797.29</v>
      </c>
      <c r="X692" s="6" t="n">
        <v>665.23</v>
      </c>
      <c r="Y692" s="6" t="n">
        <f aca="false">P692*Q692*(1-U692)</f>
        <v>3462.52</v>
      </c>
      <c r="Z692" s="6" t="n">
        <f aca="false">Y692-W692</f>
        <v>665.23</v>
      </c>
      <c r="AA692" s="8" t="n">
        <f aca="false">IF(Y692=0,0,Z692/Y692)</f>
        <v>0.192123077989441</v>
      </c>
      <c r="AB692" s="3" t="str">
        <f aca="false">IF(ABS(V692-Y692)&gt;1,"Mismatch","OK")</f>
        <v>OK</v>
      </c>
      <c r="AC692" s="3" t="str">
        <f aca="false">IF(ABS(X692-Z692)&gt;1,"Mismatch","OK")</f>
        <v>OK</v>
      </c>
      <c r="AD692" s="5" t="n">
        <f aca="false">IF(OR(B692="",C692=""),"",C692-B692)</f>
        <v>4</v>
      </c>
      <c r="AE692" s="3" t="str">
        <f aca="false">IF(AD692="","Unknown",IF(AD692&lt;0,"Invalid - Ship Before Order","OK"))</f>
        <v>OK</v>
      </c>
      <c r="AF692" s="5" t="n">
        <f aca="false">IF(B692="","",MONTH(B692))</f>
        <v>9</v>
      </c>
      <c r="AG692" s="5" t="n">
        <f aca="false">IF(B692="","",YEAR(B692))</f>
        <v>2024</v>
      </c>
      <c r="AH692" s="3" t="s">
        <v>185</v>
      </c>
      <c r="AI692" s="3" t="s">
        <v>130</v>
      </c>
      <c r="AJ692" s="3" t="str">
        <f aca="false">IF(AND(AI692="Completed",AH692="Failed"),"Inconsistent - Completed Order with Failed Payment","OK")</f>
        <v>OK</v>
      </c>
      <c r="AK692" s="3" t="s">
        <v>54</v>
      </c>
      <c r="AL692" s="3" t="str">
        <f aca="false">IF(OR(T692="Negative - Invalid",T692="Above Allowed Range - Invalid",AE692="Invalid - Ship Before Order",AK692&lt;&gt;"Unique",AB692="Mismatch",AC692="Mismatch",AJ692&lt;&gt;"OK"),"Invalid",IF(OR(H692="Yes",O692="Yes",T692="Missing"),"Warning","Clean"))</f>
        <v>Clean</v>
      </c>
    </row>
    <row r="693" customFormat="false" ht="15" hidden="false" customHeight="true" outlineLevel="0" collapsed="false">
      <c r="A693" s="3" t="s">
        <v>2201</v>
      </c>
      <c r="B693" s="4" t="n">
        <v>45641</v>
      </c>
      <c r="C693" s="4" t="n">
        <v>45642</v>
      </c>
      <c r="D693" s="3" t="s">
        <v>2202</v>
      </c>
      <c r="E693" s="3" t="s">
        <v>168</v>
      </c>
      <c r="F693" s="3" t="s">
        <v>41</v>
      </c>
      <c r="G693" s="3" t="s">
        <v>59</v>
      </c>
      <c r="H693" s="3" t="s">
        <v>43</v>
      </c>
      <c r="I693" s="3" t="s">
        <v>60</v>
      </c>
      <c r="J693" s="3" t="s">
        <v>61</v>
      </c>
      <c r="K693" s="3" t="s">
        <v>99</v>
      </c>
      <c r="L693" s="3" t="s">
        <v>105</v>
      </c>
      <c r="M693" s="3" t="s">
        <v>2203</v>
      </c>
      <c r="N693" s="3" t="s">
        <v>49</v>
      </c>
      <c r="O693" s="3" t="s">
        <v>43</v>
      </c>
      <c r="P693" s="5" t="n">
        <v>6</v>
      </c>
      <c r="Q693" s="6" t="n">
        <v>1538.1</v>
      </c>
      <c r="R693" s="3" t="s">
        <v>128</v>
      </c>
      <c r="S693" s="7" t="n">
        <v>0.05</v>
      </c>
      <c r="T693" s="3" t="s">
        <v>51</v>
      </c>
      <c r="U693" s="7" t="n">
        <f aca="false">IF(T693="Valid",S693,0)</f>
        <v>0.05</v>
      </c>
      <c r="V693" s="6" t="n">
        <v>8767.17</v>
      </c>
      <c r="W693" s="6" t="n">
        <v>5098.2</v>
      </c>
      <c r="X693" s="6" t="n">
        <v>3668.97</v>
      </c>
      <c r="Y693" s="6" t="n">
        <f aca="false">P693*Q693*(1-U693)</f>
        <v>8767.17</v>
      </c>
      <c r="Z693" s="6" t="n">
        <f aca="false">Y693-W693</f>
        <v>3668.97</v>
      </c>
      <c r="AA693" s="8" t="n">
        <f aca="false">IF(Y693=0,0,Z693/Y693)</f>
        <v>0.418489660859776</v>
      </c>
      <c r="AB693" s="3" t="str">
        <f aca="false">IF(ABS(V693-Y693)&gt;1,"Mismatch","OK")</f>
        <v>OK</v>
      </c>
      <c r="AC693" s="3" t="str">
        <f aca="false">IF(ABS(X693-Z693)&gt;1,"Mismatch","OK")</f>
        <v>OK</v>
      </c>
      <c r="AD693" s="5" t="n">
        <f aca="false">IF(OR(B693="",C693=""),"",C693-B693)</f>
        <v>1</v>
      </c>
      <c r="AE693" s="3" t="str">
        <f aca="false">IF(AD693="","Unknown",IF(AD693&lt;0,"Invalid - Ship Before Order","OK"))</f>
        <v>OK</v>
      </c>
      <c r="AF693" s="5" t="n">
        <f aca="false">IF(B693="","",MONTH(B693))</f>
        <v>12</v>
      </c>
      <c r="AG693" s="5" t="n">
        <f aca="false">IF(B693="","",YEAR(B693))</f>
        <v>2024</v>
      </c>
      <c r="AH693" s="3" t="s">
        <v>52</v>
      </c>
      <c r="AI693" s="3" t="s">
        <v>53</v>
      </c>
      <c r="AJ693" s="3" t="str">
        <f aca="false">IF(AND(AI693="Completed",AH693="Failed"),"Inconsistent - Completed Order with Failed Payment","OK")</f>
        <v>OK</v>
      </c>
      <c r="AK693" s="3" t="s">
        <v>54</v>
      </c>
      <c r="AL693" s="3" t="str">
        <f aca="false">IF(OR(T693="Negative - Invalid",T693="Above Allowed Range - Invalid",AE693="Invalid - Ship Before Order",AK693&lt;&gt;"Unique",AB693="Mismatch",AC693="Mismatch",AJ693&lt;&gt;"OK"),"Invalid",IF(OR(H693="Yes",O693="Yes",T693="Missing"),"Warning","Clean"))</f>
        <v>Clean</v>
      </c>
    </row>
    <row r="694" customFormat="false" ht="15" hidden="false" customHeight="true" outlineLevel="0" collapsed="false">
      <c r="A694" s="3" t="s">
        <v>2204</v>
      </c>
      <c r="B694" s="4" t="n">
        <v>45935</v>
      </c>
      <c r="C694" s="4" t="n">
        <v>45940</v>
      </c>
      <c r="D694" s="3" t="s">
        <v>2205</v>
      </c>
      <c r="E694" s="3" t="s">
        <v>69</v>
      </c>
      <c r="F694" s="3" t="s">
        <v>116</v>
      </c>
      <c r="G694" s="3" t="s">
        <v>78</v>
      </c>
      <c r="H694" s="3" t="s">
        <v>43</v>
      </c>
      <c r="I694" s="3" t="s">
        <v>206</v>
      </c>
      <c r="J694" s="3" t="s">
        <v>207</v>
      </c>
      <c r="K694" s="3" t="s">
        <v>62</v>
      </c>
      <c r="L694" s="3" t="s">
        <v>81</v>
      </c>
      <c r="M694" s="3" t="s">
        <v>2206</v>
      </c>
      <c r="N694" s="3" t="s">
        <v>49</v>
      </c>
      <c r="O694" s="3" t="s">
        <v>43</v>
      </c>
      <c r="P694" s="5" t="n">
        <v>4</v>
      </c>
      <c r="Q694" s="6" t="n">
        <v>2365.68</v>
      </c>
      <c r="R694" s="3" t="s">
        <v>203</v>
      </c>
      <c r="S694" s="7" t="n">
        <v>0.1</v>
      </c>
      <c r="T694" s="3" t="s">
        <v>51</v>
      </c>
      <c r="U694" s="7" t="n">
        <f aca="false">IF(T694="Valid",S694,0)</f>
        <v>0.1</v>
      </c>
      <c r="V694" s="6" t="n">
        <v>8516.45</v>
      </c>
      <c r="W694" s="6" t="n">
        <v>5903.81</v>
      </c>
      <c r="X694" s="6" t="n">
        <v>2612.64</v>
      </c>
      <c r="Y694" s="6" t="n">
        <f aca="false">P694*Q694*(1-U694)</f>
        <v>8516.448</v>
      </c>
      <c r="Z694" s="6" t="n">
        <f aca="false">Y694-W694</f>
        <v>2612.638</v>
      </c>
      <c r="AA694" s="8" t="n">
        <f aca="false">IF(Y694=0,0,Z694/Y694)</f>
        <v>0.306775547740091</v>
      </c>
      <c r="AB694" s="3" t="str">
        <f aca="false">IF(ABS(V694-Y694)&gt;1,"Mismatch","OK")</f>
        <v>OK</v>
      </c>
      <c r="AC694" s="3" t="str">
        <f aca="false">IF(ABS(X694-Z694)&gt;1,"Mismatch","OK")</f>
        <v>OK</v>
      </c>
      <c r="AD694" s="5" t="n">
        <f aca="false">IF(OR(B694="",C694=""),"",C694-B694)</f>
        <v>5</v>
      </c>
      <c r="AE694" s="3" t="str">
        <f aca="false">IF(AD694="","Unknown",IF(AD694&lt;0,"Invalid - Ship Before Order","OK"))</f>
        <v>OK</v>
      </c>
      <c r="AF694" s="5" t="n">
        <f aca="false">IF(B694="","",MONTH(B694))</f>
        <v>10</v>
      </c>
      <c r="AG694" s="5" t="n">
        <f aca="false">IF(B694="","",YEAR(B694))</f>
        <v>2025</v>
      </c>
      <c r="AH694" s="3" t="s">
        <v>52</v>
      </c>
      <c r="AI694" s="3" t="s">
        <v>53</v>
      </c>
      <c r="AJ694" s="3" t="str">
        <f aca="false">IF(AND(AI694="Completed",AH694="Failed"),"Inconsistent - Completed Order with Failed Payment","OK")</f>
        <v>OK</v>
      </c>
      <c r="AK694" s="3" t="s">
        <v>54</v>
      </c>
      <c r="AL694" s="3" t="str">
        <f aca="false">IF(OR(T694="Negative - Invalid",T694="Above Allowed Range - Invalid",AE694="Invalid - Ship Before Order",AK694&lt;&gt;"Unique",AB694="Mismatch",AC694="Mismatch",AJ694&lt;&gt;"OK"),"Invalid",IF(OR(H694="Yes",O694="Yes",T694="Missing"),"Warning","Clean"))</f>
        <v>Clean</v>
      </c>
    </row>
    <row r="695" customFormat="false" ht="15" hidden="false" customHeight="true" outlineLevel="0" collapsed="false">
      <c r="A695" s="3" t="s">
        <v>2207</v>
      </c>
      <c r="B695" s="4" t="n">
        <v>45750</v>
      </c>
      <c r="C695" s="4" t="n">
        <v>45758</v>
      </c>
      <c r="D695" s="3" t="s">
        <v>2208</v>
      </c>
      <c r="E695" s="3" t="s">
        <v>77</v>
      </c>
      <c r="F695" s="3" t="s">
        <v>41</v>
      </c>
      <c r="G695" s="3" t="s">
        <v>78</v>
      </c>
      <c r="H695" s="3" t="s">
        <v>43</v>
      </c>
      <c r="I695" s="3" t="s">
        <v>281</v>
      </c>
      <c r="J695" s="3" t="s">
        <v>282</v>
      </c>
      <c r="K695" s="3" t="s">
        <v>62</v>
      </c>
      <c r="L695" s="3" t="s">
        <v>188</v>
      </c>
      <c r="M695" s="3" t="s">
        <v>2209</v>
      </c>
      <c r="N695" s="3" t="s">
        <v>49</v>
      </c>
      <c r="O695" s="3" t="s">
        <v>43</v>
      </c>
      <c r="P695" s="5" t="n">
        <v>3</v>
      </c>
      <c r="Q695" s="6" t="n">
        <v>4149.77</v>
      </c>
      <c r="R695" s="3" t="s">
        <v>128</v>
      </c>
      <c r="S695" s="7" t="n">
        <v>0.05</v>
      </c>
      <c r="T695" s="3" t="s">
        <v>51</v>
      </c>
      <c r="U695" s="7" t="n">
        <f aca="false">IF(T695="Valid",S695,0)</f>
        <v>0.05</v>
      </c>
      <c r="V695" s="6" t="n">
        <v>11826.84</v>
      </c>
      <c r="W695" s="6" t="n">
        <v>8035.96</v>
      </c>
      <c r="X695" s="6" t="n">
        <v>3790.88</v>
      </c>
      <c r="Y695" s="6" t="n">
        <f aca="false">P695*Q695*(1-U695)</f>
        <v>11826.8445</v>
      </c>
      <c r="Z695" s="6" t="n">
        <f aca="false">Y695-W695</f>
        <v>3790.8845</v>
      </c>
      <c r="AA695" s="8" t="n">
        <f aca="false">IF(Y695=0,0,Z695/Y695)</f>
        <v>0.320532201129388</v>
      </c>
      <c r="AB695" s="3" t="str">
        <f aca="false">IF(ABS(V695-Y695)&gt;1,"Mismatch","OK")</f>
        <v>OK</v>
      </c>
      <c r="AC695" s="3" t="str">
        <f aca="false">IF(ABS(X695-Z695)&gt;1,"Mismatch","OK")</f>
        <v>OK</v>
      </c>
      <c r="AD695" s="5" t="n">
        <f aca="false">IF(OR(B695="",C695=""),"",C695-B695)</f>
        <v>8</v>
      </c>
      <c r="AE695" s="3" t="str">
        <f aca="false">IF(AD695="","Unknown",IF(AD695&lt;0,"Invalid - Ship Before Order","OK"))</f>
        <v>OK</v>
      </c>
      <c r="AF695" s="5" t="n">
        <f aca="false">IF(B695="","",MONTH(B695))</f>
        <v>4</v>
      </c>
      <c r="AG695" s="5" t="n">
        <f aca="false">IF(B695="","",YEAR(B695))</f>
        <v>2025</v>
      </c>
      <c r="AH695" s="3" t="s">
        <v>52</v>
      </c>
      <c r="AI695" s="3" t="s">
        <v>53</v>
      </c>
      <c r="AJ695" s="3" t="str">
        <f aca="false">IF(AND(AI695="Completed",AH695="Failed"),"Inconsistent - Completed Order with Failed Payment","OK")</f>
        <v>OK</v>
      </c>
      <c r="AK695" s="3" t="s">
        <v>54</v>
      </c>
      <c r="AL695" s="3" t="str">
        <f aca="false">IF(OR(T695="Negative - Invalid",T695="Above Allowed Range - Invalid",AE695="Invalid - Ship Before Order",AK695&lt;&gt;"Unique",AB695="Mismatch",AC695="Mismatch",AJ695&lt;&gt;"OK"),"Invalid",IF(OR(H695="Yes",O695="Yes",T695="Missing"),"Warning","Clean"))</f>
        <v>Clean</v>
      </c>
    </row>
    <row r="696" customFormat="false" ht="15" hidden="false" customHeight="true" outlineLevel="0" collapsed="false">
      <c r="A696" s="3" t="s">
        <v>2210</v>
      </c>
      <c r="B696" s="4" t="n">
        <v>45870</v>
      </c>
      <c r="C696" s="4" t="n">
        <v>45878</v>
      </c>
      <c r="D696" s="3" t="s">
        <v>1177</v>
      </c>
      <c r="E696" s="3" t="s">
        <v>69</v>
      </c>
      <c r="F696" s="3" t="s">
        <v>41</v>
      </c>
      <c r="G696" s="3" t="s">
        <v>78</v>
      </c>
      <c r="H696" s="3" t="s">
        <v>43</v>
      </c>
      <c r="I696" s="3" t="s">
        <v>110</v>
      </c>
      <c r="J696" s="3" t="s">
        <v>111</v>
      </c>
      <c r="K696" s="3" t="s">
        <v>46</v>
      </c>
      <c r="L696" s="3" t="s">
        <v>151</v>
      </c>
      <c r="M696" s="3" t="s">
        <v>2211</v>
      </c>
      <c r="N696" s="3" t="s">
        <v>72</v>
      </c>
      <c r="O696" s="3" t="s">
        <v>43</v>
      </c>
      <c r="P696" s="5" t="n">
        <v>5</v>
      </c>
      <c r="Q696" s="6" t="n">
        <v>2736.24</v>
      </c>
      <c r="R696" s="3" t="s">
        <v>107</v>
      </c>
      <c r="S696" s="7" t="n">
        <v>0.15</v>
      </c>
      <c r="T696" s="3" t="s">
        <v>51</v>
      </c>
      <c r="U696" s="7" t="n">
        <f aca="false">IF(T696="Valid",S696,0)</f>
        <v>0.15</v>
      </c>
      <c r="V696" s="6" t="n">
        <v>11629.02</v>
      </c>
      <c r="W696" s="6" t="n">
        <v>9627.21</v>
      </c>
      <c r="X696" s="6" t="n">
        <v>2001.81</v>
      </c>
      <c r="Y696" s="6" t="n">
        <f aca="false">P696*Q696*(1-U696)</f>
        <v>11629.02</v>
      </c>
      <c r="Z696" s="6" t="n">
        <f aca="false">Y696-W696</f>
        <v>2001.81</v>
      </c>
      <c r="AA696" s="8" t="n">
        <f aca="false">IF(Y696=0,0,Z696/Y696)</f>
        <v>0.172139182837419</v>
      </c>
      <c r="AB696" s="3" t="str">
        <f aca="false">IF(ABS(V696-Y696)&gt;1,"Mismatch","OK")</f>
        <v>OK</v>
      </c>
      <c r="AC696" s="3" t="str">
        <f aca="false">IF(ABS(X696-Z696)&gt;1,"Mismatch","OK")</f>
        <v>OK</v>
      </c>
      <c r="AD696" s="5" t="n">
        <f aca="false">IF(OR(B696="",C696=""),"",C696-B696)</f>
        <v>8</v>
      </c>
      <c r="AE696" s="3" t="str">
        <f aca="false">IF(AD696="","Unknown",IF(AD696&lt;0,"Invalid - Ship Before Order","OK"))</f>
        <v>OK</v>
      </c>
      <c r="AF696" s="5" t="n">
        <f aca="false">IF(B696="","",MONTH(B696))</f>
        <v>8</v>
      </c>
      <c r="AG696" s="5" t="n">
        <f aca="false">IF(B696="","",YEAR(B696))</f>
        <v>2025</v>
      </c>
      <c r="AH696" s="3" t="s">
        <v>52</v>
      </c>
      <c r="AI696" s="3" t="s">
        <v>53</v>
      </c>
      <c r="AJ696" s="3" t="str">
        <f aca="false">IF(AND(AI696="Completed",AH696="Failed"),"Inconsistent - Completed Order with Failed Payment","OK")</f>
        <v>OK</v>
      </c>
      <c r="AK696" s="3" t="s">
        <v>54</v>
      </c>
      <c r="AL696" s="3" t="str">
        <f aca="false">IF(OR(T696="Negative - Invalid",T696="Above Allowed Range - Invalid",AE696="Invalid - Ship Before Order",AK696&lt;&gt;"Unique",AB696="Mismatch",AC696="Mismatch",AJ696&lt;&gt;"OK"),"Invalid",IF(OR(H696="Yes",O696="Yes",T696="Missing"),"Warning","Clean"))</f>
        <v>Clean</v>
      </c>
    </row>
    <row r="697" customFormat="false" ht="15" hidden="false" customHeight="true" outlineLevel="0" collapsed="false">
      <c r="A697" s="3" t="s">
        <v>2212</v>
      </c>
      <c r="B697" s="4" t="n">
        <v>45474</v>
      </c>
      <c r="C697" s="4" t="n">
        <v>45474</v>
      </c>
      <c r="D697" s="3" t="s">
        <v>2213</v>
      </c>
      <c r="E697" s="3" t="s">
        <v>155</v>
      </c>
      <c r="F697" s="3" t="s">
        <v>41</v>
      </c>
      <c r="G697" s="3" t="s">
        <v>88</v>
      </c>
      <c r="H697" s="3" t="s">
        <v>43</v>
      </c>
      <c r="I697" s="3" t="s">
        <v>97</v>
      </c>
      <c r="J697" s="3" t="s">
        <v>98</v>
      </c>
      <c r="K697" s="3" t="s">
        <v>99</v>
      </c>
      <c r="L697" s="3" t="s">
        <v>308</v>
      </c>
      <c r="M697" s="3" t="s">
        <v>2214</v>
      </c>
      <c r="N697" s="3" t="s">
        <v>83</v>
      </c>
      <c r="O697" s="3" t="s">
        <v>43</v>
      </c>
      <c r="P697" s="5" t="n">
        <v>4</v>
      </c>
      <c r="Q697" s="6" t="n">
        <v>257.39</v>
      </c>
      <c r="R697" s="3" t="s">
        <v>66</v>
      </c>
      <c r="S697" s="7" t="n">
        <v>0</v>
      </c>
      <c r="T697" s="3" t="s">
        <v>51</v>
      </c>
      <c r="U697" s="7" t="n">
        <f aca="false">IF(T697="Valid",S697,0)</f>
        <v>0</v>
      </c>
      <c r="V697" s="6" t="n">
        <v>1029.56</v>
      </c>
      <c r="W697" s="6" t="n">
        <v>626.33</v>
      </c>
      <c r="X697" s="6" t="n">
        <v>403.23</v>
      </c>
      <c r="Y697" s="6" t="n">
        <f aca="false">P697*Q697*(1-U697)</f>
        <v>1029.56</v>
      </c>
      <c r="Z697" s="6" t="n">
        <f aca="false">Y697-W697</f>
        <v>403.23</v>
      </c>
      <c r="AA697" s="8" t="n">
        <f aca="false">IF(Y697=0,0,Z697/Y697)</f>
        <v>0.391652744861883</v>
      </c>
      <c r="AB697" s="3" t="str">
        <f aca="false">IF(ABS(V697-Y697)&gt;1,"Mismatch","OK")</f>
        <v>OK</v>
      </c>
      <c r="AC697" s="3" t="str">
        <f aca="false">IF(ABS(X697-Z697)&gt;1,"Mismatch","OK")</f>
        <v>OK</v>
      </c>
      <c r="AD697" s="5" t="n">
        <f aca="false">IF(OR(B697="",C697=""),"",C697-B697)</f>
        <v>0</v>
      </c>
      <c r="AE697" s="3" t="str">
        <f aca="false">IF(AD697="","Unknown",IF(AD697&lt;0,"Invalid - Ship Before Order","OK"))</f>
        <v>OK</v>
      </c>
      <c r="AF697" s="5" t="n">
        <f aca="false">IF(B697="","",MONTH(B697))</f>
        <v>7</v>
      </c>
      <c r="AG697" s="5" t="n">
        <f aca="false">IF(B697="","",YEAR(B697))</f>
        <v>2024</v>
      </c>
      <c r="AH697" s="3" t="s">
        <v>52</v>
      </c>
      <c r="AI697" s="3" t="s">
        <v>53</v>
      </c>
      <c r="AJ697" s="3" t="str">
        <f aca="false">IF(AND(AI697="Completed",AH697="Failed"),"Inconsistent - Completed Order with Failed Payment","OK")</f>
        <v>OK</v>
      </c>
      <c r="AK697" s="3" t="s">
        <v>54</v>
      </c>
      <c r="AL697" s="3" t="str">
        <f aca="false">IF(OR(T697="Negative - Invalid",T697="Above Allowed Range - Invalid",AE697="Invalid - Ship Before Order",AK697&lt;&gt;"Unique",AB697="Mismatch",AC697="Mismatch",AJ697&lt;&gt;"OK"),"Invalid",IF(OR(H697="Yes",O697="Yes",T697="Missing"),"Warning","Clean"))</f>
        <v>Clean</v>
      </c>
    </row>
    <row r="698" customFormat="false" ht="15" hidden="false" customHeight="true" outlineLevel="0" collapsed="false">
      <c r="A698" s="3" t="s">
        <v>2215</v>
      </c>
      <c r="B698" s="4" t="n">
        <v>45922</v>
      </c>
      <c r="C698" s="4" t="n">
        <v>45925</v>
      </c>
      <c r="D698" s="3" t="s">
        <v>2216</v>
      </c>
      <c r="E698" s="3" t="s">
        <v>69</v>
      </c>
      <c r="F698" s="3" t="s">
        <v>58</v>
      </c>
      <c r="G698" s="3" t="s">
        <v>78</v>
      </c>
      <c r="H698" s="3" t="s">
        <v>43</v>
      </c>
      <c r="I698" s="3" t="s">
        <v>216</v>
      </c>
      <c r="J698" s="3" t="s">
        <v>217</v>
      </c>
      <c r="K698" s="3" t="s">
        <v>99</v>
      </c>
      <c r="L698" s="3" t="s">
        <v>201</v>
      </c>
      <c r="M698" s="3" t="s">
        <v>2217</v>
      </c>
      <c r="N698" s="3" t="s">
        <v>237</v>
      </c>
      <c r="O698" s="3" t="s">
        <v>238</v>
      </c>
      <c r="P698" s="5" t="n">
        <v>4</v>
      </c>
      <c r="Q698" s="6" t="n">
        <v>1178.84</v>
      </c>
      <c r="R698" s="3" t="s">
        <v>84</v>
      </c>
      <c r="S698" s="7" t="n">
        <v>0.25</v>
      </c>
      <c r="T698" s="3" t="s">
        <v>51</v>
      </c>
      <c r="U698" s="7" t="n">
        <f aca="false">IF(T698="Valid",S698,0)</f>
        <v>0.25</v>
      </c>
      <c r="V698" s="6" t="n">
        <v>3536.52</v>
      </c>
      <c r="W698" s="6" t="n">
        <v>2102.41</v>
      </c>
      <c r="X698" s="6" t="n">
        <v>1363.28</v>
      </c>
      <c r="Y698" s="6" t="n">
        <f aca="false">P698*Q698*(1-U698)</f>
        <v>3536.52</v>
      </c>
      <c r="Z698" s="6" t="n">
        <f aca="false">Y698-W698</f>
        <v>1434.11</v>
      </c>
      <c r="AA698" s="8" t="n">
        <f aca="false">IF(Y698=0,0,Z698/Y698)</f>
        <v>0.405514460543133</v>
      </c>
      <c r="AB698" s="3" t="str">
        <f aca="false">IF(ABS(V698-Y698)&gt;1,"Mismatch","OK")</f>
        <v>OK</v>
      </c>
      <c r="AC698" s="3" t="str">
        <f aca="false">IF(ABS(X698-Z698)&gt;1,"Mismatch","OK")</f>
        <v>Mismatch</v>
      </c>
      <c r="AD698" s="5" t="n">
        <f aca="false">IF(OR(B698="",C698=""),"",C698-B698)</f>
        <v>3</v>
      </c>
      <c r="AE698" s="3" t="str">
        <f aca="false">IF(AD698="","Unknown",IF(AD698&lt;0,"Invalid - Ship Before Order","OK"))</f>
        <v>OK</v>
      </c>
      <c r="AF698" s="5" t="n">
        <f aca="false">IF(B698="","",MONTH(B698))</f>
        <v>9</v>
      </c>
      <c r="AG698" s="5" t="n">
        <f aca="false">IF(B698="","",YEAR(B698))</f>
        <v>2025</v>
      </c>
      <c r="AH698" s="3" t="s">
        <v>52</v>
      </c>
      <c r="AI698" s="3" t="s">
        <v>53</v>
      </c>
      <c r="AJ698" s="3" t="str">
        <f aca="false">IF(AND(AI698="Completed",AH698="Failed"),"Inconsistent - Completed Order with Failed Payment","OK")</f>
        <v>OK</v>
      </c>
      <c r="AK698" s="3" t="s">
        <v>54</v>
      </c>
      <c r="AL698" s="3" t="str">
        <f aca="false">IF(OR(T698="Negative - Invalid",T698="Above Allowed Range - Invalid",AE698="Invalid - Ship Before Order",AK698&lt;&gt;"Unique",AB698="Mismatch",AC698="Mismatch",AJ698&lt;&gt;"OK"),"Invalid",IF(OR(H698="Yes",O698="Yes",T698="Missing"),"Warning","Clean"))</f>
        <v>Invalid</v>
      </c>
    </row>
    <row r="699" customFormat="false" ht="15" hidden="false" customHeight="true" outlineLevel="0" collapsed="false">
      <c r="A699" s="3" t="s">
        <v>2218</v>
      </c>
      <c r="B699" s="4" t="n">
        <v>45717</v>
      </c>
      <c r="C699" s="4" t="n">
        <v>45723</v>
      </c>
      <c r="D699" s="3" t="s">
        <v>2219</v>
      </c>
      <c r="E699" s="3" t="s">
        <v>77</v>
      </c>
      <c r="F699" s="3" t="s">
        <v>116</v>
      </c>
      <c r="G699" s="3" t="s">
        <v>78</v>
      </c>
      <c r="H699" s="3" t="s">
        <v>43</v>
      </c>
      <c r="I699" s="3" t="s">
        <v>110</v>
      </c>
      <c r="J699" s="3" t="s">
        <v>111</v>
      </c>
      <c r="K699" s="3" t="s">
        <v>46</v>
      </c>
      <c r="L699" s="3" t="s">
        <v>117</v>
      </c>
      <c r="M699" s="3" t="s">
        <v>2220</v>
      </c>
      <c r="N699" s="3" t="s">
        <v>72</v>
      </c>
      <c r="O699" s="3" t="s">
        <v>43</v>
      </c>
      <c r="P699" s="5" t="n">
        <v>7</v>
      </c>
      <c r="Q699" s="6" t="n">
        <v>567.15</v>
      </c>
      <c r="R699" s="3"/>
      <c r="S699" s="7"/>
      <c r="T699" s="3" t="s">
        <v>230</v>
      </c>
      <c r="U699" s="7" t="n">
        <f aca="false">IF(T699="Valid",S699,0)</f>
        <v>0</v>
      </c>
      <c r="V699" s="6" t="n">
        <v>2977.54</v>
      </c>
      <c r="W699" s="6" t="n">
        <v>1849.3</v>
      </c>
      <c r="X699" s="6" t="n">
        <v>1128.24</v>
      </c>
      <c r="Y699" s="6" t="n">
        <f aca="false">P699*Q699*(1-U699)</f>
        <v>3970.05</v>
      </c>
      <c r="Z699" s="6" t="n">
        <f aca="false">Y699-W699</f>
        <v>2120.75</v>
      </c>
      <c r="AA699" s="8" t="n">
        <f aca="false">IF(Y699=0,0,Z699/Y699)</f>
        <v>0.534187226861123</v>
      </c>
      <c r="AB699" s="3" t="str">
        <f aca="false">IF(ABS(V699-Y699)&gt;1,"Mismatch","OK")</f>
        <v>Mismatch</v>
      </c>
      <c r="AC699" s="3" t="str">
        <f aca="false">IF(ABS(X699-Z699)&gt;1,"Mismatch","OK")</f>
        <v>Mismatch</v>
      </c>
      <c r="AD699" s="5" t="n">
        <f aca="false">IF(OR(B699="",C699=""),"",C699-B699)</f>
        <v>6</v>
      </c>
      <c r="AE699" s="3" t="str">
        <f aca="false">IF(AD699="","Unknown",IF(AD699&lt;0,"Invalid - Ship Before Order","OK"))</f>
        <v>OK</v>
      </c>
      <c r="AF699" s="5" t="n">
        <f aca="false">IF(B699="","",MONTH(B699))</f>
        <v>3</v>
      </c>
      <c r="AG699" s="5" t="n">
        <f aca="false">IF(B699="","",YEAR(B699))</f>
        <v>2025</v>
      </c>
      <c r="AH699" s="3" t="s">
        <v>129</v>
      </c>
      <c r="AI699" s="3" t="s">
        <v>130</v>
      </c>
      <c r="AJ699" s="3" t="str">
        <f aca="false">IF(AND(AI699="Completed",AH699="Failed"),"Inconsistent - Completed Order with Failed Payment","OK")</f>
        <v>OK</v>
      </c>
      <c r="AK699" s="3" t="s">
        <v>54</v>
      </c>
      <c r="AL699" s="3" t="str">
        <f aca="false">IF(OR(T699="Negative - Invalid",T699="Above Allowed Range - Invalid",AE699="Invalid - Ship Before Order",AK699&lt;&gt;"Unique",AB699="Mismatch",AC699="Mismatch",AJ699&lt;&gt;"OK"),"Invalid",IF(OR(H699="Yes",O699="Yes",T699="Missing"),"Warning","Clean"))</f>
        <v>Invalid</v>
      </c>
    </row>
    <row r="700" customFormat="false" ht="15" hidden="false" customHeight="true" outlineLevel="0" collapsed="false">
      <c r="A700" s="3" t="s">
        <v>2221</v>
      </c>
      <c r="B700" s="4" t="n">
        <v>45549</v>
      </c>
      <c r="C700" s="4" t="n">
        <v>45549</v>
      </c>
      <c r="D700" s="3" t="s">
        <v>2222</v>
      </c>
      <c r="E700" s="3" t="s">
        <v>57</v>
      </c>
      <c r="F700" s="3" t="s">
        <v>116</v>
      </c>
      <c r="G700" s="3" t="s">
        <v>42</v>
      </c>
      <c r="H700" s="3" t="s">
        <v>43</v>
      </c>
      <c r="I700" s="3" t="s">
        <v>44</v>
      </c>
      <c r="J700" s="3" t="s">
        <v>45</v>
      </c>
      <c r="K700" s="3" t="s">
        <v>99</v>
      </c>
      <c r="L700" s="3" t="s">
        <v>308</v>
      </c>
      <c r="M700" s="3" t="s">
        <v>2223</v>
      </c>
      <c r="N700" s="3" t="s">
        <v>83</v>
      </c>
      <c r="O700" s="3" t="s">
        <v>43</v>
      </c>
      <c r="P700" s="5" t="n">
        <v>8</v>
      </c>
      <c r="Q700" s="6" t="n">
        <v>4081.66</v>
      </c>
      <c r="R700" s="3" t="s">
        <v>107</v>
      </c>
      <c r="S700" s="7" t="n">
        <v>0.15</v>
      </c>
      <c r="T700" s="3" t="s">
        <v>51</v>
      </c>
      <c r="U700" s="7" t="n">
        <f aca="false">IF(T700="Valid",S700,0)</f>
        <v>0.15</v>
      </c>
      <c r="V700" s="6" t="n">
        <v>28208.1</v>
      </c>
      <c r="W700" s="6" t="n">
        <v>23751.91</v>
      </c>
      <c r="X700" s="6" t="n">
        <v>4003.38</v>
      </c>
      <c r="Y700" s="6" t="n">
        <f aca="false">P700*Q700*(1-U700)</f>
        <v>27755.288</v>
      </c>
      <c r="Z700" s="6" t="n">
        <f aca="false">Y700-W700</f>
        <v>4003.378</v>
      </c>
      <c r="AA700" s="8" t="n">
        <f aca="false">IF(Y700=0,0,Z700/Y700)</f>
        <v>0.144238388014565</v>
      </c>
      <c r="AB700" s="3" t="str">
        <f aca="false">IF(ABS(V700-Y700)&gt;1,"Mismatch","OK")</f>
        <v>Mismatch</v>
      </c>
      <c r="AC700" s="3" t="str">
        <f aca="false">IF(ABS(X700-Z700)&gt;1,"Mismatch","OK")</f>
        <v>OK</v>
      </c>
      <c r="AD700" s="5" t="n">
        <f aca="false">IF(OR(B700="",C700=""),"",C700-B700)</f>
        <v>0</v>
      </c>
      <c r="AE700" s="3" t="str">
        <f aca="false">IF(AD700="","Unknown",IF(AD700&lt;0,"Invalid - Ship Before Order","OK"))</f>
        <v>OK</v>
      </c>
      <c r="AF700" s="5" t="n">
        <f aca="false">IF(B700="","",MONTH(B700))</f>
        <v>9</v>
      </c>
      <c r="AG700" s="5" t="n">
        <f aca="false">IF(B700="","",YEAR(B700))</f>
        <v>2024</v>
      </c>
      <c r="AH700" s="3" t="s">
        <v>52</v>
      </c>
      <c r="AI700" s="3" t="s">
        <v>130</v>
      </c>
      <c r="AJ700" s="3" t="str">
        <f aca="false">IF(AND(AI700="Completed",AH700="Failed"),"Inconsistent - Completed Order with Failed Payment","OK")</f>
        <v>OK</v>
      </c>
      <c r="AK700" s="3" t="s">
        <v>54</v>
      </c>
      <c r="AL700" s="3" t="str">
        <f aca="false">IF(OR(T700="Negative - Invalid",T700="Above Allowed Range - Invalid",AE700="Invalid - Ship Before Order",AK700&lt;&gt;"Unique",AB700="Mismatch",AC700="Mismatch",AJ700&lt;&gt;"OK"),"Invalid",IF(OR(H700="Yes",O700="Yes",T700="Missing"),"Warning","Clean"))</f>
        <v>Invalid</v>
      </c>
    </row>
    <row r="701" customFormat="false" ht="15" hidden="false" customHeight="true" outlineLevel="0" collapsed="false">
      <c r="A701" s="3" t="s">
        <v>2224</v>
      </c>
      <c r="B701" s="4" t="n">
        <v>45454</v>
      </c>
      <c r="C701" s="4" t="n">
        <v>45454</v>
      </c>
      <c r="D701" s="3" t="s">
        <v>2225</v>
      </c>
      <c r="E701" s="3" t="s">
        <v>77</v>
      </c>
      <c r="F701" s="3" t="s">
        <v>58</v>
      </c>
      <c r="G701" s="3" t="s">
        <v>78</v>
      </c>
      <c r="H701" s="3" t="s">
        <v>43</v>
      </c>
      <c r="I701" s="3" t="s">
        <v>206</v>
      </c>
      <c r="J701" s="3" t="s">
        <v>207</v>
      </c>
      <c r="K701" s="3" t="s">
        <v>62</v>
      </c>
      <c r="L701" s="3" t="s">
        <v>188</v>
      </c>
      <c r="M701" s="3" t="s">
        <v>2226</v>
      </c>
      <c r="N701" s="3" t="s">
        <v>83</v>
      </c>
      <c r="O701" s="3" t="s">
        <v>43</v>
      </c>
      <c r="P701" s="5" t="n">
        <v>9</v>
      </c>
      <c r="Q701" s="6" t="n">
        <v>1400.11</v>
      </c>
      <c r="R701" s="3" t="s">
        <v>84</v>
      </c>
      <c r="S701" s="7" t="n">
        <v>0.25</v>
      </c>
      <c r="T701" s="3" t="s">
        <v>51</v>
      </c>
      <c r="U701" s="7" t="n">
        <f aca="false">IF(T701="Valid",S701,0)</f>
        <v>0.25</v>
      </c>
      <c r="V701" s="6" t="n">
        <v>9450.74</v>
      </c>
      <c r="W701" s="6" t="n">
        <v>7798.56</v>
      </c>
      <c r="X701" s="6" t="n">
        <v>1652.18</v>
      </c>
      <c r="Y701" s="6" t="n">
        <f aca="false">P701*Q701*(1-U701)</f>
        <v>9450.7425</v>
      </c>
      <c r="Z701" s="6" t="n">
        <f aca="false">Y701-W701</f>
        <v>1652.1825</v>
      </c>
      <c r="AA701" s="8" t="n">
        <f aca="false">IF(Y701=0,0,Z701/Y701)</f>
        <v>0.174820391096255</v>
      </c>
      <c r="AB701" s="3" t="str">
        <f aca="false">IF(ABS(V701-Y701)&gt;1,"Mismatch","OK")</f>
        <v>OK</v>
      </c>
      <c r="AC701" s="3" t="str">
        <f aca="false">IF(ABS(X701-Z701)&gt;1,"Mismatch","OK")</f>
        <v>OK</v>
      </c>
      <c r="AD701" s="5" t="n">
        <f aca="false">IF(OR(B701="",C701=""),"",C701-B701)</f>
        <v>0</v>
      </c>
      <c r="AE701" s="3" t="str">
        <f aca="false">IF(AD701="","Unknown",IF(AD701&lt;0,"Invalid - Ship Before Order","OK"))</f>
        <v>OK</v>
      </c>
      <c r="AF701" s="5" t="n">
        <f aca="false">IF(B701="","",MONTH(B701))</f>
        <v>6</v>
      </c>
      <c r="AG701" s="5" t="n">
        <f aca="false">IF(B701="","",YEAR(B701))</f>
        <v>2024</v>
      </c>
      <c r="AH701" s="3" t="s">
        <v>52</v>
      </c>
      <c r="AI701" s="3" t="s">
        <v>53</v>
      </c>
      <c r="AJ701" s="3" t="str">
        <f aca="false">IF(AND(AI701="Completed",AH701="Failed"),"Inconsistent - Completed Order with Failed Payment","OK")</f>
        <v>OK</v>
      </c>
      <c r="AK701" s="3" t="s">
        <v>54</v>
      </c>
      <c r="AL701" s="3" t="str">
        <f aca="false">IF(OR(T701="Negative - Invalid",T701="Above Allowed Range - Invalid",AE701="Invalid - Ship Before Order",AK701&lt;&gt;"Unique",AB701="Mismatch",AC701="Mismatch",AJ701&lt;&gt;"OK"),"Invalid",IF(OR(H701="Yes",O701="Yes",T701="Missing"),"Warning","Clean"))</f>
        <v>Clean</v>
      </c>
    </row>
    <row r="702" customFormat="false" ht="15" hidden="false" customHeight="true" outlineLevel="0" collapsed="false">
      <c r="A702" s="3" t="s">
        <v>2227</v>
      </c>
      <c r="B702" s="4" t="n">
        <v>45553</v>
      </c>
      <c r="C702" s="4" t="n">
        <v>45556</v>
      </c>
      <c r="D702" s="3" t="s">
        <v>2228</v>
      </c>
      <c r="E702" s="3" t="s">
        <v>104</v>
      </c>
      <c r="F702" s="3" t="s">
        <v>116</v>
      </c>
      <c r="G702" s="3" t="s">
        <v>59</v>
      </c>
      <c r="H702" s="3" t="s">
        <v>43</v>
      </c>
      <c r="I702" s="3" t="s">
        <v>125</v>
      </c>
      <c r="J702" s="3" t="s">
        <v>126</v>
      </c>
      <c r="K702" s="3" t="s">
        <v>99</v>
      </c>
      <c r="L702" s="3" t="s">
        <v>308</v>
      </c>
      <c r="M702" s="3" t="s">
        <v>2229</v>
      </c>
      <c r="N702" s="3" t="s">
        <v>83</v>
      </c>
      <c r="O702" s="3" t="s">
        <v>43</v>
      </c>
      <c r="P702" s="5" t="n">
        <v>3</v>
      </c>
      <c r="Q702" s="6" t="n">
        <v>3055.9</v>
      </c>
      <c r="R702" s="3" t="s">
        <v>107</v>
      </c>
      <c r="S702" s="7" t="n">
        <v>0.15</v>
      </c>
      <c r="T702" s="3" t="s">
        <v>51</v>
      </c>
      <c r="U702" s="7" t="n">
        <f aca="false">IF(T702="Valid",S702,0)</f>
        <v>0.15</v>
      </c>
      <c r="V702" s="6" t="n">
        <v>7792.55</v>
      </c>
      <c r="W702" s="6" t="n">
        <v>4691.73</v>
      </c>
      <c r="X702" s="6" t="n">
        <v>3100.82</v>
      </c>
      <c r="Y702" s="6" t="n">
        <f aca="false">P702*Q702*(1-U702)</f>
        <v>7792.545</v>
      </c>
      <c r="Z702" s="6" t="n">
        <f aca="false">Y702-W702</f>
        <v>3100.815</v>
      </c>
      <c r="AA702" s="8" t="n">
        <f aca="false">IF(Y702=0,0,Z702/Y702)</f>
        <v>0.397920704981492</v>
      </c>
      <c r="AB702" s="3" t="str">
        <f aca="false">IF(ABS(V702-Y702)&gt;1,"Mismatch","OK")</f>
        <v>OK</v>
      </c>
      <c r="AC702" s="3" t="str">
        <f aca="false">IF(ABS(X702-Z702)&gt;1,"Mismatch","OK")</f>
        <v>OK</v>
      </c>
      <c r="AD702" s="5" t="n">
        <f aca="false">IF(OR(B702="",C702=""),"",C702-B702)</f>
        <v>3</v>
      </c>
      <c r="AE702" s="3" t="str">
        <f aca="false">IF(AD702="","Unknown",IF(AD702&lt;0,"Invalid - Ship Before Order","OK"))</f>
        <v>OK</v>
      </c>
      <c r="AF702" s="5" t="n">
        <f aca="false">IF(B702="","",MONTH(B702))</f>
        <v>9</v>
      </c>
      <c r="AG702" s="5" t="n">
        <f aca="false">IF(B702="","",YEAR(B702))</f>
        <v>2024</v>
      </c>
      <c r="AH702" s="3" t="s">
        <v>52</v>
      </c>
      <c r="AI702" s="3" t="s">
        <v>53</v>
      </c>
      <c r="AJ702" s="3" t="str">
        <f aca="false">IF(AND(AI702="Completed",AH702="Failed"),"Inconsistent - Completed Order with Failed Payment","OK")</f>
        <v>OK</v>
      </c>
      <c r="AK702" s="3" t="s">
        <v>54</v>
      </c>
      <c r="AL702" s="3" t="str">
        <f aca="false">IF(OR(T702="Negative - Invalid",T702="Above Allowed Range - Invalid",AE702="Invalid - Ship Before Order",AK702&lt;&gt;"Unique",AB702="Mismatch",AC702="Mismatch",AJ702&lt;&gt;"OK"),"Invalid",IF(OR(H702="Yes",O702="Yes",T702="Missing"),"Warning","Clean"))</f>
        <v>Clean</v>
      </c>
    </row>
    <row r="703" customFormat="false" ht="15" hidden="false" customHeight="true" outlineLevel="0" collapsed="false">
      <c r="A703" s="3" t="s">
        <v>2230</v>
      </c>
      <c r="B703" s="4" t="n">
        <v>45412</v>
      </c>
      <c r="C703" s="4" t="n">
        <v>45416</v>
      </c>
      <c r="D703" s="3" t="s">
        <v>2231</v>
      </c>
      <c r="E703" s="3" t="s">
        <v>168</v>
      </c>
      <c r="F703" s="3" t="s">
        <v>58</v>
      </c>
      <c r="G703" s="3" t="s">
        <v>88</v>
      </c>
      <c r="H703" s="3" t="s">
        <v>43</v>
      </c>
      <c r="I703" s="3" t="s">
        <v>211</v>
      </c>
      <c r="J703" s="3" t="s">
        <v>212</v>
      </c>
      <c r="K703" s="3" t="s">
        <v>46</v>
      </c>
      <c r="L703" s="3" t="s">
        <v>70</v>
      </c>
      <c r="M703" s="3" t="s">
        <v>2232</v>
      </c>
      <c r="N703" s="3" t="s">
        <v>65</v>
      </c>
      <c r="O703" s="3" t="s">
        <v>43</v>
      </c>
      <c r="P703" s="5" t="n">
        <v>7</v>
      </c>
      <c r="Q703" s="6" t="n">
        <v>1224.94</v>
      </c>
      <c r="R703" s="3" t="s">
        <v>66</v>
      </c>
      <c r="S703" s="7" t="n">
        <v>0</v>
      </c>
      <c r="T703" s="3" t="s">
        <v>51</v>
      </c>
      <c r="U703" s="7" t="n">
        <f aca="false">IF(T703="Valid",S703,0)</f>
        <v>0</v>
      </c>
      <c r="V703" s="6" t="n">
        <v>8574.58</v>
      </c>
      <c r="W703" s="6" t="n">
        <v>6685.81</v>
      </c>
      <c r="X703" s="6" t="n">
        <v>1888.77</v>
      </c>
      <c r="Y703" s="6" t="n">
        <f aca="false">P703*Q703*(1-U703)</f>
        <v>8574.58</v>
      </c>
      <c r="Z703" s="6" t="n">
        <f aca="false">Y703-W703</f>
        <v>1888.77</v>
      </c>
      <c r="AA703" s="8" t="n">
        <f aca="false">IF(Y703=0,0,Z703/Y703)</f>
        <v>0.220275512036741</v>
      </c>
      <c r="AB703" s="3" t="str">
        <f aca="false">IF(ABS(V703-Y703)&gt;1,"Mismatch","OK")</f>
        <v>OK</v>
      </c>
      <c r="AC703" s="3" t="str">
        <f aca="false">IF(ABS(X703-Z703)&gt;1,"Mismatch","OK")</f>
        <v>OK</v>
      </c>
      <c r="AD703" s="5" t="n">
        <f aca="false">IF(OR(B703="",C703=""),"",C703-B703)</f>
        <v>4</v>
      </c>
      <c r="AE703" s="3" t="str">
        <f aca="false">IF(AD703="","Unknown",IF(AD703&lt;0,"Invalid - Ship Before Order","OK"))</f>
        <v>OK</v>
      </c>
      <c r="AF703" s="5" t="n">
        <f aca="false">IF(B703="","",MONTH(B703))</f>
        <v>4</v>
      </c>
      <c r="AG703" s="5" t="n">
        <f aca="false">IF(B703="","",YEAR(B703))</f>
        <v>2024</v>
      </c>
      <c r="AH703" s="3" t="s">
        <v>52</v>
      </c>
      <c r="AI703" s="3" t="s">
        <v>130</v>
      </c>
      <c r="AJ703" s="3" t="str">
        <f aca="false">IF(AND(AI703="Completed",AH703="Failed"),"Inconsistent - Completed Order with Failed Payment","OK")</f>
        <v>OK</v>
      </c>
      <c r="AK703" s="3" t="s">
        <v>54</v>
      </c>
      <c r="AL703" s="3" t="str">
        <f aca="false">IF(OR(T703="Negative - Invalid",T703="Above Allowed Range - Invalid",AE703="Invalid - Ship Before Order",AK703&lt;&gt;"Unique",AB703="Mismatch",AC703="Mismatch",AJ703&lt;&gt;"OK"),"Invalid",IF(OR(H703="Yes",O703="Yes",T703="Missing"),"Warning","Clean"))</f>
        <v>Clean</v>
      </c>
    </row>
    <row r="704" customFormat="false" ht="15" hidden="false" customHeight="true" outlineLevel="0" collapsed="false">
      <c r="A704" s="3" t="s">
        <v>2233</v>
      </c>
      <c r="B704" s="4" t="n">
        <v>45690</v>
      </c>
      <c r="C704" s="4" t="n">
        <v>45694</v>
      </c>
      <c r="D704" s="3" t="s">
        <v>2234</v>
      </c>
      <c r="E704" s="3" t="s">
        <v>40</v>
      </c>
      <c r="F704" s="3" t="s">
        <v>58</v>
      </c>
      <c r="G704" s="3" t="s">
        <v>88</v>
      </c>
      <c r="H704" s="3" t="s">
        <v>43</v>
      </c>
      <c r="I704" s="3" t="s">
        <v>44</v>
      </c>
      <c r="J704" s="3" t="s">
        <v>136</v>
      </c>
      <c r="K704" s="3" t="s">
        <v>62</v>
      </c>
      <c r="L704" s="3" t="s">
        <v>63</v>
      </c>
      <c r="M704" s="3" t="s">
        <v>2235</v>
      </c>
      <c r="N704" s="3" t="s">
        <v>49</v>
      </c>
      <c r="O704" s="3" t="s">
        <v>43</v>
      </c>
      <c r="P704" s="5" t="n">
        <v>3</v>
      </c>
      <c r="Q704" s="6" t="n">
        <v>997.34</v>
      </c>
      <c r="R704" s="3" t="s">
        <v>203</v>
      </c>
      <c r="S704" s="7" t="n">
        <v>0.1</v>
      </c>
      <c r="T704" s="3" t="s">
        <v>51</v>
      </c>
      <c r="U704" s="7" t="n">
        <f aca="false">IF(T704="Valid",S704,0)</f>
        <v>0.1</v>
      </c>
      <c r="V704" s="6" t="n">
        <v>2692.82</v>
      </c>
      <c r="W704" s="6" t="n">
        <v>1820.08</v>
      </c>
      <c r="X704" s="6" t="n">
        <v>872.74</v>
      </c>
      <c r="Y704" s="6" t="n">
        <f aca="false">P704*Q704*(1-U704)</f>
        <v>2692.818</v>
      </c>
      <c r="Z704" s="6" t="n">
        <f aca="false">Y704-W704</f>
        <v>872.738</v>
      </c>
      <c r="AA704" s="8" t="n">
        <f aca="false">IF(Y704=0,0,Z704/Y704)</f>
        <v>0.32409839803507</v>
      </c>
      <c r="AB704" s="3" t="str">
        <f aca="false">IF(ABS(V704-Y704)&gt;1,"Mismatch","OK")</f>
        <v>OK</v>
      </c>
      <c r="AC704" s="3" t="str">
        <f aca="false">IF(ABS(X704-Z704)&gt;1,"Mismatch","OK")</f>
        <v>OK</v>
      </c>
      <c r="AD704" s="5" t="n">
        <f aca="false">IF(OR(B704="",C704=""),"",C704-B704)</f>
        <v>4</v>
      </c>
      <c r="AE704" s="3" t="str">
        <f aca="false">IF(AD704="","Unknown",IF(AD704&lt;0,"Invalid - Ship Before Order","OK"))</f>
        <v>OK</v>
      </c>
      <c r="AF704" s="5" t="n">
        <f aca="false">IF(B704="","",MONTH(B704))</f>
        <v>2</v>
      </c>
      <c r="AG704" s="5" t="n">
        <f aca="false">IF(B704="","",YEAR(B704))</f>
        <v>2025</v>
      </c>
      <c r="AH704" s="3" t="s">
        <v>52</v>
      </c>
      <c r="AI704" s="3" t="s">
        <v>53</v>
      </c>
      <c r="AJ704" s="3" t="str">
        <f aca="false">IF(AND(AI704="Completed",AH704="Failed"),"Inconsistent - Completed Order with Failed Payment","OK")</f>
        <v>OK</v>
      </c>
      <c r="AK704" s="3" t="s">
        <v>54</v>
      </c>
      <c r="AL704" s="3" t="str">
        <f aca="false">IF(OR(T704="Negative - Invalid",T704="Above Allowed Range - Invalid",AE704="Invalid - Ship Before Order",AK704&lt;&gt;"Unique",AB704="Mismatch",AC704="Mismatch",AJ704&lt;&gt;"OK"),"Invalid",IF(OR(H704="Yes",O704="Yes",T704="Missing"),"Warning","Clean"))</f>
        <v>Clean</v>
      </c>
    </row>
    <row r="705" customFormat="false" ht="15" hidden="false" customHeight="true" outlineLevel="0" collapsed="false">
      <c r="A705" s="3" t="s">
        <v>2236</v>
      </c>
      <c r="B705" s="4" t="n">
        <v>45584</v>
      </c>
      <c r="C705" s="4" t="n">
        <v>45585</v>
      </c>
      <c r="D705" s="3" t="s">
        <v>2237</v>
      </c>
      <c r="E705" s="3" t="s">
        <v>115</v>
      </c>
      <c r="F705" s="3" t="s">
        <v>116</v>
      </c>
      <c r="G705" s="3" t="s">
        <v>42</v>
      </c>
      <c r="H705" s="3" t="s">
        <v>43</v>
      </c>
      <c r="I705" s="3" t="s">
        <v>44</v>
      </c>
      <c r="J705" s="3" t="s">
        <v>45</v>
      </c>
      <c r="K705" s="3" t="s">
        <v>62</v>
      </c>
      <c r="L705" s="3" t="s">
        <v>63</v>
      </c>
      <c r="M705" s="3" t="s">
        <v>2238</v>
      </c>
      <c r="N705" s="3" t="s">
        <v>72</v>
      </c>
      <c r="O705" s="3" t="s">
        <v>43</v>
      </c>
      <c r="P705" s="5" t="n">
        <v>1</v>
      </c>
      <c r="Q705" s="6" t="n">
        <v>1150.03</v>
      </c>
      <c r="R705" s="3" t="s">
        <v>203</v>
      </c>
      <c r="S705" s="7" t="n">
        <v>0.1</v>
      </c>
      <c r="T705" s="3" t="s">
        <v>51</v>
      </c>
      <c r="U705" s="7" t="n">
        <f aca="false">IF(T705="Valid",S705,0)</f>
        <v>0.1</v>
      </c>
      <c r="V705" s="6" t="n">
        <v>1035.03</v>
      </c>
      <c r="W705" s="6" t="n">
        <v>854.35</v>
      </c>
      <c r="X705" s="6" t="n">
        <v>180.68</v>
      </c>
      <c r="Y705" s="6" t="n">
        <f aca="false">P705*Q705*(1-U705)</f>
        <v>1035.027</v>
      </c>
      <c r="Z705" s="6" t="n">
        <f aca="false">Y705-W705</f>
        <v>180.677</v>
      </c>
      <c r="AA705" s="8" t="n">
        <f aca="false">IF(Y705=0,0,Z705/Y705)</f>
        <v>0.174562595951603</v>
      </c>
      <c r="AB705" s="3" t="str">
        <f aca="false">IF(ABS(V705-Y705)&gt;1,"Mismatch","OK")</f>
        <v>OK</v>
      </c>
      <c r="AC705" s="3" t="str">
        <f aca="false">IF(ABS(X705-Z705)&gt;1,"Mismatch","OK")</f>
        <v>OK</v>
      </c>
      <c r="AD705" s="5" t="n">
        <f aca="false">IF(OR(B705="",C705=""),"",C705-B705)</f>
        <v>1</v>
      </c>
      <c r="AE705" s="3" t="str">
        <f aca="false">IF(AD705="","Unknown",IF(AD705&lt;0,"Invalid - Ship Before Order","OK"))</f>
        <v>OK</v>
      </c>
      <c r="AF705" s="5" t="n">
        <f aca="false">IF(B705="","",MONTH(B705))</f>
        <v>10</v>
      </c>
      <c r="AG705" s="5" t="n">
        <f aca="false">IF(B705="","",YEAR(B705))</f>
        <v>2024</v>
      </c>
      <c r="AH705" s="3" t="s">
        <v>52</v>
      </c>
      <c r="AI705" s="3" t="s">
        <v>53</v>
      </c>
      <c r="AJ705" s="3" t="str">
        <f aca="false">IF(AND(AI705="Completed",AH705="Failed"),"Inconsistent - Completed Order with Failed Payment","OK")</f>
        <v>OK</v>
      </c>
      <c r="AK705" s="3" t="s">
        <v>54</v>
      </c>
      <c r="AL705" s="3" t="str">
        <f aca="false">IF(OR(T705="Negative - Invalid",T705="Above Allowed Range - Invalid",AE705="Invalid - Ship Before Order",AK705&lt;&gt;"Unique",AB705="Mismatch",AC705="Mismatch",AJ705&lt;&gt;"OK"),"Invalid",IF(OR(H705="Yes",O705="Yes",T705="Missing"),"Warning","Clean"))</f>
        <v>Clean</v>
      </c>
    </row>
    <row r="706" customFormat="false" ht="15" hidden="false" customHeight="true" outlineLevel="0" collapsed="false">
      <c r="A706" s="3" t="s">
        <v>2239</v>
      </c>
      <c r="B706" s="4" t="n">
        <v>45364</v>
      </c>
      <c r="C706" s="4" t="n">
        <v>45371</v>
      </c>
      <c r="D706" s="3" t="s">
        <v>2240</v>
      </c>
      <c r="E706" s="3" t="s">
        <v>141</v>
      </c>
      <c r="F706" s="3" t="s">
        <v>121</v>
      </c>
      <c r="G706" s="3" t="s">
        <v>78</v>
      </c>
      <c r="H706" s="3" t="s">
        <v>43</v>
      </c>
      <c r="I706" s="3" t="s">
        <v>281</v>
      </c>
      <c r="J706" s="3" t="s">
        <v>282</v>
      </c>
      <c r="K706" s="3" t="s">
        <v>62</v>
      </c>
      <c r="L706" s="3" t="s">
        <v>188</v>
      </c>
      <c r="M706" s="3" t="s">
        <v>2241</v>
      </c>
      <c r="N706" s="3" t="s">
        <v>237</v>
      </c>
      <c r="O706" s="3" t="s">
        <v>238</v>
      </c>
      <c r="P706" s="5" t="n">
        <v>1</v>
      </c>
      <c r="Q706" s="6" t="n">
        <v>2825.63</v>
      </c>
      <c r="R706" s="3" t="s">
        <v>107</v>
      </c>
      <c r="S706" s="7" t="n">
        <v>0.15</v>
      </c>
      <c r="T706" s="3" t="s">
        <v>51</v>
      </c>
      <c r="U706" s="7" t="n">
        <f aca="false">IF(T706="Valid",S706,0)</f>
        <v>0.15</v>
      </c>
      <c r="V706" s="6" t="n">
        <v>2401.79</v>
      </c>
      <c r="W706" s="6" t="n">
        <v>1820.34</v>
      </c>
      <c r="X706" s="6" t="n">
        <v>581.45</v>
      </c>
      <c r="Y706" s="6" t="n">
        <f aca="false">P706*Q706*(1-U706)</f>
        <v>2401.7855</v>
      </c>
      <c r="Z706" s="6" t="n">
        <f aca="false">Y706-W706</f>
        <v>581.4455</v>
      </c>
      <c r="AA706" s="8" t="n">
        <f aca="false">IF(Y706=0,0,Z706/Y706)</f>
        <v>0.24208885431276</v>
      </c>
      <c r="AB706" s="3" t="str">
        <f aca="false">IF(ABS(V706-Y706)&gt;1,"Mismatch","OK")</f>
        <v>OK</v>
      </c>
      <c r="AC706" s="3" t="str">
        <f aca="false">IF(ABS(X706-Z706)&gt;1,"Mismatch","OK")</f>
        <v>OK</v>
      </c>
      <c r="AD706" s="5" t="n">
        <f aca="false">IF(OR(B706="",C706=""),"",C706-B706)</f>
        <v>7</v>
      </c>
      <c r="AE706" s="3" t="str">
        <f aca="false">IF(AD706="","Unknown",IF(AD706&lt;0,"Invalid - Ship Before Order","OK"))</f>
        <v>OK</v>
      </c>
      <c r="AF706" s="5" t="n">
        <f aca="false">IF(B706="","",MONTH(B706))</f>
        <v>3</v>
      </c>
      <c r="AG706" s="5" t="n">
        <f aca="false">IF(B706="","",YEAR(B706))</f>
        <v>2024</v>
      </c>
      <c r="AH706" s="3" t="s">
        <v>52</v>
      </c>
      <c r="AI706" s="3" t="s">
        <v>53</v>
      </c>
      <c r="AJ706" s="3" t="str">
        <f aca="false">IF(AND(AI706="Completed",AH706="Failed"),"Inconsistent - Completed Order with Failed Payment","OK")</f>
        <v>OK</v>
      </c>
      <c r="AK706" s="3" t="s">
        <v>54</v>
      </c>
      <c r="AL706" s="3" t="str">
        <f aca="false">IF(OR(T706="Negative - Invalid",T706="Above Allowed Range - Invalid",AE706="Invalid - Ship Before Order",AK706&lt;&gt;"Unique",AB706="Mismatch",AC706="Mismatch",AJ706&lt;&gt;"OK"),"Invalid",IF(OR(H706="Yes",O706="Yes",T706="Missing"),"Warning","Clean"))</f>
        <v>Warning</v>
      </c>
    </row>
    <row r="707" customFormat="false" ht="15" hidden="false" customHeight="true" outlineLevel="0" collapsed="false">
      <c r="A707" s="3" t="s">
        <v>2242</v>
      </c>
      <c r="B707" s="4" t="n">
        <v>45543</v>
      </c>
      <c r="C707" s="4" t="n">
        <v>45549</v>
      </c>
      <c r="D707" s="3" t="s">
        <v>2243</v>
      </c>
      <c r="E707" s="3" t="s">
        <v>168</v>
      </c>
      <c r="F707" s="3" t="s">
        <v>41</v>
      </c>
      <c r="G707" s="3" t="s">
        <v>42</v>
      </c>
      <c r="H707" s="3" t="s">
        <v>43</v>
      </c>
      <c r="I707" s="3" t="s">
        <v>44</v>
      </c>
      <c r="J707" s="3" t="s">
        <v>45</v>
      </c>
      <c r="K707" s="3" t="s">
        <v>46</v>
      </c>
      <c r="L707" s="3" t="s">
        <v>183</v>
      </c>
      <c r="M707" s="3" t="s">
        <v>2244</v>
      </c>
      <c r="N707" s="3" t="s">
        <v>83</v>
      </c>
      <c r="O707" s="3" t="s">
        <v>43</v>
      </c>
      <c r="P707" s="5" t="n">
        <v>5</v>
      </c>
      <c r="Q707" s="6" t="n">
        <v>3371.75</v>
      </c>
      <c r="R707" s="3" t="s">
        <v>128</v>
      </c>
      <c r="S707" s="7" t="n">
        <v>0.05</v>
      </c>
      <c r="T707" s="3" t="s">
        <v>51</v>
      </c>
      <c r="U707" s="7" t="n">
        <f aca="false">IF(T707="Valid",S707,0)</f>
        <v>0.05</v>
      </c>
      <c r="V707" s="6" t="n">
        <v>16015.81</v>
      </c>
      <c r="W707" s="6" t="n">
        <v>11352.38</v>
      </c>
      <c r="X707" s="6" t="n">
        <v>4663.43</v>
      </c>
      <c r="Y707" s="6" t="n">
        <f aca="false">P707*Q707*(1-U707)</f>
        <v>16015.8125</v>
      </c>
      <c r="Z707" s="6" t="n">
        <f aca="false">Y707-W707</f>
        <v>4663.4325</v>
      </c>
      <c r="AA707" s="8" t="n">
        <f aca="false">IF(Y707=0,0,Z707/Y707)</f>
        <v>0.291176766711024</v>
      </c>
      <c r="AB707" s="3" t="str">
        <f aca="false">IF(ABS(V707-Y707)&gt;1,"Mismatch","OK")</f>
        <v>OK</v>
      </c>
      <c r="AC707" s="3" t="str">
        <f aca="false">IF(ABS(X707-Z707)&gt;1,"Mismatch","OK")</f>
        <v>OK</v>
      </c>
      <c r="AD707" s="5" t="n">
        <f aca="false">IF(OR(B707="",C707=""),"",C707-B707)</f>
        <v>6</v>
      </c>
      <c r="AE707" s="3" t="str">
        <f aca="false">IF(AD707="","Unknown",IF(AD707&lt;0,"Invalid - Ship Before Order","OK"))</f>
        <v>OK</v>
      </c>
      <c r="AF707" s="5" t="n">
        <f aca="false">IF(B707="","",MONTH(B707))</f>
        <v>9</v>
      </c>
      <c r="AG707" s="5" t="n">
        <f aca="false">IF(B707="","",YEAR(B707))</f>
        <v>2024</v>
      </c>
      <c r="AH707" s="3" t="s">
        <v>52</v>
      </c>
      <c r="AI707" s="3" t="s">
        <v>53</v>
      </c>
      <c r="AJ707" s="3" t="str">
        <f aca="false">IF(AND(AI707="Completed",AH707="Failed"),"Inconsistent - Completed Order with Failed Payment","OK")</f>
        <v>OK</v>
      </c>
      <c r="AK707" s="3" t="s">
        <v>54</v>
      </c>
      <c r="AL707" s="3" t="str">
        <f aca="false">IF(OR(T707="Negative - Invalid",T707="Above Allowed Range - Invalid",AE707="Invalid - Ship Before Order",AK707&lt;&gt;"Unique",AB707="Mismatch",AC707="Mismatch",AJ707&lt;&gt;"OK"),"Invalid",IF(OR(H707="Yes",O707="Yes",T707="Missing"),"Warning","Clean"))</f>
        <v>Clean</v>
      </c>
    </row>
    <row r="708" customFormat="false" ht="15" hidden="false" customHeight="true" outlineLevel="0" collapsed="false">
      <c r="A708" s="3" t="s">
        <v>2245</v>
      </c>
      <c r="B708" s="4" t="n">
        <v>45467</v>
      </c>
      <c r="C708" s="4" t="n">
        <v>45471</v>
      </c>
      <c r="D708" s="3" t="s">
        <v>2246</v>
      </c>
      <c r="E708" s="3" t="s">
        <v>69</v>
      </c>
      <c r="F708" s="3" t="s">
        <v>58</v>
      </c>
      <c r="G708" s="3" t="s">
        <v>59</v>
      </c>
      <c r="H708" s="3" t="s">
        <v>43</v>
      </c>
      <c r="I708" s="3" t="s">
        <v>60</v>
      </c>
      <c r="J708" s="3" t="s">
        <v>61</v>
      </c>
      <c r="K708" s="3" t="s">
        <v>46</v>
      </c>
      <c r="L708" s="3" t="s">
        <v>47</v>
      </c>
      <c r="M708" s="3" t="s">
        <v>2247</v>
      </c>
      <c r="N708" s="3" t="s">
        <v>65</v>
      </c>
      <c r="O708" s="3" t="s">
        <v>43</v>
      </c>
      <c r="P708" s="5" t="n">
        <v>1</v>
      </c>
      <c r="Q708" s="6" t="n">
        <v>2112.75</v>
      </c>
      <c r="R708" s="3" t="s">
        <v>203</v>
      </c>
      <c r="S708" s="7" t="n">
        <v>0.1</v>
      </c>
      <c r="T708" s="3" t="s">
        <v>51</v>
      </c>
      <c r="U708" s="7" t="n">
        <f aca="false">IF(T708="Valid",S708,0)</f>
        <v>0.1</v>
      </c>
      <c r="V708" s="6" t="n">
        <v>1901.48</v>
      </c>
      <c r="W708" s="6" t="n">
        <v>1354.28</v>
      </c>
      <c r="X708" s="6" t="n">
        <v>547.2</v>
      </c>
      <c r="Y708" s="6" t="n">
        <f aca="false">P708*Q708*(1-U708)</f>
        <v>1901.475</v>
      </c>
      <c r="Z708" s="6" t="n">
        <f aca="false">Y708-W708</f>
        <v>547.195</v>
      </c>
      <c r="AA708" s="8" t="n">
        <f aca="false">IF(Y708=0,0,Z708/Y708)</f>
        <v>0.287773964948264</v>
      </c>
      <c r="AB708" s="3" t="str">
        <f aca="false">IF(ABS(V708-Y708)&gt;1,"Mismatch","OK")</f>
        <v>OK</v>
      </c>
      <c r="AC708" s="3" t="str">
        <f aca="false">IF(ABS(X708-Z708)&gt;1,"Mismatch","OK")</f>
        <v>OK</v>
      </c>
      <c r="AD708" s="5" t="n">
        <f aca="false">IF(OR(B708="",C708=""),"",C708-B708)</f>
        <v>4</v>
      </c>
      <c r="AE708" s="3" t="str">
        <f aca="false">IF(AD708="","Unknown",IF(AD708&lt;0,"Invalid - Ship Before Order","OK"))</f>
        <v>OK</v>
      </c>
      <c r="AF708" s="5" t="n">
        <f aca="false">IF(B708="","",MONTH(B708))</f>
        <v>6</v>
      </c>
      <c r="AG708" s="5" t="n">
        <f aca="false">IF(B708="","",YEAR(B708))</f>
        <v>2024</v>
      </c>
      <c r="AH708" s="3" t="s">
        <v>52</v>
      </c>
      <c r="AI708" s="3" t="s">
        <v>53</v>
      </c>
      <c r="AJ708" s="3" t="str">
        <f aca="false">IF(AND(AI708="Completed",AH708="Failed"),"Inconsistent - Completed Order with Failed Payment","OK")</f>
        <v>OK</v>
      </c>
      <c r="AK708" s="3" t="s">
        <v>54</v>
      </c>
      <c r="AL708" s="3" t="str">
        <f aca="false">IF(OR(T708="Negative - Invalid",T708="Above Allowed Range - Invalid",AE708="Invalid - Ship Before Order",AK708&lt;&gt;"Unique",AB708="Mismatch",AC708="Mismatch",AJ708&lt;&gt;"OK"),"Invalid",IF(OR(H708="Yes",O708="Yes",T708="Missing"),"Warning","Clean"))</f>
        <v>Clean</v>
      </c>
    </row>
    <row r="709" customFormat="false" ht="15" hidden="false" customHeight="true" outlineLevel="0" collapsed="false">
      <c r="A709" s="3" t="s">
        <v>2248</v>
      </c>
      <c r="B709" s="4" t="n">
        <v>45832</v>
      </c>
      <c r="C709" s="4" t="n">
        <v>45834</v>
      </c>
      <c r="D709" s="3" t="s">
        <v>2249</v>
      </c>
      <c r="E709" s="3" t="s">
        <v>96</v>
      </c>
      <c r="F709" s="3" t="s">
        <v>41</v>
      </c>
      <c r="G709" s="3" t="s">
        <v>42</v>
      </c>
      <c r="H709" s="3" t="s">
        <v>43</v>
      </c>
      <c r="I709" s="3" t="s">
        <v>44</v>
      </c>
      <c r="J709" s="3" t="s">
        <v>45</v>
      </c>
      <c r="K709" s="3" t="s">
        <v>99</v>
      </c>
      <c r="L709" s="3" t="s">
        <v>100</v>
      </c>
      <c r="M709" s="3" t="s">
        <v>2250</v>
      </c>
      <c r="N709" s="3" t="s">
        <v>65</v>
      </c>
      <c r="O709" s="3" t="s">
        <v>43</v>
      </c>
      <c r="P709" s="5" t="n">
        <v>5</v>
      </c>
      <c r="Q709" s="6" t="n">
        <v>3722.66</v>
      </c>
      <c r="R709" s="3" t="s">
        <v>73</v>
      </c>
      <c r="S709" s="7" t="n">
        <v>0.55</v>
      </c>
      <c r="T709" s="3" t="s">
        <v>74</v>
      </c>
      <c r="U709" s="7" t="n">
        <f aca="false">IF(T709="Valid",S709,0)</f>
        <v>0</v>
      </c>
      <c r="V709" s="6" t="n">
        <v>16751.97</v>
      </c>
      <c r="W709" s="6" t="n">
        <v>11678.32</v>
      </c>
      <c r="X709" s="6" t="n">
        <v>5073.65</v>
      </c>
      <c r="Y709" s="6" t="n">
        <f aca="false">P709*Q709*(1-U709)</f>
        <v>18613.3</v>
      </c>
      <c r="Z709" s="6" t="n">
        <f aca="false">Y709-W709</f>
        <v>6934.98</v>
      </c>
      <c r="AA709" s="8" t="n">
        <f aca="false">IF(Y709=0,0,Z709/Y709)</f>
        <v>0.372581970956252</v>
      </c>
      <c r="AB709" s="3" t="str">
        <f aca="false">IF(ABS(V709-Y709)&gt;1,"Mismatch","OK")</f>
        <v>Mismatch</v>
      </c>
      <c r="AC709" s="3" t="str">
        <f aca="false">IF(ABS(X709-Z709)&gt;1,"Mismatch","OK")</f>
        <v>Mismatch</v>
      </c>
      <c r="AD709" s="5" t="n">
        <f aca="false">IF(OR(B709="",C709=""),"",C709-B709)</f>
        <v>2</v>
      </c>
      <c r="AE709" s="3" t="str">
        <f aca="false">IF(AD709="","Unknown",IF(AD709&lt;0,"Invalid - Ship Before Order","OK"))</f>
        <v>OK</v>
      </c>
      <c r="AF709" s="5" t="n">
        <f aca="false">IF(B709="","",MONTH(B709))</f>
        <v>6</v>
      </c>
      <c r="AG709" s="5" t="n">
        <f aca="false">IF(B709="","",YEAR(B709))</f>
        <v>2025</v>
      </c>
      <c r="AH709" s="3" t="s">
        <v>52</v>
      </c>
      <c r="AI709" s="3" t="s">
        <v>53</v>
      </c>
      <c r="AJ709" s="3" t="str">
        <f aca="false">IF(AND(AI709="Completed",AH709="Failed"),"Inconsistent - Completed Order with Failed Payment","OK")</f>
        <v>OK</v>
      </c>
      <c r="AK709" s="3" t="s">
        <v>54</v>
      </c>
      <c r="AL709" s="3" t="str">
        <f aca="false">IF(OR(T709="Negative - Invalid",T709="Above Allowed Range - Invalid",AE709="Invalid - Ship Before Order",AK709&lt;&gt;"Unique",AB709="Mismatch",AC709="Mismatch",AJ709&lt;&gt;"OK"),"Invalid",IF(OR(H709="Yes",O709="Yes",T709="Missing"),"Warning","Clean"))</f>
        <v>Invalid</v>
      </c>
    </row>
    <row r="710" customFormat="false" ht="15" hidden="false" customHeight="true" outlineLevel="0" collapsed="false">
      <c r="A710" s="3" t="s">
        <v>2251</v>
      </c>
      <c r="B710" s="4" t="n">
        <v>45736</v>
      </c>
      <c r="C710" s="4" t="n">
        <v>45742</v>
      </c>
      <c r="D710" s="3" t="s">
        <v>2252</v>
      </c>
      <c r="E710" s="3" t="s">
        <v>159</v>
      </c>
      <c r="F710" s="3" t="s">
        <v>41</v>
      </c>
      <c r="G710" s="3" t="s">
        <v>59</v>
      </c>
      <c r="H710" s="3" t="s">
        <v>43</v>
      </c>
      <c r="I710" s="3" t="s">
        <v>196</v>
      </c>
      <c r="J710" s="3" t="s">
        <v>197</v>
      </c>
      <c r="K710" s="3" t="s">
        <v>62</v>
      </c>
      <c r="L710" s="3" t="s">
        <v>188</v>
      </c>
      <c r="M710" s="3" t="s">
        <v>2253</v>
      </c>
      <c r="N710" s="3" t="s">
        <v>72</v>
      </c>
      <c r="O710" s="3" t="s">
        <v>43</v>
      </c>
      <c r="P710" s="5" t="n">
        <v>4</v>
      </c>
      <c r="Q710" s="6" t="n">
        <v>4357.66</v>
      </c>
      <c r="R710" s="3" t="s">
        <v>128</v>
      </c>
      <c r="S710" s="7" t="n">
        <v>0.05</v>
      </c>
      <c r="T710" s="3" t="s">
        <v>51</v>
      </c>
      <c r="U710" s="7" t="n">
        <f aca="false">IF(T710="Valid",S710,0)</f>
        <v>0.05</v>
      </c>
      <c r="V710" s="6" t="n">
        <v>16559.11</v>
      </c>
      <c r="W710" s="6" t="n">
        <v>13233.79</v>
      </c>
      <c r="X710" s="6" t="n">
        <v>3325.32</v>
      </c>
      <c r="Y710" s="6" t="n">
        <f aca="false">P710*Q710*(1-U710)</f>
        <v>16559.108</v>
      </c>
      <c r="Z710" s="6" t="n">
        <f aca="false">Y710-W710</f>
        <v>3325.318</v>
      </c>
      <c r="AA710" s="8" t="n">
        <f aca="false">IF(Y710=0,0,Z710/Y710)</f>
        <v>0.200815043902123</v>
      </c>
      <c r="AB710" s="3" t="str">
        <f aca="false">IF(ABS(V710-Y710)&gt;1,"Mismatch","OK")</f>
        <v>OK</v>
      </c>
      <c r="AC710" s="3" t="str">
        <f aca="false">IF(ABS(X710-Z710)&gt;1,"Mismatch","OK")</f>
        <v>OK</v>
      </c>
      <c r="AD710" s="5" t="n">
        <f aca="false">IF(OR(B710="",C710=""),"",C710-B710)</f>
        <v>6</v>
      </c>
      <c r="AE710" s="3" t="str">
        <f aca="false">IF(AD710="","Unknown",IF(AD710&lt;0,"Invalid - Ship Before Order","OK"))</f>
        <v>OK</v>
      </c>
      <c r="AF710" s="5" t="n">
        <f aca="false">IF(B710="","",MONTH(B710))</f>
        <v>3</v>
      </c>
      <c r="AG710" s="5" t="n">
        <f aca="false">IF(B710="","",YEAR(B710))</f>
        <v>2025</v>
      </c>
      <c r="AH710" s="3" t="s">
        <v>52</v>
      </c>
      <c r="AI710" s="3" t="s">
        <v>53</v>
      </c>
      <c r="AJ710" s="3" t="str">
        <f aca="false">IF(AND(AI710="Completed",AH710="Failed"),"Inconsistent - Completed Order with Failed Payment","OK")</f>
        <v>OK</v>
      </c>
      <c r="AK710" s="3" t="s">
        <v>54</v>
      </c>
      <c r="AL710" s="3" t="str">
        <f aca="false">IF(OR(T710="Negative - Invalid",T710="Above Allowed Range - Invalid",AE710="Invalid - Ship Before Order",AK710&lt;&gt;"Unique",AB710="Mismatch",AC710="Mismatch",AJ710&lt;&gt;"OK"),"Invalid",IF(OR(H710="Yes",O710="Yes",T710="Missing"),"Warning","Clean"))</f>
        <v>Clean</v>
      </c>
    </row>
    <row r="711" customFormat="false" ht="15" hidden="false" customHeight="true" outlineLevel="0" collapsed="false">
      <c r="A711" s="3" t="s">
        <v>2254</v>
      </c>
      <c r="B711" s="4" t="n">
        <v>45676</v>
      </c>
      <c r="C711" s="4" t="n">
        <v>45680</v>
      </c>
      <c r="D711" s="3" t="s">
        <v>2255</v>
      </c>
      <c r="E711" s="3" t="s">
        <v>298</v>
      </c>
      <c r="F711" s="3" t="s">
        <v>121</v>
      </c>
      <c r="G711" s="3" t="s">
        <v>42</v>
      </c>
      <c r="H711" s="3" t="s">
        <v>43</v>
      </c>
      <c r="I711" s="3" t="s">
        <v>149</v>
      </c>
      <c r="J711" s="3" t="s">
        <v>150</v>
      </c>
      <c r="K711" s="3" t="s">
        <v>99</v>
      </c>
      <c r="L711" s="3" t="s">
        <v>201</v>
      </c>
      <c r="M711" s="3" t="s">
        <v>2256</v>
      </c>
      <c r="N711" s="3" t="s">
        <v>65</v>
      </c>
      <c r="O711" s="3" t="s">
        <v>43</v>
      </c>
      <c r="P711" s="5" t="n">
        <v>7</v>
      </c>
      <c r="Q711" s="6" t="n">
        <v>1363.04</v>
      </c>
      <c r="R711" s="3" t="s">
        <v>107</v>
      </c>
      <c r="S711" s="7" t="n">
        <v>0.15</v>
      </c>
      <c r="T711" s="3" t="s">
        <v>51</v>
      </c>
      <c r="U711" s="7" t="n">
        <f aca="false">IF(T711="Valid",S711,0)</f>
        <v>0.15</v>
      </c>
      <c r="V711" s="6" t="n">
        <v>8110.09</v>
      </c>
      <c r="W711" s="6" t="n">
        <v>6417.32</v>
      </c>
      <c r="X711" s="6" t="n">
        <v>1692.77</v>
      </c>
      <c r="Y711" s="6" t="n">
        <f aca="false">P711*Q711*(1-U711)</f>
        <v>8110.088</v>
      </c>
      <c r="Z711" s="6" t="n">
        <f aca="false">Y711-W711</f>
        <v>1692.768</v>
      </c>
      <c r="AA711" s="8" t="n">
        <f aca="false">IF(Y711=0,0,Z711/Y711)</f>
        <v>0.208723752442637</v>
      </c>
      <c r="AB711" s="3" t="str">
        <f aca="false">IF(ABS(V711-Y711)&gt;1,"Mismatch","OK")</f>
        <v>OK</v>
      </c>
      <c r="AC711" s="3" t="str">
        <f aca="false">IF(ABS(X711-Z711)&gt;1,"Mismatch","OK")</f>
        <v>OK</v>
      </c>
      <c r="AD711" s="5" t="n">
        <f aca="false">IF(OR(B711="",C711=""),"",C711-B711)</f>
        <v>4</v>
      </c>
      <c r="AE711" s="3" t="str">
        <f aca="false">IF(AD711="","Unknown",IF(AD711&lt;0,"Invalid - Ship Before Order","OK"))</f>
        <v>OK</v>
      </c>
      <c r="AF711" s="5" t="n">
        <f aca="false">IF(B711="","",MONTH(B711))</f>
        <v>1</v>
      </c>
      <c r="AG711" s="5" t="n">
        <f aca="false">IF(B711="","",YEAR(B711))</f>
        <v>2025</v>
      </c>
      <c r="AH711" s="3" t="s">
        <v>52</v>
      </c>
      <c r="AI711" s="3" t="s">
        <v>93</v>
      </c>
      <c r="AJ711" s="3" t="str">
        <f aca="false">IF(AND(AI711="Completed",AH711="Failed"),"Inconsistent - Completed Order with Failed Payment","OK")</f>
        <v>OK</v>
      </c>
      <c r="AK711" s="3" t="s">
        <v>54</v>
      </c>
      <c r="AL711" s="3" t="str">
        <f aca="false">IF(OR(T711="Negative - Invalid",T711="Above Allowed Range - Invalid",AE711="Invalid - Ship Before Order",AK711&lt;&gt;"Unique",AB711="Mismatch",AC711="Mismatch",AJ711&lt;&gt;"OK"),"Invalid",IF(OR(H711="Yes",O711="Yes",T711="Missing"),"Warning","Clean"))</f>
        <v>Clean</v>
      </c>
    </row>
    <row r="712" customFormat="false" ht="15" hidden="false" customHeight="true" outlineLevel="0" collapsed="false">
      <c r="A712" s="3" t="s">
        <v>2257</v>
      </c>
      <c r="B712" s="4" t="n">
        <v>45485</v>
      </c>
      <c r="C712" s="4" t="n">
        <v>45492</v>
      </c>
      <c r="D712" s="3" t="s">
        <v>2258</v>
      </c>
      <c r="E712" s="3" t="s">
        <v>96</v>
      </c>
      <c r="F712" s="3" t="s">
        <v>116</v>
      </c>
      <c r="G712" s="3" t="s">
        <v>42</v>
      </c>
      <c r="H712" s="3" t="s">
        <v>43</v>
      </c>
      <c r="I712" s="3" t="s">
        <v>149</v>
      </c>
      <c r="J712" s="3" t="s">
        <v>150</v>
      </c>
      <c r="K712" s="3" t="s">
        <v>46</v>
      </c>
      <c r="L712" s="3" t="s">
        <v>70</v>
      </c>
      <c r="M712" s="3" t="s">
        <v>2259</v>
      </c>
      <c r="N712" s="3" t="s">
        <v>49</v>
      </c>
      <c r="O712" s="3" t="s">
        <v>43</v>
      </c>
      <c r="P712" s="5" t="n">
        <v>5</v>
      </c>
      <c r="Q712" s="6" t="n">
        <v>1559.16</v>
      </c>
      <c r="R712" s="3" t="s">
        <v>128</v>
      </c>
      <c r="S712" s="7" t="n">
        <v>0.05</v>
      </c>
      <c r="T712" s="3" t="s">
        <v>51</v>
      </c>
      <c r="U712" s="7" t="n">
        <f aca="false">IF(T712="Valid",S712,0)</f>
        <v>0.05</v>
      </c>
      <c r="V712" s="6" t="n">
        <v>7406.01</v>
      </c>
      <c r="W712" s="6" t="n">
        <v>5941.74</v>
      </c>
      <c r="X712" s="6" t="n">
        <v>1464.27</v>
      </c>
      <c r="Y712" s="6" t="n">
        <f aca="false">P712*Q712*(1-U712)</f>
        <v>7406.01</v>
      </c>
      <c r="Z712" s="6" t="n">
        <f aca="false">Y712-W712</f>
        <v>1464.27</v>
      </c>
      <c r="AA712" s="8" t="n">
        <f aca="false">IF(Y712=0,0,Z712/Y712)</f>
        <v>0.197713748698692</v>
      </c>
      <c r="AB712" s="3" t="str">
        <f aca="false">IF(ABS(V712-Y712)&gt;1,"Mismatch","OK")</f>
        <v>OK</v>
      </c>
      <c r="AC712" s="3" t="str">
        <f aca="false">IF(ABS(X712-Z712)&gt;1,"Mismatch","OK")</f>
        <v>OK</v>
      </c>
      <c r="AD712" s="5" t="n">
        <f aca="false">IF(OR(B712="",C712=""),"",C712-B712)</f>
        <v>7</v>
      </c>
      <c r="AE712" s="3" t="str">
        <f aca="false">IF(AD712="","Unknown",IF(AD712&lt;0,"Invalid - Ship Before Order","OK"))</f>
        <v>OK</v>
      </c>
      <c r="AF712" s="5" t="n">
        <f aca="false">IF(B712="","",MONTH(B712))</f>
        <v>7</v>
      </c>
      <c r="AG712" s="5" t="n">
        <f aca="false">IF(B712="","",YEAR(B712))</f>
        <v>2024</v>
      </c>
      <c r="AH712" s="3" t="s">
        <v>52</v>
      </c>
      <c r="AI712" s="3" t="s">
        <v>53</v>
      </c>
      <c r="AJ712" s="3" t="str">
        <f aca="false">IF(AND(AI712="Completed",AH712="Failed"),"Inconsistent - Completed Order with Failed Payment","OK")</f>
        <v>OK</v>
      </c>
      <c r="AK712" s="3" t="s">
        <v>54</v>
      </c>
      <c r="AL712" s="3" t="str">
        <f aca="false">IF(OR(T712="Negative - Invalid",T712="Above Allowed Range - Invalid",AE712="Invalid - Ship Before Order",AK712&lt;&gt;"Unique",AB712="Mismatch",AC712="Mismatch",AJ712&lt;&gt;"OK"),"Invalid",IF(OR(H712="Yes",O712="Yes",T712="Missing"),"Warning","Clean"))</f>
        <v>Clean</v>
      </c>
    </row>
    <row r="713" customFormat="false" ht="15" hidden="false" customHeight="true" outlineLevel="0" collapsed="false">
      <c r="A713" s="3" t="s">
        <v>2260</v>
      </c>
      <c r="B713" s="4" t="n">
        <v>45690</v>
      </c>
      <c r="C713" s="4" t="n">
        <v>45690</v>
      </c>
      <c r="D713" s="3" t="s">
        <v>2261</v>
      </c>
      <c r="E713" s="3" t="s">
        <v>298</v>
      </c>
      <c r="F713" s="3" t="s">
        <v>116</v>
      </c>
      <c r="G713" s="3" t="s">
        <v>59</v>
      </c>
      <c r="H713" s="3" t="s">
        <v>43</v>
      </c>
      <c r="I713" s="3" t="s">
        <v>125</v>
      </c>
      <c r="J713" s="3" t="s">
        <v>126</v>
      </c>
      <c r="K713" s="3" t="s">
        <v>99</v>
      </c>
      <c r="L713" s="3" t="s">
        <v>308</v>
      </c>
      <c r="M713" s="3" t="s">
        <v>2262</v>
      </c>
      <c r="N713" s="3" t="s">
        <v>72</v>
      </c>
      <c r="O713" s="3" t="s">
        <v>43</v>
      </c>
      <c r="P713" s="5" t="n">
        <v>1</v>
      </c>
      <c r="Q713" s="6" t="n">
        <v>4326.75</v>
      </c>
      <c r="R713" s="3" t="s">
        <v>128</v>
      </c>
      <c r="S713" s="7" t="n">
        <v>0.05</v>
      </c>
      <c r="T713" s="3" t="s">
        <v>51</v>
      </c>
      <c r="U713" s="7" t="n">
        <f aca="false">IF(T713="Valid",S713,0)</f>
        <v>0.05</v>
      </c>
      <c r="V713" s="6" t="n">
        <v>4110.41</v>
      </c>
      <c r="W713" s="6" t="n">
        <v>2394.14</v>
      </c>
      <c r="X713" s="6" t="n">
        <v>1716.27</v>
      </c>
      <c r="Y713" s="6" t="n">
        <f aca="false">P713*Q713*(1-U713)</f>
        <v>4110.4125</v>
      </c>
      <c r="Z713" s="6" t="n">
        <f aca="false">Y713-W713</f>
        <v>1716.2725</v>
      </c>
      <c r="AA713" s="8" t="n">
        <f aca="false">IF(Y713=0,0,Z713/Y713)</f>
        <v>0.417542643226197</v>
      </c>
      <c r="AB713" s="3" t="str">
        <f aca="false">IF(ABS(V713-Y713)&gt;1,"Mismatch","OK")</f>
        <v>OK</v>
      </c>
      <c r="AC713" s="3" t="str">
        <f aca="false">IF(ABS(X713-Z713)&gt;1,"Mismatch","OK")</f>
        <v>OK</v>
      </c>
      <c r="AD713" s="5" t="n">
        <f aca="false">IF(OR(B713="",C713=""),"",C713-B713)</f>
        <v>0</v>
      </c>
      <c r="AE713" s="3" t="str">
        <f aca="false">IF(AD713="","Unknown",IF(AD713&lt;0,"Invalid - Ship Before Order","OK"))</f>
        <v>OK</v>
      </c>
      <c r="AF713" s="5" t="n">
        <f aca="false">IF(B713="","",MONTH(B713))</f>
        <v>2</v>
      </c>
      <c r="AG713" s="5" t="n">
        <f aca="false">IF(B713="","",YEAR(B713))</f>
        <v>2025</v>
      </c>
      <c r="AH713" s="3" t="s">
        <v>138</v>
      </c>
      <c r="AI713" s="3" t="s">
        <v>130</v>
      </c>
      <c r="AJ713" s="3" t="str">
        <f aca="false">IF(AND(AI713="Completed",AH713="Failed"),"Inconsistent - Completed Order with Failed Payment","OK")</f>
        <v>OK</v>
      </c>
      <c r="AK713" s="3" t="s">
        <v>54</v>
      </c>
      <c r="AL713" s="3" t="str">
        <f aca="false">IF(OR(T713="Negative - Invalid",T713="Above Allowed Range - Invalid",AE713="Invalid - Ship Before Order",AK713&lt;&gt;"Unique",AB713="Mismatch",AC713="Mismatch",AJ713&lt;&gt;"OK"),"Invalid",IF(OR(H713="Yes",O713="Yes",T713="Missing"),"Warning","Clean"))</f>
        <v>Clean</v>
      </c>
    </row>
    <row r="714" customFormat="false" ht="15" hidden="false" customHeight="true" outlineLevel="0" collapsed="false">
      <c r="A714" s="3" t="s">
        <v>2263</v>
      </c>
      <c r="B714" s="4" t="n">
        <v>45332</v>
      </c>
      <c r="C714" s="4" t="n">
        <v>45340</v>
      </c>
      <c r="D714" s="3" t="s">
        <v>2264</v>
      </c>
      <c r="E714" s="3" t="s">
        <v>69</v>
      </c>
      <c r="F714" s="3" t="s">
        <v>121</v>
      </c>
      <c r="G714" s="3" t="s">
        <v>88</v>
      </c>
      <c r="H714" s="3" t="s">
        <v>43</v>
      </c>
      <c r="I714" s="3" t="s">
        <v>97</v>
      </c>
      <c r="J714" s="3" t="s">
        <v>98</v>
      </c>
      <c r="K714" s="3" t="s">
        <v>62</v>
      </c>
      <c r="L714" s="3" t="s">
        <v>91</v>
      </c>
      <c r="M714" s="3" t="s">
        <v>2265</v>
      </c>
      <c r="N714" s="3" t="s">
        <v>72</v>
      </c>
      <c r="O714" s="3" t="s">
        <v>43</v>
      </c>
      <c r="P714" s="5" t="n">
        <v>7</v>
      </c>
      <c r="Q714" s="6" t="n">
        <v>1382.86</v>
      </c>
      <c r="R714" s="3" t="s">
        <v>66</v>
      </c>
      <c r="S714" s="7" t="n">
        <v>0</v>
      </c>
      <c r="T714" s="3" t="s">
        <v>51</v>
      </c>
      <c r="U714" s="7" t="n">
        <f aca="false">IF(T714="Valid",S714,0)</f>
        <v>0</v>
      </c>
      <c r="V714" s="6" t="n">
        <v>9680.02</v>
      </c>
      <c r="W714" s="6" t="n">
        <v>6876.66</v>
      </c>
      <c r="X714" s="6" t="n">
        <v>2803.36</v>
      </c>
      <c r="Y714" s="6" t="n">
        <f aca="false">P714*Q714*(1-U714)</f>
        <v>9680.02</v>
      </c>
      <c r="Z714" s="6" t="n">
        <f aca="false">Y714-W714</f>
        <v>2803.36</v>
      </c>
      <c r="AA714" s="8" t="n">
        <f aca="false">IF(Y714=0,0,Z714/Y714)</f>
        <v>0.289602707432423</v>
      </c>
      <c r="AB714" s="3" t="str">
        <f aca="false">IF(ABS(V714-Y714)&gt;1,"Mismatch","OK")</f>
        <v>OK</v>
      </c>
      <c r="AC714" s="3" t="str">
        <f aca="false">IF(ABS(X714-Z714)&gt;1,"Mismatch","OK")</f>
        <v>OK</v>
      </c>
      <c r="AD714" s="5" t="n">
        <f aca="false">IF(OR(B714="",C714=""),"",C714-B714)</f>
        <v>8</v>
      </c>
      <c r="AE714" s="3" t="str">
        <f aca="false">IF(AD714="","Unknown",IF(AD714&lt;0,"Invalid - Ship Before Order","OK"))</f>
        <v>OK</v>
      </c>
      <c r="AF714" s="5" t="n">
        <f aca="false">IF(B714="","",MONTH(B714))</f>
        <v>2</v>
      </c>
      <c r="AG714" s="5" t="n">
        <f aca="false">IF(B714="","",YEAR(B714))</f>
        <v>2024</v>
      </c>
      <c r="AH714" s="3" t="s">
        <v>52</v>
      </c>
      <c r="AI714" s="3" t="s">
        <v>53</v>
      </c>
      <c r="AJ714" s="3" t="str">
        <f aca="false">IF(AND(AI714="Completed",AH714="Failed"),"Inconsistent - Completed Order with Failed Payment","OK")</f>
        <v>OK</v>
      </c>
      <c r="AK714" s="3" t="s">
        <v>54</v>
      </c>
      <c r="AL714" s="3" t="str">
        <f aca="false">IF(OR(T714="Negative - Invalid",T714="Above Allowed Range - Invalid",AE714="Invalid - Ship Before Order",AK714&lt;&gt;"Unique",AB714="Mismatch",AC714="Mismatch",AJ714&lt;&gt;"OK"),"Invalid",IF(OR(H714="Yes",O714="Yes",T714="Missing"),"Warning","Clean"))</f>
        <v>Clean</v>
      </c>
    </row>
    <row r="715" customFormat="false" ht="15" hidden="false" customHeight="true" outlineLevel="0" collapsed="false">
      <c r="A715" s="3" t="s">
        <v>2266</v>
      </c>
      <c r="B715" s="4" t="n">
        <v>45814</v>
      </c>
      <c r="C715" s="4" t="n">
        <v>45818</v>
      </c>
      <c r="D715" s="3" t="s">
        <v>636</v>
      </c>
      <c r="E715" s="3" t="s">
        <v>57</v>
      </c>
      <c r="F715" s="3" t="s">
        <v>41</v>
      </c>
      <c r="G715" s="3" t="s">
        <v>88</v>
      </c>
      <c r="H715" s="3" t="s">
        <v>43</v>
      </c>
      <c r="I715" s="3" t="s">
        <v>44</v>
      </c>
      <c r="J715" s="3" t="s">
        <v>136</v>
      </c>
      <c r="K715" s="3" t="s">
        <v>99</v>
      </c>
      <c r="L715" s="3" t="s">
        <v>308</v>
      </c>
      <c r="M715" s="3" t="s">
        <v>2267</v>
      </c>
      <c r="N715" s="3" t="s">
        <v>49</v>
      </c>
      <c r="O715" s="3" t="s">
        <v>43</v>
      </c>
      <c r="P715" s="5" t="n">
        <v>1</v>
      </c>
      <c r="Q715" s="6" t="n">
        <v>289.97</v>
      </c>
      <c r="R715" s="3" t="s">
        <v>84</v>
      </c>
      <c r="S715" s="7" t="n">
        <v>0.25</v>
      </c>
      <c r="T715" s="3" t="s">
        <v>51</v>
      </c>
      <c r="U715" s="7" t="n">
        <f aca="false">IF(T715="Valid",S715,0)</f>
        <v>0.25</v>
      </c>
      <c r="V715" s="6" t="n">
        <v>217.48</v>
      </c>
      <c r="W715" s="6" t="n">
        <v>132.13</v>
      </c>
      <c r="X715" s="6" t="n">
        <v>85.35</v>
      </c>
      <c r="Y715" s="6" t="n">
        <f aca="false">P715*Q715*(1-U715)</f>
        <v>217.4775</v>
      </c>
      <c r="Z715" s="6" t="n">
        <f aca="false">Y715-W715</f>
        <v>85.3475</v>
      </c>
      <c r="AA715" s="8" t="n">
        <f aca="false">IF(Y715=0,0,Z715/Y715)</f>
        <v>0.392442896391581</v>
      </c>
      <c r="AB715" s="3" t="str">
        <f aca="false">IF(ABS(V715-Y715)&gt;1,"Mismatch","OK")</f>
        <v>OK</v>
      </c>
      <c r="AC715" s="3" t="str">
        <f aca="false">IF(ABS(X715-Z715)&gt;1,"Mismatch","OK")</f>
        <v>OK</v>
      </c>
      <c r="AD715" s="5" t="n">
        <f aca="false">IF(OR(B715="",C715=""),"",C715-B715)</f>
        <v>4</v>
      </c>
      <c r="AE715" s="3" t="str">
        <f aca="false">IF(AD715="","Unknown",IF(AD715&lt;0,"Invalid - Ship Before Order","OK"))</f>
        <v>OK</v>
      </c>
      <c r="AF715" s="5" t="n">
        <f aca="false">IF(B715="","",MONTH(B715))</f>
        <v>6</v>
      </c>
      <c r="AG715" s="5" t="n">
        <f aca="false">IF(B715="","",YEAR(B715))</f>
        <v>2025</v>
      </c>
      <c r="AH715" s="3" t="s">
        <v>52</v>
      </c>
      <c r="AI715" s="3" t="s">
        <v>53</v>
      </c>
      <c r="AJ715" s="3" t="str">
        <f aca="false">IF(AND(AI715="Completed",AH715="Failed"),"Inconsistent - Completed Order with Failed Payment","OK")</f>
        <v>OK</v>
      </c>
      <c r="AK715" s="3" t="s">
        <v>54</v>
      </c>
      <c r="AL715" s="3" t="str">
        <f aca="false">IF(OR(T715="Negative - Invalid",T715="Above Allowed Range - Invalid",AE715="Invalid - Ship Before Order",AK715&lt;&gt;"Unique",AB715="Mismatch",AC715="Mismatch",AJ715&lt;&gt;"OK"),"Invalid",IF(OR(H715="Yes",O715="Yes",T715="Missing"),"Warning","Clean"))</f>
        <v>Clean</v>
      </c>
    </row>
    <row r="716" customFormat="false" ht="15" hidden="false" customHeight="true" outlineLevel="0" collapsed="false">
      <c r="A716" s="3" t="s">
        <v>2268</v>
      </c>
      <c r="B716" s="4" t="n">
        <v>45738</v>
      </c>
      <c r="C716" s="4" t="n">
        <v>45739</v>
      </c>
      <c r="D716" s="3" t="s">
        <v>2269</v>
      </c>
      <c r="E716" s="3" t="s">
        <v>40</v>
      </c>
      <c r="F716" s="3" t="s">
        <v>121</v>
      </c>
      <c r="G716" s="3" t="s">
        <v>42</v>
      </c>
      <c r="H716" s="3" t="s">
        <v>43</v>
      </c>
      <c r="I716" s="3" t="s">
        <v>384</v>
      </c>
      <c r="J716" s="3" t="s">
        <v>385</v>
      </c>
      <c r="K716" s="3" t="s">
        <v>99</v>
      </c>
      <c r="L716" s="3" t="s">
        <v>105</v>
      </c>
      <c r="M716" s="3" t="s">
        <v>2270</v>
      </c>
      <c r="N716" s="3" t="s">
        <v>83</v>
      </c>
      <c r="O716" s="3" t="s">
        <v>43</v>
      </c>
      <c r="P716" s="5" t="n">
        <v>9</v>
      </c>
      <c r="Q716" s="6" t="n">
        <v>2075.02</v>
      </c>
      <c r="R716" s="3" t="s">
        <v>66</v>
      </c>
      <c r="S716" s="7" t="n">
        <v>0</v>
      </c>
      <c r="T716" s="3" t="s">
        <v>51</v>
      </c>
      <c r="U716" s="7" t="n">
        <f aca="false">IF(T716="Valid",S716,0)</f>
        <v>0</v>
      </c>
      <c r="V716" s="6" t="n">
        <v>18675.18</v>
      </c>
      <c r="W716" s="6" t="n">
        <v>13974.7</v>
      </c>
      <c r="X716" s="6" t="n">
        <v>4700.48</v>
      </c>
      <c r="Y716" s="6" t="n">
        <f aca="false">P716*Q716*(1-U716)</f>
        <v>18675.18</v>
      </c>
      <c r="Z716" s="6" t="n">
        <f aca="false">Y716-W716</f>
        <v>4700.48</v>
      </c>
      <c r="AA716" s="8" t="n">
        <f aca="false">IF(Y716=0,0,Z716/Y716)</f>
        <v>0.251696636926659</v>
      </c>
      <c r="AB716" s="3" t="str">
        <f aca="false">IF(ABS(V716-Y716)&gt;1,"Mismatch","OK")</f>
        <v>OK</v>
      </c>
      <c r="AC716" s="3" t="str">
        <f aca="false">IF(ABS(X716-Z716)&gt;1,"Mismatch","OK")</f>
        <v>OK</v>
      </c>
      <c r="AD716" s="5" t="n">
        <f aca="false">IF(OR(B716="",C716=""),"",C716-B716)</f>
        <v>1</v>
      </c>
      <c r="AE716" s="3" t="str">
        <f aca="false">IF(AD716="","Unknown",IF(AD716&lt;0,"Invalid - Ship Before Order","OK"))</f>
        <v>OK</v>
      </c>
      <c r="AF716" s="5" t="n">
        <f aca="false">IF(B716="","",MONTH(B716))</f>
        <v>3</v>
      </c>
      <c r="AG716" s="5" t="n">
        <f aca="false">IF(B716="","",YEAR(B716))</f>
        <v>2025</v>
      </c>
      <c r="AH716" s="3" t="s">
        <v>52</v>
      </c>
      <c r="AI716" s="3" t="s">
        <v>53</v>
      </c>
      <c r="AJ716" s="3" t="str">
        <f aca="false">IF(AND(AI716="Completed",AH716="Failed"),"Inconsistent - Completed Order with Failed Payment","OK")</f>
        <v>OK</v>
      </c>
      <c r="AK716" s="3" t="s">
        <v>54</v>
      </c>
      <c r="AL716" s="3" t="str">
        <f aca="false">IF(OR(T716="Negative - Invalid",T716="Above Allowed Range - Invalid",AE716="Invalid - Ship Before Order",AK716&lt;&gt;"Unique",AB716="Mismatch",AC716="Mismatch",AJ716&lt;&gt;"OK"),"Invalid",IF(OR(H716="Yes",O716="Yes",T716="Missing"),"Warning","Clean"))</f>
        <v>Clean</v>
      </c>
    </row>
    <row r="717" customFormat="false" ht="15" hidden="false" customHeight="true" outlineLevel="0" collapsed="false">
      <c r="A717" s="3" t="s">
        <v>2271</v>
      </c>
      <c r="B717" s="4" t="n">
        <v>45891</v>
      </c>
      <c r="C717" s="4" t="n">
        <v>45896</v>
      </c>
      <c r="D717" s="3" t="s">
        <v>2272</v>
      </c>
      <c r="E717" s="3" t="s">
        <v>141</v>
      </c>
      <c r="F717" s="3" t="s">
        <v>41</v>
      </c>
      <c r="G717" s="3" t="s">
        <v>42</v>
      </c>
      <c r="H717" s="3" t="s">
        <v>43</v>
      </c>
      <c r="I717" s="3" t="s">
        <v>270</v>
      </c>
      <c r="J717" s="3" t="s">
        <v>271</v>
      </c>
      <c r="K717" s="3" t="s">
        <v>62</v>
      </c>
      <c r="L717" s="3" t="s">
        <v>91</v>
      </c>
      <c r="M717" s="3" t="s">
        <v>2273</v>
      </c>
      <c r="N717" s="3" t="s">
        <v>49</v>
      </c>
      <c r="O717" s="3" t="s">
        <v>43</v>
      </c>
      <c r="P717" s="5" t="n">
        <v>7</v>
      </c>
      <c r="Q717" s="6" t="n">
        <v>2843.09</v>
      </c>
      <c r="R717" s="3" t="s">
        <v>66</v>
      </c>
      <c r="S717" s="7" t="n">
        <v>0</v>
      </c>
      <c r="T717" s="3" t="s">
        <v>51</v>
      </c>
      <c r="U717" s="7" t="n">
        <f aca="false">IF(T717="Valid",S717,0)</f>
        <v>0</v>
      </c>
      <c r="V717" s="6" t="n">
        <v>19901.63</v>
      </c>
      <c r="W717" s="6" t="n">
        <v>15492.03</v>
      </c>
      <c r="X717" s="6" t="n">
        <v>4409.6</v>
      </c>
      <c r="Y717" s="6" t="n">
        <f aca="false">P717*Q717*(1-U717)</f>
        <v>19901.63</v>
      </c>
      <c r="Z717" s="6" t="n">
        <f aca="false">Y717-W717</f>
        <v>4409.6</v>
      </c>
      <c r="AA717" s="8" t="n">
        <f aca="false">IF(Y717=0,0,Z717/Y717)</f>
        <v>0.221569791017118</v>
      </c>
      <c r="AB717" s="3" t="str">
        <f aca="false">IF(ABS(V717-Y717)&gt;1,"Mismatch","OK")</f>
        <v>OK</v>
      </c>
      <c r="AC717" s="3" t="str">
        <f aca="false">IF(ABS(X717-Z717)&gt;1,"Mismatch","OK")</f>
        <v>OK</v>
      </c>
      <c r="AD717" s="5" t="n">
        <f aca="false">IF(OR(B717="",C717=""),"",C717-B717)</f>
        <v>5</v>
      </c>
      <c r="AE717" s="3" t="str">
        <f aca="false">IF(AD717="","Unknown",IF(AD717&lt;0,"Invalid - Ship Before Order","OK"))</f>
        <v>OK</v>
      </c>
      <c r="AF717" s="5" t="n">
        <f aca="false">IF(B717="","",MONTH(B717))</f>
        <v>8</v>
      </c>
      <c r="AG717" s="5" t="n">
        <f aca="false">IF(B717="","",YEAR(B717))</f>
        <v>2025</v>
      </c>
      <c r="AH717" s="3" t="s">
        <v>129</v>
      </c>
      <c r="AI717" s="3" t="s">
        <v>93</v>
      </c>
      <c r="AJ717" s="3" t="str">
        <f aca="false">IF(AND(AI717="Completed",AH717="Failed"),"Inconsistent - Completed Order with Failed Payment","OK")</f>
        <v>OK</v>
      </c>
      <c r="AK717" s="3" t="s">
        <v>54</v>
      </c>
      <c r="AL717" s="3" t="str">
        <f aca="false">IF(OR(T717="Negative - Invalid",T717="Above Allowed Range - Invalid",AE717="Invalid - Ship Before Order",AK717&lt;&gt;"Unique",AB717="Mismatch",AC717="Mismatch",AJ717&lt;&gt;"OK"),"Invalid",IF(OR(H717="Yes",O717="Yes",T717="Missing"),"Warning","Clean"))</f>
        <v>Clean</v>
      </c>
    </row>
    <row r="718" customFormat="false" ht="15" hidden="false" customHeight="true" outlineLevel="0" collapsed="false">
      <c r="A718" s="3" t="s">
        <v>2274</v>
      </c>
      <c r="B718" s="4" t="n">
        <v>45895</v>
      </c>
      <c r="C718" s="4" t="n">
        <v>45900</v>
      </c>
      <c r="D718" s="3" t="s">
        <v>2275</v>
      </c>
      <c r="E718" s="3" t="s">
        <v>192</v>
      </c>
      <c r="F718" s="3" t="s">
        <v>58</v>
      </c>
      <c r="G718" s="3" t="s">
        <v>42</v>
      </c>
      <c r="H718" s="3" t="s">
        <v>43</v>
      </c>
      <c r="I718" s="3" t="s">
        <v>270</v>
      </c>
      <c r="J718" s="3" t="s">
        <v>271</v>
      </c>
      <c r="K718" s="3" t="s">
        <v>99</v>
      </c>
      <c r="L718" s="3" t="s">
        <v>201</v>
      </c>
      <c r="M718" s="3" t="s">
        <v>2276</v>
      </c>
      <c r="N718" s="3" t="s">
        <v>72</v>
      </c>
      <c r="O718" s="3" t="s">
        <v>43</v>
      </c>
      <c r="P718" s="5" t="n">
        <v>1</v>
      </c>
      <c r="Q718" s="6" t="n">
        <v>3388.02</v>
      </c>
      <c r="R718" s="3" t="s">
        <v>107</v>
      </c>
      <c r="S718" s="7" t="n">
        <v>0.15</v>
      </c>
      <c r="T718" s="3" t="s">
        <v>51</v>
      </c>
      <c r="U718" s="7" t="n">
        <f aca="false">IF(T718="Valid",S718,0)</f>
        <v>0.15</v>
      </c>
      <c r="V718" s="6" t="n">
        <v>2879.82</v>
      </c>
      <c r="W718" s="6" t="n">
        <v>1824.88</v>
      </c>
      <c r="X718" s="6" t="n">
        <v>1054.94</v>
      </c>
      <c r="Y718" s="6" t="n">
        <f aca="false">P718*Q718*(1-U718)</f>
        <v>2879.817</v>
      </c>
      <c r="Z718" s="6" t="n">
        <f aca="false">Y718-W718</f>
        <v>1054.937</v>
      </c>
      <c r="AA718" s="8" t="n">
        <f aca="false">IF(Y718=0,0,Z718/Y718)</f>
        <v>0.366320846081539</v>
      </c>
      <c r="AB718" s="3" t="str">
        <f aca="false">IF(ABS(V718-Y718)&gt;1,"Mismatch","OK")</f>
        <v>OK</v>
      </c>
      <c r="AC718" s="3" t="str">
        <f aca="false">IF(ABS(X718-Z718)&gt;1,"Mismatch","OK")</f>
        <v>OK</v>
      </c>
      <c r="AD718" s="5" t="n">
        <f aca="false">IF(OR(B718="",C718=""),"",C718-B718)</f>
        <v>5</v>
      </c>
      <c r="AE718" s="3" t="str">
        <f aca="false">IF(AD718="","Unknown",IF(AD718&lt;0,"Invalid - Ship Before Order","OK"))</f>
        <v>OK</v>
      </c>
      <c r="AF718" s="5" t="n">
        <f aca="false">IF(B718="","",MONTH(B718))</f>
        <v>8</v>
      </c>
      <c r="AG718" s="5" t="n">
        <f aca="false">IF(B718="","",YEAR(B718))</f>
        <v>2025</v>
      </c>
      <c r="AH718" s="3" t="s">
        <v>52</v>
      </c>
      <c r="AI718" s="3" t="s">
        <v>53</v>
      </c>
      <c r="AJ718" s="3" t="str">
        <f aca="false">IF(AND(AI718="Completed",AH718="Failed"),"Inconsistent - Completed Order with Failed Payment","OK")</f>
        <v>OK</v>
      </c>
      <c r="AK718" s="3" t="s">
        <v>54</v>
      </c>
      <c r="AL718" s="3" t="str">
        <f aca="false">IF(OR(T718="Negative - Invalid",T718="Above Allowed Range - Invalid",AE718="Invalid - Ship Before Order",AK718&lt;&gt;"Unique",AB718="Mismatch",AC718="Mismatch",AJ718&lt;&gt;"OK"),"Invalid",IF(OR(H718="Yes",O718="Yes",T718="Missing"),"Warning","Clean"))</f>
        <v>Clean</v>
      </c>
    </row>
    <row r="719" customFormat="false" ht="15" hidden="false" customHeight="true" outlineLevel="0" collapsed="false">
      <c r="A719" s="3" t="s">
        <v>2277</v>
      </c>
      <c r="B719" s="4" t="n">
        <v>45942</v>
      </c>
      <c r="C719" s="4" t="n">
        <v>45945</v>
      </c>
      <c r="D719" s="3" t="s">
        <v>2278</v>
      </c>
      <c r="E719" s="3" t="s">
        <v>298</v>
      </c>
      <c r="F719" s="3" t="s">
        <v>58</v>
      </c>
      <c r="G719" s="3" t="s">
        <v>42</v>
      </c>
      <c r="H719" s="3" t="s">
        <v>43</v>
      </c>
      <c r="I719" s="3" t="s">
        <v>270</v>
      </c>
      <c r="J719" s="3" t="s">
        <v>271</v>
      </c>
      <c r="K719" s="3" t="s">
        <v>99</v>
      </c>
      <c r="L719" s="3" t="s">
        <v>308</v>
      </c>
      <c r="M719" s="3" t="s">
        <v>2279</v>
      </c>
      <c r="N719" s="3" t="s">
        <v>83</v>
      </c>
      <c r="O719" s="3" t="s">
        <v>43</v>
      </c>
      <c r="P719" s="5" t="n">
        <v>9</v>
      </c>
      <c r="Q719" s="6" t="n">
        <v>2598.92</v>
      </c>
      <c r="R719" s="3" t="s">
        <v>50</v>
      </c>
      <c r="S719" s="7" t="n">
        <v>0.2</v>
      </c>
      <c r="T719" s="3" t="s">
        <v>51</v>
      </c>
      <c r="U719" s="7" t="n">
        <f aca="false">IF(T719="Valid",S719,0)</f>
        <v>0.2</v>
      </c>
      <c r="V719" s="6" t="n">
        <v>18712.22</v>
      </c>
      <c r="W719" s="6" t="n">
        <v>11852.22</v>
      </c>
      <c r="X719" s="6" t="n">
        <v>6860</v>
      </c>
      <c r="Y719" s="6" t="n">
        <f aca="false">P719*Q719*(1-U719)</f>
        <v>18712.224</v>
      </c>
      <c r="Z719" s="6" t="n">
        <f aca="false">Y719-W719</f>
        <v>6860.004</v>
      </c>
      <c r="AA719" s="8" t="n">
        <f aca="false">IF(Y719=0,0,Z719/Y719)</f>
        <v>0.36660548740759</v>
      </c>
      <c r="AB719" s="3" t="str">
        <f aca="false">IF(ABS(V719-Y719)&gt;1,"Mismatch","OK")</f>
        <v>OK</v>
      </c>
      <c r="AC719" s="3" t="str">
        <f aca="false">IF(ABS(X719-Z719)&gt;1,"Mismatch","OK")</f>
        <v>OK</v>
      </c>
      <c r="AD719" s="5" t="n">
        <f aca="false">IF(OR(B719="",C719=""),"",C719-B719)</f>
        <v>3</v>
      </c>
      <c r="AE719" s="3" t="str">
        <f aca="false">IF(AD719="","Unknown",IF(AD719&lt;0,"Invalid - Ship Before Order","OK"))</f>
        <v>OK</v>
      </c>
      <c r="AF719" s="5" t="n">
        <f aca="false">IF(B719="","",MONTH(B719))</f>
        <v>10</v>
      </c>
      <c r="AG719" s="5" t="n">
        <f aca="false">IF(B719="","",YEAR(B719))</f>
        <v>2025</v>
      </c>
      <c r="AH719" s="3" t="s">
        <v>138</v>
      </c>
      <c r="AI719" s="3" t="s">
        <v>93</v>
      </c>
      <c r="AJ719" s="3" t="str">
        <f aca="false">IF(AND(AI719="Completed",AH719="Failed"),"Inconsistent - Completed Order with Failed Payment","OK")</f>
        <v>OK</v>
      </c>
      <c r="AK719" s="3" t="s">
        <v>54</v>
      </c>
      <c r="AL719" s="3" t="str">
        <f aca="false">IF(OR(T719="Negative - Invalid",T719="Above Allowed Range - Invalid",AE719="Invalid - Ship Before Order",AK719&lt;&gt;"Unique",AB719="Mismatch",AC719="Mismatch",AJ719&lt;&gt;"OK"),"Invalid",IF(OR(H719="Yes",O719="Yes",T719="Missing"),"Warning","Clean"))</f>
        <v>Clean</v>
      </c>
    </row>
    <row r="720" customFormat="false" ht="15" hidden="false" customHeight="true" outlineLevel="0" collapsed="false">
      <c r="A720" s="3" t="s">
        <v>2280</v>
      </c>
      <c r="B720" s="4" t="n">
        <v>45541</v>
      </c>
      <c r="C720" s="4" t="n">
        <v>45544</v>
      </c>
      <c r="D720" s="3" t="s">
        <v>2281</v>
      </c>
      <c r="E720" s="3" t="s">
        <v>57</v>
      </c>
      <c r="F720" s="3" t="s">
        <v>41</v>
      </c>
      <c r="G720" s="3" t="s">
        <v>88</v>
      </c>
      <c r="H720" s="3" t="s">
        <v>43</v>
      </c>
      <c r="I720" s="3" t="s">
        <v>89</v>
      </c>
      <c r="J720" s="3" t="s">
        <v>90</v>
      </c>
      <c r="K720" s="3" t="s">
        <v>46</v>
      </c>
      <c r="L720" s="3" t="s">
        <v>70</v>
      </c>
      <c r="M720" s="3" t="s">
        <v>2282</v>
      </c>
      <c r="N720" s="3" t="s">
        <v>65</v>
      </c>
      <c r="O720" s="3" t="s">
        <v>43</v>
      </c>
      <c r="P720" s="5" t="n">
        <v>3</v>
      </c>
      <c r="Q720" s="6" t="n">
        <v>1972.27</v>
      </c>
      <c r="R720" s="3" t="s">
        <v>50</v>
      </c>
      <c r="S720" s="7" t="n">
        <v>0.2</v>
      </c>
      <c r="T720" s="3" t="s">
        <v>51</v>
      </c>
      <c r="U720" s="7" t="n">
        <f aca="false">IF(T720="Valid",S720,0)</f>
        <v>0.2</v>
      </c>
      <c r="V720" s="6" t="n">
        <v>4733.45</v>
      </c>
      <c r="W720" s="6" t="n">
        <v>3672.32</v>
      </c>
      <c r="X720" s="6" t="n">
        <v>1061.13</v>
      </c>
      <c r="Y720" s="6" t="n">
        <f aca="false">P720*Q720*(1-U720)</f>
        <v>4733.448</v>
      </c>
      <c r="Z720" s="6" t="n">
        <f aca="false">Y720-W720</f>
        <v>1061.128</v>
      </c>
      <c r="AA720" s="8" t="n">
        <f aca="false">IF(Y720=0,0,Z720/Y720)</f>
        <v>0.224176541075343</v>
      </c>
      <c r="AB720" s="3" t="str">
        <f aca="false">IF(ABS(V720-Y720)&gt;1,"Mismatch","OK")</f>
        <v>OK</v>
      </c>
      <c r="AC720" s="3" t="str">
        <f aca="false">IF(ABS(X720-Z720)&gt;1,"Mismatch","OK")</f>
        <v>OK</v>
      </c>
      <c r="AD720" s="5" t="n">
        <f aca="false">IF(OR(B720="",C720=""),"",C720-B720)</f>
        <v>3</v>
      </c>
      <c r="AE720" s="3" t="str">
        <f aca="false">IF(AD720="","Unknown",IF(AD720&lt;0,"Invalid - Ship Before Order","OK"))</f>
        <v>OK</v>
      </c>
      <c r="AF720" s="5" t="n">
        <f aca="false">IF(B720="","",MONTH(B720))</f>
        <v>9</v>
      </c>
      <c r="AG720" s="5" t="n">
        <f aca="false">IF(B720="","",YEAR(B720))</f>
        <v>2024</v>
      </c>
      <c r="AH720" s="3" t="s">
        <v>52</v>
      </c>
      <c r="AI720" s="3" t="s">
        <v>53</v>
      </c>
      <c r="AJ720" s="3" t="str">
        <f aca="false">IF(AND(AI720="Completed",AH720="Failed"),"Inconsistent - Completed Order with Failed Payment","OK")</f>
        <v>OK</v>
      </c>
      <c r="AK720" s="3" t="s">
        <v>54</v>
      </c>
      <c r="AL720" s="3" t="str">
        <f aca="false">IF(OR(T720="Negative - Invalid",T720="Above Allowed Range - Invalid",AE720="Invalid - Ship Before Order",AK720&lt;&gt;"Unique",AB720="Mismatch",AC720="Mismatch",AJ720&lt;&gt;"OK"),"Invalid",IF(OR(H720="Yes",O720="Yes",T720="Missing"),"Warning","Clean"))</f>
        <v>Clean</v>
      </c>
    </row>
    <row r="721" customFormat="false" ht="15" hidden="false" customHeight="true" outlineLevel="0" collapsed="false">
      <c r="A721" s="3" t="s">
        <v>2283</v>
      </c>
      <c r="B721" s="4" t="n">
        <v>45908</v>
      </c>
      <c r="C721" s="4" t="n">
        <v>45909</v>
      </c>
      <c r="D721" s="3" t="s">
        <v>173</v>
      </c>
      <c r="E721" s="3" t="s">
        <v>298</v>
      </c>
      <c r="F721" s="3" t="s">
        <v>116</v>
      </c>
      <c r="G721" s="3" t="s">
        <v>88</v>
      </c>
      <c r="H721" s="3" t="s">
        <v>43</v>
      </c>
      <c r="I721" s="3" t="s">
        <v>211</v>
      </c>
      <c r="J721" s="3" t="s">
        <v>212</v>
      </c>
      <c r="K721" s="3" t="s">
        <v>46</v>
      </c>
      <c r="L721" s="3" t="s">
        <v>70</v>
      </c>
      <c r="M721" s="3" t="s">
        <v>2284</v>
      </c>
      <c r="N721" s="3" t="s">
        <v>65</v>
      </c>
      <c r="O721" s="3" t="s">
        <v>43</v>
      </c>
      <c r="P721" s="5" t="n">
        <v>2</v>
      </c>
      <c r="Q721" s="6" t="n">
        <v>2372.41</v>
      </c>
      <c r="R721" s="3" t="s">
        <v>50</v>
      </c>
      <c r="S721" s="7" t="n">
        <v>0.2</v>
      </c>
      <c r="T721" s="3" t="s">
        <v>51</v>
      </c>
      <c r="U721" s="7" t="n">
        <f aca="false">IF(T721="Valid",S721,0)</f>
        <v>0.2</v>
      </c>
      <c r="V721" s="6" t="n">
        <v>3795.86</v>
      </c>
      <c r="W721" s="6" t="n">
        <v>2264.92</v>
      </c>
      <c r="X721" s="6" t="n">
        <v>1530.94</v>
      </c>
      <c r="Y721" s="6" t="n">
        <f aca="false">P721*Q721*(1-U721)</f>
        <v>3795.856</v>
      </c>
      <c r="Z721" s="6" t="n">
        <f aca="false">Y721-W721</f>
        <v>1530.936</v>
      </c>
      <c r="AA721" s="8" t="n">
        <f aca="false">IF(Y721=0,0,Z721/Y721)</f>
        <v>0.403317723327755</v>
      </c>
      <c r="AB721" s="3" t="str">
        <f aca="false">IF(ABS(V721-Y721)&gt;1,"Mismatch","OK")</f>
        <v>OK</v>
      </c>
      <c r="AC721" s="3" t="str">
        <f aca="false">IF(ABS(X721-Z721)&gt;1,"Mismatch","OK")</f>
        <v>OK</v>
      </c>
      <c r="AD721" s="5" t="n">
        <f aca="false">IF(OR(B721="",C721=""),"",C721-B721)</f>
        <v>1</v>
      </c>
      <c r="AE721" s="3" t="str">
        <f aca="false">IF(AD721="","Unknown",IF(AD721&lt;0,"Invalid - Ship Before Order","OK"))</f>
        <v>OK</v>
      </c>
      <c r="AF721" s="5" t="n">
        <f aca="false">IF(B721="","",MONTH(B721))</f>
        <v>9</v>
      </c>
      <c r="AG721" s="5" t="n">
        <f aca="false">IF(B721="","",YEAR(B721))</f>
        <v>2025</v>
      </c>
      <c r="AH721" s="3" t="s">
        <v>52</v>
      </c>
      <c r="AI721" s="3" t="s">
        <v>53</v>
      </c>
      <c r="AJ721" s="3" t="str">
        <f aca="false">IF(AND(AI721="Completed",AH721="Failed"),"Inconsistent - Completed Order with Failed Payment","OK")</f>
        <v>OK</v>
      </c>
      <c r="AK721" s="3" t="s">
        <v>54</v>
      </c>
      <c r="AL721" s="3" t="str">
        <f aca="false">IF(OR(T721="Negative - Invalid",T721="Above Allowed Range - Invalid",AE721="Invalid - Ship Before Order",AK721&lt;&gt;"Unique",AB721="Mismatch",AC721="Mismatch",AJ721&lt;&gt;"OK"),"Invalid",IF(OR(H721="Yes",O721="Yes",T721="Missing"),"Warning","Clean"))</f>
        <v>Clean</v>
      </c>
    </row>
    <row r="722" customFormat="false" ht="15" hidden="false" customHeight="true" outlineLevel="0" collapsed="false">
      <c r="A722" s="3" t="s">
        <v>2285</v>
      </c>
      <c r="B722" s="4" t="n">
        <v>45489</v>
      </c>
      <c r="C722" s="4" t="n">
        <v>45489</v>
      </c>
      <c r="D722" s="3" t="s">
        <v>2286</v>
      </c>
      <c r="E722" s="3" t="s">
        <v>115</v>
      </c>
      <c r="F722" s="3" t="s">
        <v>121</v>
      </c>
      <c r="G722" s="3" t="s">
        <v>88</v>
      </c>
      <c r="H722" s="3" t="s">
        <v>43</v>
      </c>
      <c r="I722" s="3" t="s">
        <v>97</v>
      </c>
      <c r="J722" s="3" t="s">
        <v>98</v>
      </c>
      <c r="K722" s="3" t="s">
        <v>99</v>
      </c>
      <c r="L722" s="3" t="s">
        <v>105</v>
      </c>
      <c r="M722" s="3" t="s">
        <v>2287</v>
      </c>
      <c r="N722" s="3" t="s">
        <v>65</v>
      </c>
      <c r="O722" s="3" t="s">
        <v>43</v>
      </c>
      <c r="P722" s="5" t="n">
        <v>4</v>
      </c>
      <c r="Q722" s="6" t="n">
        <v>4479.92</v>
      </c>
      <c r="R722" s="3" t="s">
        <v>107</v>
      </c>
      <c r="S722" s="7" t="n">
        <v>0.15</v>
      </c>
      <c r="T722" s="3" t="s">
        <v>51</v>
      </c>
      <c r="U722" s="7" t="n">
        <f aca="false">IF(T722="Valid",S722,0)</f>
        <v>0.15</v>
      </c>
      <c r="V722" s="6" t="n">
        <v>15231.73</v>
      </c>
      <c r="W722" s="6" t="n">
        <v>12451.46</v>
      </c>
      <c r="X722" s="6" t="n">
        <v>2780.27</v>
      </c>
      <c r="Y722" s="6" t="n">
        <f aca="false">P722*Q722*(1-U722)</f>
        <v>15231.728</v>
      </c>
      <c r="Z722" s="6" t="n">
        <f aca="false">Y722-W722</f>
        <v>2780.268</v>
      </c>
      <c r="AA722" s="8" t="n">
        <f aca="false">IF(Y722=0,0,Z722/Y722)</f>
        <v>0.182531358228036</v>
      </c>
      <c r="AB722" s="3" t="str">
        <f aca="false">IF(ABS(V722-Y722)&gt;1,"Mismatch","OK")</f>
        <v>OK</v>
      </c>
      <c r="AC722" s="3" t="str">
        <f aca="false">IF(ABS(X722-Z722)&gt;1,"Mismatch","OK")</f>
        <v>OK</v>
      </c>
      <c r="AD722" s="5" t="n">
        <f aca="false">IF(OR(B722="",C722=""),"",C722-B722)</f>
        <v>0</v>
      </c>
      <c r="AE722" s="3" t="str">
        <f aca="false">IF(AD722="","Unknown",IF(AD722&lt;0,"Invalid - Ship Before Order","OK"))</f>
        <v>OK</v>
      </c>
      <c r="AF722" s="5" t="n">
        <f aca="false">IF(B722="","",MONTH(B722))</f>
        <v>7</v>
      </c>
      <c r="AG722" s="5" t="n">
        <f aca="false">IF(B722="","",YEAR(B722))</f>
        <v>2024</v>
      </c>
      <c r="AH722" s="3" t="s">
        <v>52</v>
      </c>
      <c r="AI722" s="3" t="s">
        <v>53</v>
      </c>
      <c r="AJ722" s="3" t="str">
        <f aca="false">IF(AND(AI722="Completed",AH722="Failed"),"Inconsistent - Completed Order with Failed Payment","OK")</f>
        <v>OK</v>
      </c>
      <c r="AK722" s="3" t="s">
        <v>54</v>
      </c>
      <c r="AL722" s="3" t="str">
        <f aca="false">IF(OR(T722="Negative - Invalid",T722="Above Allowed Range - Invalid",AE722="Invalid - Ship Before Order",AK722&lt;&gt;"Unique",AB722="Mismatch",AC722="Mismatch",AJ722&lt;&gt;"OK"),"Invalid",IF(OR(H722="Yes",O722="Yes",T722="Missing"),"Warning","Clean"))</f>
        <v>Clean</v>
      </c>
    </row>
    <row r="723" customFormat="false" ht="15" hidden="false" customHeight="true" outlineLevel="0" collapsed="false">
      <c r="A723" s="3" t="s">
        <v>2288</v>
      </c>
      <c r="B723" s="4" t="n">
        <v>45827</v>
      </c>
      <c r="C723" s="4" t="n">
        <v>45831</v>
      </c>
      <c r="D723" s="3" t="s">
        <v>2289</v>
      </c>
      <c r="E723" s="3" t="s">
        <v>159</v>
      </c>
      <c r="F723" s="3" t="s">
        <v>41</v>
      </c>
      <c r="G723" s="3" t="s">
        <v>78</v>
      </c>
      <c r="H723" s="3" t="s">
        <v>43</v>
      </c>
      <c r="I723" s="3" t="s">
        <v>206</v>
      </c>
      <c r="J723" s="3" t="s">
        <v>207</v>
      </c>
      <c r="K723" s="3" t="s">
        <v>99</v>
      </c>
      <c r="L723" s="3" t="s">
        <v>105</v>
      </c>
      <c r="M723" s="3" t="s">
        <v>2290</v>
      </c>
      <c r="N723" s="3" t="s">
        <v>72</v>
      </c>
      <c r="O723" s="3" t="s">
        <v>43</v>
      </c>
      <c r="P723" s="5" t="n">
        <v>5</v>
      </c>
      <c r="Q723" s="6" t="n">
        <v>2729.95</v>
      </c>
      <c r="R723" s="3" t="s">
        <v>66</v>
      </c>
      <c r="S723" s="7" t="n">
        <v>0</v>
      </c>
      <c r="T723" s="3" t="s">
        <v>51</v>
      </c>
      <c r="U723" s="7" t="n">
        <f aca="false">IF(T723="Valid",S723,0)</f>
        <v>0</v>
      </c>
      <c r="V723" s="6" t="n">
        <v>13649.75</v>
      </c>
      <c r="W723" s="6" t="n">
        <v>10288.03</v>
      </c>
      <c r="X723" s="6" t="n">
        <v>3361.72</v>
      </c>
      <c r="Y723" s="6" t="n">
        <f aca="false">P723*Q723*(1-U723)</f>
        <v>13649.75</v>
      </c>
      <c r="Z723" s="6" t="n">
        <f aca="false">Y723-W723</f>
        <v>3361.72</v>
      </c>
      <c r="AA723" s="8" t="n">
        <f aca="false">IF(Y723=0,0,Z723/Y723)</f>
        <v>0.246284364182494</v>
      </c>
      <c r="AB723" s="3" t="str">
        <f aca="false">IF(ABS(V723-Y723)&gt;1,"Mismatch","OK")</f>
        <v>OK</v>
      </c>
      <c r="AC723" s="3" t="str">
        <f aca="false">IF(ABS(X723-Z723)&gt;1,"Mismatch","OK")</f>
        <v>OK</v>
      </c>
      <c r="AD723" s="5" t="n">
        <f aca="false">IF(OR(B723="",C723=""),"",C723-B723)</f>
        <v>4</v>
      </c>
      <c r="AE723" s="3" t="str">
        <f aca="false">IF(AD723="","Unknown",IF(AD723&lt;0,"Invalid - Ship Before Order","OK"))</f>
        <v>OK</v>
      </c>
      <c r="AF723" s="5" t="n">
        <f aca="false">IF(B723="","",MONTH(B723))</f>
        <v>6</v>
      </c>
      <c r="AG723" s="5" t="n">
        <f aca="false">IF(B723="","",YEAR(B723))</f>
        <v>2025</v>
      </c>
      <c r="AH723" s="3" t="s">
        <v>52</v>
      </c>
      <c r="AI723" s="3" t="s">
        <v>53</v>
      </c>
      <c r="AJ723" s="3" t="str">
        <f aca="false">IF(AND(AI723="Completed",AH723="Failed"),"Inconsistent - Completed Order with Failed Payment","OK")</f>
        <v>OK</v>
      </c>
      <c r="AK723" s="3" t="s">
        <v>54</v>
      </c>
      <c r="AL723" s="3" t="str">
        <f aca="false">IF(OR(T723="Negative - Invalid",T723="Above Allowed Range - Invalid",AE723="Invalid - Ship Before Order",AK723&lt;&gt;"Unique",AB723="Mismatch",AC723="Mismatch",AJ723&lt;&gt;"OK"),"Invalid",IF(OR(H723="Yes",O723="Yes",T723="Missing"),"Warning","Clean"))</f>
        <v>Clean</v>
      </c>
    </row>
    <row r="724" customFormat="false" ht="15" hidden="false" customHeight="true" outlineLevel="0" collapsed="false">
      <c r="A724" s="3" t="s">
        <v>2291</v>
      </c>
      <c r="B724" s="4" t="n">
        <v>45572</v>
      </c>
      <c r="C724" s="4" t="n">
        <v>45575</v>
      </c>
      <c r="D724" s="3" t="s">
        <v>2292</v>
      </c>
      <c r="E724" s="3" t="s">
        <v>96</v>
      </c>
      <c r="F724" s="3" t="s">
        <v>41</v>
      </c>
      <c r="G724" s="3" t="s">
        <v>59</v>
      </c>
      <c r="H724" s="3" t="s">
        <v>43</v>
      </c>
      <c r="I724" s="3" t="s">
        <v>125</v>
      </c>
      <c r="J724" s="3" t="s">
        <v>126</v>
      </c>
      <c r="K724" s="3" t="s">
        <v>62</v>
      </c>
      <c r="L724" s="3" t="s">
        <v>91</v>
      </c>
      <c r="M724" s="3" t="s">
        <v>2293</v>
      </c>
      <c r="N724" s="3" t="s">
        <v>49</v>
      </c>
      <c r="O724" s="3" t="s">
        <v>43</v>
      </c>
      <c r="P724" s="5" t="n">
        <v>9</v>
      </c>
      <c r="Q724" s="6" t="n">
        <v>481.51</v>
      </c>
      <c r="R724" s="3"/>
      <c r="S724" s="7"/>
      <c r="T724" s="3" t="s">
        <v>230</v>
      </c>
      <c r="U724" s="7" t="n">
        <f aca="false">IF(T724="Valid",S724,0)</f>
        <v>0</v>
      </c>
      <c r="V724" s="6" t="n">
        <v>4333.59</v>
      </c>
      <c r="W724" s="6" t="n">
        <v>2533.59</v>
      </c>
      <c r="X724" s="6" t="n">
        <v>1800</v>
      </c>
      <c r="Y724" s="6" t="n">
        <f aca="false">P724*Q724*(1-U724)</f>
        <v>4333.59</v>
      </c>
      <c r="Z724" s="6" t="n">
        <f aca="false">Y724-W724</f>
        <v>1800</v>
      </c>
      <c r="AA724" s="8" t="n">
        <f aca="false">IF(Y724=0,0,Z724/Y724)</f>
        <v>0.41536001329152</v>
      </c>
      <c r="AB724" s="3" t="str">
        <f aca="false">IF(ABS(V724-Y724)&gt;1,"Mismatch","OK")</f>
        <v>OK</v>
      </c>
      <c r="AC724" s="3" t="str">
        <f aca="false">IF(ABS(X724-Z724)&gt;1,"Mismatch","OK")</f>
        <v>OK</v>
      </c>
      <c r="AD724" s="5" t="n">
        <f aca="false">IF(OR(B724="",C724=""),"",C724-B724)</f>
        <v>3</v>
      </c>
      <c r="AE724" s="3" t="str">
        <f aca="false">IF(AD724="","Unknown",IF(AD724&lt;0,"Invalid - Ship Before Order","OK"))</f>
        <v>OK</v>
      </c>
      <c r="AF724" s="5" t="n">
        <f aca="false">IF(B724="","",MONTH(B724))</f>
        <v>10</v>
      </c>
      <c r="AG724" s="5" t="n">
        <f aca="false">IF(B724="","",YEAR(B724))</f>
        <v>2024</v>
      </c>
      <c r="AH724" s="3" t="s">
        <v>129</v>
      </c>
      <c r="AI724" s="3" t="s">
        <v>93</v>
      </c>
      <c r="AJ724" s="3" t="str">
        <f aca="false">IF(AND(AI724="Completed",AH724="Failed"),"Inconsistent - Completed Order with Failed Payment","OK")</f>
        <v>OK</v>
      </c>
      <c r="AK724" s="3" t="s">
        <v>54</v>
      </c>
      <c r="AL724" s="3" t="str">
        <f aca="false">IF(OR(T724="Negative - Invalid",T724="Above Allowed Range - Invalid",AE724="Invalid - Ship Before Order",AK724&lt;&gt;"Unique",AB724="Mismatch",AC724="Mismatch",AJ724&lt;&gt;"OK"),"Invalid",IF(OR(H724="Yes",O724="Yes",T724="Missing"),"Warning","Clean"))</f>
        <v>Warning</v>
      </c>
    </row>
    <row r="725" customFormat="false" ht="15" hidden="false" customHeight="true" outlineLevel="0" collapsed="false">
      <c r="A725" s="3" t="s">
        <v>2294</v>
      </c>
      <c r="B725" s="4" t="n">
        <v>45936</v>
      </c>
      <c r="C725" s="4" t="n">
        <v>45943</v>
      </c>
      <c r="D725" s="3" t="s">
        <v>2295</v>
      </c>
      <c r="E725" s="3" t="s">
        <v>298</v>
      </c>
      <c r="F725" s="3" t="s">
        <v>121</v>
      </c>
      <c r="G725" s="3" t="s">
        <v>59</v>
      </c>
      <c r="H725" s="3" t="s">
        <v>43</v>
      </c>
      <c r="I725" s="3" t="s">
        <v>262</v>
      </c>
      <c r="J725" s="3" t="s">
        <v>263</v>
      </c>
      <c r="K725" s="3" t="s">
        <v>99</v>
      </c>
      <c r="L725" s="3" t="s">
        <v>100</v>
      </c>
      <c r="M725" s="3" t="s">
        <v>2296</v>
      </c>
      <c r="N725" s="3" t="s">
        <v>83</v>
      </c>
      <c r="O725" s="3" t="s">
        <v>43</v>
      </c>
      <c r="P725" s="5" t="n">
        <v>6</v>
      </c>
      <c r="Q725" s="6" t="n">
        <v>2391.93</v>
      </c>
      <c r="R725" s="3" t="s">
        <v>128</v>
      </c>
      <c r="S725" s="7" t="n">
        <v>0.05</v>
      </c>
      <c r="T725" s="3" t="s">
        <v>51</v>
      </c>
      <c r="U725" s="7" t="n">
        <f aca="false">IF(T725="Valid",S725,0)</f>
        <v>0.05</v>
      </c>
      <c r="V725" s="6" t="n">
        <v>13634</v>
      </c>
      <c r="W725" s="6" t="n">
        <v>9589.81</v>
      </c>
      <c r="X725" s="6" t="n">
        <v>4044.19</v>
      </c>
      <c r="Y725" s="6" t="n">
        <f aca="false">P725*Q725*(1-U725)</f>
        <v>13634.001</v>
      </c>
      <c r="Z725" s="6" t="n">
        <f aca="false">Y725-W725</f>
        <v>4044.191</v>
      </c>
      <c r="AA725" s="8" t="n">
        <f aca="false">IF(Y725=0,0,Z725/Y725)</f>
        <v>0.296625399983468</v>
      </c>
      <c r="AB725" s="3" t="str">
        <f aca="false">IF(ABS(V725-Y725)&gt;1,"Mismatch","OK")</f>
        <v>OK</v>
      </c>
      <c r="AC725" s="3" t="str">
        <f aca="false">IF(ABS(X725-Z725)&gt;1,"Mismatch","OK")</f>
        <v>OK</v>
      </c>
      <c r="AD725" s="5" t="n">
        <f aca="false">IF(OR(B725="",C725=""),"",C725-B725)</f>
        <v>7</v>
      </c>
      <c r="AE725" s="3" t="str">
        <f aca="false">IF(AD725="","Unknown",IF(AD725&lt;0,"Invalid - Ship Before Order","OK"))</f>
        <v>OK</v>
      </c>
      <c r="AF725" s="5" t="n">
        <f aca="false">IF(B725="","",MONTH(B725))</f>
        <v>10</v>
      </c>
      <c r="AG725" s="5" t="n">
        <f aca="false">IF(B725="","",YEAR(B725))</f>
        <v>2025</v>
      </c>
      <c r="AH725" s="3" t="s">
        <v>185</v>
      </c>
      <c r="AI725" s="3" t="s">
        <v>130</v>
      </c>
      <c r="AJ725" s="3" t="str">
        <f aca="false">IF(AND(AI725="Completed",AH725="Failed"),"Inconsistent - Completed Order with Failed Payment","OK")</f>
        <v>OK</v>
      </c>
      <c r="AK725" s="3" t="s">
        <v>54</v>
      </c>
      <c r="AL725" s="3" t="str">
        <f aca="false">IF(OR(T725="Negative - Invalid",T725="Above Allowed Range - Invalid",AE725="Invalid - Ship Before Order",AK725&lt;&gt;"Unique",AB725="Mismatch",AC725="Mismatch",AJ725&lt;&gt;"OK"),"Invalid",IF(OR(H725="Yes",O725="Yes",T725="Missing"),"Warning","Clean"))</f>
        <v>Clean</v>
      </c>
    </row>
    <row r="726" customFormat="false" ht="15" hidden="false" customHeight="true" outlineLevel="0" collapsed="false">
      <c r="A726" s="3" t="s">
        <v>2297</v>
      </c>
      <c r="B726" s="4" t="n">
        <v>45332</v>
      </c>
      <c r="C726" s="4" t="n">
        <v>45338</v>
      </c>
      <c r="D726" s="3" t="s">
        <v>2298</v>
      </c>
      <c r="E726" s="3" t="s">
        <v>40</v>
      </c>
      <c r="F726" s="3" t="s">
        <v>41</v>
      </c>
      <c r="G726" s="3" t="s">
        <v>88</v>
      </c>
      <c r="H726" s="3" t="s">
        <v>43</v>
      </c>
      <c r="I726" s="3" t="s">
        <v>221</v>
      </c>
      <c r="J726" s="3" t="s">
        <v>222</v>
      </c>
      <c r="K726" s="3" t="s">
        <v>62</v>
      </c>
      <c r="L726" s="3" t="s">
        <v>81</v>
      </c>
      <c r="M726" s="3" t="s">
        <v>2299</v>
      </c>
      <c r="N726" s="3" t="s">
        <v>49</v>
      </c>
      <c r="O726" s="3" t="s">
        <v>43</v>
      </c>
      <c r="P726" s="5" t="n">
        <v>3</v>
      </c>
      <c r="Q726" s="6" t="n">
        <v>253.43</v>
      </c>
      <c r="R726" s="3" t="s">
        <v>66</v>
      </c>
      <c r="S726" s="7" t="n">
        <v>0</v>
      </c>
      <c r="T726" s="3" t="s">
        <v>51</v>
      </c>
      <c r="U726" s="7" t="n">
        <f aca="false">IF(T726="Valid",S726,0)</f>
        <v>0</v>
      </c>
      <c r="V726" s="6" t="n">
        <v>760.29</v>
      </c>
      <c r="W726" s="6" t="n">
        <v>497.77</v>
      </c>
      <c r="X726" s="6" t="n">
        <v>262.52</v>
      </c>
      <c r="Y726" s="6" t="n">
        <f aca="false">P726*Q726*(1-U726)</f>
        <v>760.29</v>
      </c>
      <c r="Z726" s="6" t="n">
        <f aca="false">Y726-W726</f>
        <v>262.52</v>
      </c>
      <c r="AA726" s="8" t="n">
        <f aca="false">IF(Y726=0,0,Z726/Y726)</f>
        <v>0.345289297504899</v>
      </c>
      <c r="AB726" s="3" t="str">
        <f aca="false">IF(ABS(V726-Y726)&gt;1,"Mismatch","OK")</f>
        <v>OK</v>
      </c>
      <c r="AC726" s="3" t="str">
        <f aca="false">IF(ABS(X726-Z726)&gt;1,"Mismatch","OK")</f>
        <v>OK</v>
      </c>
      <c r="AD726" s="5" t="n">
        <f aca="false">IF(OR(B726="",C726=""),"",C726-B726)</f>
        <v>6</v>
      </c>
      <c r="AE726" s="3" t="str">
        <f aca="false">IF(AD726="","Unknown",IF(AD726&lt;0,"Invalid - Ship Before Order","OK"))</f>
        <v>OK</v>
      </c>
      <c r="AF726" s="5" t="n">
        <f aca="false">IF(B726="","",MONTH(B726))</f>
        <v>2</v>
      </c>
      <c r="AG726" s="5" t="n">
        <f aca="false">IF(B726="","",YEAR(B726))</f>
        <v>2024</v>
      </c>
      <c r="AH726" s="3" t="s">
        <v>52</v>
      </c>
      <c r="AI726" s="3" t="s">
        <v>53</v>
      </c>
      <c r="AJ726" s="3" t="str">
        <f aca="false">IF(AND(AI726="Completed",AH726="Failed"),"Inconsistent - Completed Order with Failed Payment","OK")</f>
        <v>OK</v>
      </c>
      <c r="AK726" s="3" t="s">
        <v>54</v>
      </c>
      <c r="AL726" s="3" t="str">
        <f aca="false">IF(OR(T726="Negative - Invalid",T726="Above Allowed Range - Invalid",AE726="Invalid - Ship Before Order",AK726&lt;&gt;"Unique",AB726="Mismatch",AC726="Mismatch",AJ726&lt;&gt;"OK"),"Invalid",IF(OR(H726="Yes",O726="Yes",T726="Missing"),"Warning","Clean"))</f>
        <v>Clean</v>
      </c>
    </row>
    <row r="727" customFormat="false" ht="15" hidden="false" customHeight="true" outlineLevel="0" collapsed="false">
      <c r="A727" s="3" t="s">
        <v>2300</v>
      </c>
      <c r="B727" s="4" t="n">
        <v>45935</v>
      </c>
      <c r="C727" s="4" t="n">
        <v>45942</v>
      </c>
      <c r="D727" s="3" t="s">
        <v>2301</v>
      </c>
      <c r="E727" s="3" t="s">
        <v>141</v>
      </c>
      <c r="F727" s="3" t="s">
        <v>116</v>
      </c>
      <c r="G727" s="3" t="s">
        <v>78</v>
      </c>
      <c r="H727" s="3" t="s">
        <v>43</v>
      </c>
      <c r="I727" s="3" t="s">
        <v>206</v>
      </c>
      <c r="J727" s="3" t="s">
        <v>207</v>
      </c>
      <c r="K727" s="3" t="s">
        <v>62</v>
      </c>
      <c r="L727" s="3" t="s">
        <v>63</v>
      </c>
      <c r="M727" s="3" t="s">
        <v>2302</v>
      </c>
      <c r="N727" s="3" t="s">
        <v>49</v>
      </c>
      <c r="O727" s="3" t="s">
        <v>43</v>
      </c>
      <c r="P727" s="5" t="n">
        <v>7</v>
      </c>
      <c r="Q727" s="6" t="n">
        <v>2134.73</v>
      </c>
      <c r="R727" s="3" t="s">
        <v>66</v>
      </c>
      <c r="S727" s="7" t="n">
        <v>0</v>
      </c>
      <c r="T727" s="3" t="s">
        <v>51</v>
      </c>
      <c r="U727" s="7" t="n">
        <f aca="false">IF(T727="Valid",S727,0)</f>
        <v>0</v>
      </c>
      <c r="V727" s="6" t="n">
        <v>14943.11</v>
      </c>
      <c r="W727" s="6" t="n">
        <v>8521.5</v>
      </c>
      <c r="X727" s="6" t="n">
        <v>6421.61</v>
      </c>
      <c r="Y727" s="6" t="n">
        <f aca="false">P727*Q727*(1-U727)</f>
        <v>14943.11</v>
      </c>
      <c r="Z727" s="6" t="n">
        <f aca="false">Y727-W727</f>
        <v>6421.61</v>
      </c>
      <c r="AA727" s="8" t="n">
        <f aca="false">IF(Y727=0,0,Z727/Y727)</f>
        <v>0.429737183223573</v>
      </c>
      <c r="AB727" s="3" t="str">
        <f aca="false">IF(ABS(V727-Y727)&gt;1,"Mismatch","OK")</f>
        <v>OK</v>
      </c>
      <c r="AC727" s="3" t="str">
        <f aca="false">IF(ABS(X727-Z727)&gt;1,"Mismatch","OK")</f>
        <v>OK</v>
      </c>
      <c r="AD727" s="5" t="n">
        <f aca="false">IF(OR(B727="",C727=""),"",C727-B727)</f>
        <v>7</v>
      </c>
      <c r="AE727" s="3" t="str">
        <f aca="false">IF(AD727="","Unknown",IF(AD727&lt;0,"Invalid - Ship Before Order","OK"))</f>
        <v>OK</v>
      </c>
      <c r="AF727" s="5" t="n">
        <f aca="false">IF(B727="","",MONTH(B727))</f>
        <v>10</v>
      </c>
      <c r="AG727" s="5" t="n">
        <f aca="false">IF(B727="","",YEAR(B727))</f>
        <v>2025</v>
      </c>
      <c r="AH727" s="3" t="s">
        <v>52</v>
      </c>
      <c r="AI727" s="3" t="s">
        <v>53</v>
      </c>
      <c r="AJ727" s="3" t="str">
        <f aca="false">IF(AND(AI727="Completed",AH727="Failed"),"Inconsistent - Completed Order with Failed Payment","OK")</f>
        <v>OK</v>
      </c>
      <c r="AK727" s="3" t="s">
        <v>54</v>
      </c>
      <c r="AL727" s="3" t="str">
        <f aca="false">IF(OR(T727="Negative - Invalid",T727="Above Allowed Range - Invalid",AE727="Invalid - Ship Before Order",AK727&lt;&gt;"Unique",AB727="Mismatch",AC727="Mismatch",AJ727&lt;&gt;"OK"),"Invalid",IF(OR(H727="Yes",O727="Yes",T727="Missing"),"Warning","Clean"))</f>
        <v>Clean</v>
      </c>
    </row>
    <row r="728" customFormat="false" ht="15" hidden="false" customHeight="true" outlineLevel="0" collapsed="false">
      <c r="A728" s="3" t="s">
        <v>2303</v>
      </c>
      <c r="B728" s="4" t="n">
        <v>45308</v>
      </c>
      <c r="C728" s="4" t="n">
        <v>45314</v>
      </c>
      <c r="D728" s="3" t="s">
        <v>2304</v>
      </c>
      <c r="E728" s="3" t="s">
        <v>298</v>
      </c>
      <c r="F728" s="3" t="s">
        <v>121</v>
      </c>
      <c r="G728" s="3" t="s">
        <v>88</v>
      </c>
      <c r="H728" s="3" t="s">
        <v>43</v>
      </c>
      <c r="I728" s="3" t="s">
        <v>211</v>
      </c>
      <c r="J728" s="3" t="s">
        <v>212</v>
      </c>
      <c r="K728" s="3" t="s">
        <v>99</v>
      </c>
      <c r="L728" s="3" t="s">
        <v>201</v>
      </c>
      <c r="M728" s="3" t="s">
        <v>2305</v>
      </c>
      <c r="N728" s="3" t="s">
        <v>83</v>
      </c>
      <c r="O728" s="3" t="s">
        <v>43</v>
      </c>
      <c r="P728" s="5" t="n">
        <v>5</v>
      </c>
      <c r="Q728" s="6" t="n">
        <v>2018</v>
      </c>
      <c r="R728" s="3" t="s">
        <v>50</v>
      </c>
      <c r="S728" s="7" t="n">
        <v>0.2</v>
      </c>
      <c r="T728" s="3" t="s">
        <v>51</v>
      </c>
      <c r="U728" s="7" t="n">
        <f aca="false">IF(T728="Valid",S728,0)</f>
        <v>0.2</v>
      </c>
      <c r="V728" s="6" t="n">
        <v>8072</v>
      </c>
      <c r="W728" s="6" t="n">
        <v>5379.22</v>
      </c>
      <c r="X728" s="6" t="n">
        <v>2692.78</v>
      </c>
      <c r="Y728" s="6" t="n">
        <f aca="false">P728*Q728*(1-U728)</f>
        <v>8072</v>
      </c>
      <c r="Z728" s="6" t="n">
        <f aca="false">Y728-W728</f>
        <v>2692.78</v>
      </c>
      <c r="AA728" s="8" t="n">
        <f aca="false">IF(Y728=0,0,Z728/Y728)</f>
        <v>0.33359514370664</v>
      </c>
      <c r="AB728" s="3" t="str">
        <f aca="false">IF(ABS(V728-Y728)&gt;1,"Mismatch","OK")</f>
        <v>OK</v>
      </c>
      <c r="AC728" s="3" t="str">
        <f aca="false">IF(ABS(X728-Z728)&gt;1,"Mismatch","OK")</f>
        <v>OK</v>
      </c>
      <c r="AD728" s="5" t="n">
        <f aca="false">IF(OR(B728="",C728=""),"",C728-B728)</f>
        <v>6</v>
      </c>
      <c r="AE728" s="3" t="str">
        <f aca="false">IF(AD728="","Unknown",IF(AD728&lt;0,"Invalid - Ship Before Order","OK"))</f>
        <v>OK</v>
      </c>
      <c r="AF728" s="5" t="n">
        <f aca="false">IF(B728="","",MONTH(B728))</f>
        <v>1</v>
      </c>
      <c r="AG728" s="5" t="n">
        <f aca="false">IF(B728="","",YEAR(B728))</f>
        <v>2024</v>
      </c>
      <c r="AH728" s="3" t="s">
        <v>138</v>
      </c>
      <c r="AI728" s="3" t="s">
        <v>130</v>
      </c>
      <c r="AJ728" s="3" t="str">
        <f aca="false">IF(AND(AI728="Completed",AH728="Failed"),"Inconsistent - Completed Order with Failed Payment","OK")</f>
        <v>OK</v>
      </c>
      <c r="AK728" s="3" t="s">
        <v>54</v>
      </c>
      <c r="AL728" s="3" t="str">
        <f aca="false">IF(OR(T728="Negative - Invalid",T728="Above Allowed Range - Invalid",AE728="Invalid - Ship Before Order",AK728&lt;&gt;"Unique",AB728="Mismatch",AC728="Mismatch",AJ728&lt;&gt;"OK"),"Invalid",IF(OR(H728="Yes",O728="Yes",T728="Missing"),"Warning","Clean"))</f>
        <v>Clean</v>
      </c>
    </row>
    <row r="729" customFormat="false" ht="15" hidden="false" customHeight="true" outlineLevel="0" collapsed="false">
      <c r="A729" s="3" t="s">
        <v>2306</v>
      </c>
      <c r="B729" s="4" t="n">
        <v>45578</v>
      </c>
      <c r="C729" s="4" t="n">
        <v>45578</v>
      </c>
      <c r="D729" s="3" t="s">
        <v>2307</v>
      </c>
      <c r="E729" s="3" t="s">
        <v>155</v>
      </c>
      <c r="F729" s="3" t="s">
        <v>58</v>
      </c>
      <c r="G729" s="3" t="s">
        <v>59</v>
      </c>
      <c r="H729" s="3" t="s">
        <v>43</v>
      </c>
      <c r="I729" s="3" t="s">
        <v>196</v>
      </c>
      <c r="J729" s="3" t="s">
        <v>197</v>
      </c>
      <c r="K729" s="3" t="s">
        <v>99</v>
      </c>
      <c r="L729" s="3" t="s">
        <v>100</v>
      </c>
      <c r="M729" s="3" t="s">
        <v>2308</v>
      </c>
      <c r="N729" s="3" t="s">
        <v>49</v>
      </c>
      <c r="O729" s="3" t="s">
        <v>43</v>
      </c>
      <c r="P729" s="5" t="n">
        <v>8</v>
      </c>
      <c r="Q729" s="6" t="n">
        <v>3730.66</v>
      </c>
      <c r="R729" s="3" t="s">
        <v>128</v>
      </c>
      <c r="S729" s="7" t="n">
        <v>0.05</v>
      </c>
      <c r="T729" s="3" t="s">
        <v>51</v>
      </c>
      <c r="U729" s="7" t="n">
        <f aca="false">IF(T729="Valid",S729,0)</f>
        <v>0.05</v>
      </c>
      <c r="V729" s="6" t="n">
        <v>28353.02</v>
      </c>
      <c r="W729" s="6" t="n">
        <v>19257.85</v>
      </c>
      <c r="X729" s="6" t="n">
        <v>9095.17</v>
      </c>
      <c r="Y729" s="6" t="n">
        <f aca="false">P729*Q729*(1-U729)</f>
        <v>28353.016</v>
      </c>
      <c r="Z729" s="6" t="n">
        <f aca="false">Y729-W729</f>
        <v>9095.166</v>
      </c>
      <c r="AA729" s="8" t="n">
        <f aca="false">IF(Y729=0,0,Z729/Y729)</f>
        <v>0.320783016522828</v>
      </c>
      <c r="AB729" s="3" t="str">
        <f aca="false">IF(ABS(V729-Y729)&gt;1,"Mismatch","OK")</f>
        <v>OK</v>
      </c>
      <c r="AC729" s="3" t="str">
        <f aca="false">IF(ABS(X729-Z729)&gt;1,"Mismatch","OK")</f>
        <v>OK</v>
      </c>
      <c r="AD729" s="5" t="n">
        <f aca="false">IF(OR(B729="",C729=""),"",C729-B729)</f>
        <v>0</v>
      </c>
      <c r="AE729" s="3" t="str">
        <f aca="false">IF(AD729="","Unknown",IF(AD729&lt;0,"Invalid - Ship Before Order","OK"))</f>
        <v>OK</v>
      </c>
      <c r="AF729" s="5" t="n">
        <f aca="false">IF(B729="","",MONTH(B729))</f>
        <v>10</v>
      </c>
      <c r="AG729" s="5" t="n">
        <f aca="false">IF(B729="","",YEAR(B729))</f>
        <v>2024</v>
      </c>
      <c r="AH729" s="3" t="s">
        <v>52</v>
      </c>
      <c r="AI729" s="3" t="s">
        <v>53</v>
      </c>
      <c r="AJ729" s="3" t="str">
        <f aca="false">IF(AND(AI729="Completed",AH729="Failed"),"Inconsistent - Completed Order with Failed Payment","OK")</f>
        <v>OK</v>
      </c>
      <c r="AK729" s="3" t="s">
        <v>54</v>
      </c>
      <c r="AL729" s="3" t="str">
        <f aca="false">IF(OR(T729="Negative - Invalid",T729="Above Allowed Range - Invalid",AE729="Invalid - Ship Before Order",AK729&lt;&gt;"Unique",AB729="Mismatch",AC729="Mismatch",AJ729&lt;&gt;"OK"),"Invalid",IF(OR(H729="Yes",O729="Yes",T729="Missing"),"Warning","Clean"))</f>
        <v>Clean</v>
      </c>
    </row>
    <row r="730" customFormat="false" ht="15" hidden="false" customHeight="true" outlineLevel="0" collapsed="false">
      <c r="A730" s="3" t="s">
        <v>2309</v>
      </c>
      <c r="B730" s="4" t="n">
        <v>45295</v>
      </c>
      <c r="C730" s="4" t="n">
        <v>45298</v>
      </c>
      <c r="D730" s="3" t="s">
        <v>2310</v>
      </c>
      <c r="E730" s="3" t="s">
        <v>159</v>
      </c>
      <c r="F730" s="3" t="s">
        <v>58</v>
      </c>
      <c r="G730" s="3" t="s">
        <v>78</v>
      </c>
      <c r="H730" s="3" t="s">
        <v>43</v>
      </c>
      <c r="I730" s="3" t="s">
        <v>206</v>
      </c>
      <c r="J730" s="3" t="s">
        <v>207</v>
      </c>
      <c r="K730" s="3" t="s">
        <v>99</v>
      </c>
      <c r="L730" s="3" t="s">
        <v>308</v>
      </c>
      <c r="M730" s="3" t="s">
        <v>2311</v>
      </c>
      <c r="N730" s="3" t="s">
        <v>72</v>
      </c>
      <c r="O730" s="3" t="s">
        <v>43</v>
      </c>
      <c r="P730" s="5" t="n">
        <v>1</v>
      </c>
      <c r="Q730" s="6" t="n">
        <v>2363.02</v>
      </c>
      <c r="R730" s="3" t="s">
        <v>107</v>
      </c>
      <c r="S730" s="7" t="n">
        <v>0.15</v>
      </c>
      <c r="T730" s="3" t="s">
        <v>51</v>
      </c>
      <c r="U730" s="7" t="n">
        <f aca="false">IF(T730="Valid",S730,0)</f>
        <v>0.15</v>
      </c>
      <c r="V730" s="6" t="n">
        <v>2008.57</v>
      </c>
      <c r="W730" s="6" t="n">
        <v>1194.83</v>
      </c>
      <c r="X730" s="6" t="n">
        <v>813.74</v>
      </c>
      <c r="Y730" s="6" t="n">
        <f aca="false">P730*Q730*(1-U730)</f>
        <v>2008.567</v>
      </c>
      <c r="Z730" s="6" t="n">
        <f aca="false">Y730-W730</f>
        <v>813.737</v>
      </c>
      <c r="AA730" s="8" t="n">
        <f aca="false">IF(Y730=0,0,Z730/Y730)</f>
        <v>0.405133112313406</v>
      </c>
      <c r="AB730" s="3" t="str">
        <f aca="false">IF(ABS(V730-Y730)&gt;1,"Mismatch","OK")</f>
        <v>OK</v>
      </c>
      <c r="AC730" s="3" t="str">
        <f aca="false">IF(ABS(X730-Z730)&gt;1,"Mismatch","OK")</f>
        <v>OK</v>
      </c>
      <c r="AD730" s="5" t="n">
        <f aca="false">IF(OR(B730="",C730=""),"",C730-B730)</f>
        <v>3</v>
      </c>
      <c r="AE730" s="3" t="str">
        <f aca="false">IF(AD730="","Unknown",IF(AD730&lt;0,"Invalid - Ship Before Order","OK"))</f>
        <v>OK</v>
      </c>
      <c r="AF730" s="5" t="n">
        <f aca="false">IF(B730="","",MONTH(B730))</f>
        <v>1</v>
      </c>
      <c r="AG730" s="5" t="n">
        <f aca="false">IF(B730="","",YEAR(B730))</f>
        <v>2024</v>
      </c>
      <c r="AH730" s="3" t="s">
        <v>52</v>
      </c>
      <c r="AI730" s="3" t="s">
        <v>53</v>
      </c>
      <c r="AJ730" s="3" t="str">
        <f aca="false">IF(AND(AI730="Completed",AH730="Failed"),"Inconsistent - Completed Order with Failed Payment","OK")</f>
        <v>OK</v>
      </c>
      <c r="AK730" s="3" t="s">
        <v>54</v>
      </c>
      <c r="AL730" s="3" t="str">
        <f aca="false">IF(OR(T730="Negative - Invalid",T730="Above Allowed Range - Invalid",AE730="Invalid - Ship Before Order",AK730&lt;&gt;"Unique",AB730="Mismatch",AC730="Mismatch",AJ730&lt;&gt;"OK"),"Invalid",IF(OR(H730="Yes",O730="Yes",T730="Missing"),"Warning","Clean"))</f>
        <v>Clean</v>
      </c>
    </row>
    <row r="731" customFormat="false" ht="15" hidden="false" customHeight="true" outlineLevel="0" collapsed="false">
      <c r="A731" s="3" t="s">
        <v>2312</v>
      </c>
      <c r="B731" s="4" t="n">
        <v>45794</v>
      </c>
      <c r="C731" s="4" t="n">
        <v>45802</v>
      </c>
      <c r="D731" s="3" t="s">
        <v>2313</v>
      </c>
      <c r="E731" s="3" t="s">
        <v>87</v>
      </c>
      <c r="F731" s="3" t="s">
        <v>116</v>
      </c>
      <c r="G731" s="3" t="s">
        <v>78</v>
      </c>
      <c r="H731" s="3" t="s">
        <v>43</v>
      </c>
      <c r="I731" s="3" t="s">
        <v>281</v>
      </c>
      <c r="J731" s="3" t="s">
        <v>282</v>
      </c>
      <c r="K731" s="3" t="s">
        <v>99</v>
      </c>
      <c r="L731" s="3" t="s">
        <v>308</v>
      </c>
      <c r="M731" s="3" t="s">
        <v>2314</v>
      </c>
      <c r="N731" s="3" t="s">
        <v>65</v>
      </c>
      <c r="O731" s="3" t="s">
        <v>43</v>
      </c>
      <c r="P731" s="5" t="n">
        <v>6</v>
      </c>
      <c r="Q731" s="6" t="n">
        <v>1810.63</v>
      </c>
      <c r="R731" s="3" t="s">
        <v>107</v>
      </c>
      <c r="S731" s="7" t="n">
        <v>0.15</v>
      </c>
      <c r="T731" s="3" t="s">
        <v>51</v>
      </c>
      <c r="U731" s="7" t="n">
        <f aca="false">IF(T731="Valid",S731,0)</f>
        <v>0.15</v>
      </c>
      <c r="V731" s="6" t="n">
        <v>9234.21</v>
      </c>
      <c r="W731" s="6" t="n">
        <v>5516.52</v>
      </c>
      <c r="X731" s="6" t="n">
        <v>3717.69</v>
      </c>
      <c r="Y731" s="6" t="n">
        <f aca="false">P731*Q731*(1-U731)</f>
        <v>9234.213</v>
      </c>
      <c r="Z731" s="6" t="n">
        <f aca="false">Y731-W731</f>
        <v>3717.693</v>
      </c>
      <c r="AA731" s="8" t="n">
        <f aca="false">IF(Y731=0,0,Z731/Y731)</f>
        <v>0.402599875051615</v>
      </c>
      <c r="AB731" s="3" t="str">
        <f aca="false">IF(ABS(V731-Y731)&gt;1,"Mismatch","OK")</f>
        <v>OK</v>
      </c>
      <c r="AC731" s="3" t="str">
        <f aca="false">IF(ABS(X731-Z731)&gt;1,"Mismatch","OK")</f>
        <v>OK</v>
      </c>
      <c r="AD731" s="5" t="n">
        <f aca="false">IF(OR(B731="",C731=""),"",C731-B731)</f>
        <v>8</v>
      </c>
      <c r="AE731" s="3" t="str">
        <f aca="false">IF(AD731="","Unknown",IF(AD731&lt;0,"Invalid - Ship Before Order","OK"))</f>
        <v>OK</v>
      </c>
      <c r="AF731" s="5" t="n">
        <f aca="false">IF(B731="","",MONTH(B731))</f>
        <v>5</v>
      </c>
      <c r="AG731" s="5" t="n">
        <f aca="false">IF(B731="","",YEAR(B731))</f>
        <v>2025</v>
      </c>
      <c r="AH731" s="3" t="s">
        <v>52</v>
      </c>
      <c r="AI731" s="3" t="s">
        <v>53</v>
      </c>
      <c r="AJ731" s="3" t="str">
        <f aca="false">IF(AND(AI731="Completed",AH731="Failed"),"Inconsistent - Completed Order with Failed Payment","OK")</f>
        <v>OK</v>
      </c>
      <c r="AK731" s="3" t="s">
        <v>54</v>
      </c>
      <c r="AL731" s="3" t="str">
        <f aca="false">IF(OR(T731="Negative - Invalid",T731="Above Allowed Range - Invalid",AE731="Invalid - Ship Before Order",AK731&lt;&gt;"Unique",AB731="Mismatch",AC731="Mismatch",AJ731&lt;&gt;"OK"),"Invalid",IF(OR(H731="Yes",O731="Yes",T731="Missing"),"Warning","Clean"))</f>
        <v>Clean</v>
      </c>
    </row>
    <row r="732" customFormat="false" ht="15" hidden="false" customHeight="true" outlineLevel="0" collapsed="false">
      <c r="A732" s="3" t="s">
        <v>2315</v>
      </c>
      <c r="B732" s="4" t="n">
        <v>45827</v>
      </c>
      <c r="C732" s="4" t="n">
        <v>45832</v>
      </c>
      <c r="D732" s="3" t="s">
        <v>2316</v>
      </c>
      <c r="E732" s="3" t="s">
        <v>77</v>
      </c>
      <c r="F732" s="3" t="s">
        <v>41</v>
      </c>
      <c r="G732" s="3" t="s">
        <v>59</v>
      </c>
      <c r="H732" s="3" t="s">
        <v>43</v>
      </c>
      <c r="I732" s="3" t="s">
        <v>125</v>
      </c>
      <c r="J732" s="3" t="s">
        <v>126</v>
      </c>
      <c r="K732" s="3" t="s">
        <v>46</v>
      </c>
      <c r="L732" s="3" t="s">
        <v>70</v>
      </c>
      <c r="M732" s="3" t="s">
        <v>2317</v>
      </c>
      <c r="N732" s="3" t="s">
        <v>49</v>
      </c>
      <c r="O732" s="3" t="s">
        <v>43</v>
      </c>
      <c r="P732" s="5" t="n">
        <v>4</v>
      </c>
      <c r="Q732" s="6" t="n">
        <v>782.01</v>
      </c>
      <c r="R732" s="3" t="s">
        <v>107</v>
      </c>
      <c r="S732" s="7" t="n">
        <v>0.15</v>
      </c>
      <c r="T732" s="3" t="s">
        <v>51</v>
      </c>
      <c r="U732" s="7" t="n">
        <f aca="false">IF(T732="Valid",S732,0)</f>
        <v>0.15</v>
      </c>
      <c r="V732" s="6" t="n">
        <v>2658.83</v>
      </c>
      <c r="W732" s="6" t="n">
        <v>2226.97</v>
      </c>
      <c r="X732" s="6" t="n">
        <v>431.86</v>
      </c>
      <c r="Y732" s="6" t="n">
        <f aca="false">P732*Q732*(1-U732)</f>
        <v>2658.834</v>
      </c>
      <c r="Z732" s="6" t="n">
        <f aca="false">Y732-W732</f>
        <v>431.864</v>
      </c>
      <c r="AA732" s="8" t="n">
        <f aca="false">IF(Y732=0,0,Z732/Y732)</f>
        <v>0.162426086021166</v>
      </c>
      <c r="AB732" s="3" t="str">
        <f aca="false">IF(ABS(V732-Y732)&gt;1,"Mismatch","OK")</f>
        <v>OK</v>
      </c>
      <c r="AC732" s="3" t="str">
        <f aca="false">IF(ABS(X732-Z732)&gt;1,"Mismatch","OK")</f>
        <v>OK</v>
      </c>
      <c r="AD732" s="5" t="n">
        <f aca="false">IF(OR(B732="",C732=""),"",C732-B732)</f>
        <v>5</v>
      </c>
      <c r="AE732" s="3" t="str">
        <f aca="false">IF(AD732="","Unknown",IF(AD732&lt;0,"Invalid - Ship Before Order","OK"))</f>
        <v>OK</v>
      </c>
      <c r="AF732" s="5" t="n">
        <f aca="false">IF(B732="","",MONTH(B732))</f>
        <v>6</v>
      </c>
      <c r="AG732" s="5" t="n">
        <f aca="false">IF(B732="","",YEAR(B732))</f>
        <v>2025</v>
      </c>
      <c r="AH732" s="3" t="s">
        <v>129</v>
      </c>
      <c r="AI732" s="3" t="s">
        <v>130</v>
      </c>
      <c r="AJ732" s="3" t="str">
        <f aca="false">IF(AND(AI732="Completed",AH732="Failed"),"Inconsistent - Completed Order with Failed Payment","OK")</f>
        <v>OK</v>
      </c>
      <c r="AK732" s="3" t="s">
        <v>54</v>
      </c>
      <c r="AL732" s="3" t="str">
        <f aca="false">IF(OR(T732="Negative - Invalid",T732="Above Allowed Range - Invalid",AE732="Invalid - Ship Before Order",AK732&lt;&gt;"Unique",AB732="Mismatch",AC732="Mismatch",AJ732&lt;&gt;"OK"),"Invalid",IF(OR(H732="Yes",O732="Yes",T732="Missing"),"Warning","Clean"))</f>
        <v>Clean</v>
      </c>
    </row>
    <row r="733" customFormat="false" ht="15" hidden="false" customHeight="true" outlineLevel="0" collapsed="false">
      <c r="A733" s="3" t="s">
        <v>2318</v>
      </c>
      <c r="B733" s="4" t="n">
        <v>45368</v>
      </c>
      <c r="C733" s="4" t="n">
        <v>45370</v>
      </c>
      <c r="D733" s="3" t="s">
        <v>2319</v>
      </c>
      <c r="E733" s="3" t="s">
        <v>87</v>
      </c>
      <c r="F733" s="3" t="s">
        <v>116</v>
      </c>
      <c r="G733" s="3" t="s">
        <v>59</v>
      </c>
      <c r="H733" s="3" t="s">
        <v>43</v>
      </c>
      <c r="I733" s="3" t="s">
        <v>60</v>
      </c>
      <c r="J733" s="3" t="s">
        <v>61</v>
      </c>
      <c r="K733" s="3" t="s">
        <v>46</v>
      </c>
      <c r="L733" s="3" t="s">
        <v>183</v>
      </c>
      <c r="M733" s="3" t="s">
        <v>2320</v>
      </c>
      <c r="N733" s="3" t="s">
        <v>72</v>
      </c>
      <c r="O733" s="3" t="s">
        <v>43</v>
      </c>
      <c r="P733" s="5" t="n">
        <v>4</v>
      </c>
      <c r="Q733" s="6" t="n">
        <v>4376.68</v>
      </c>
      <c r="R733" s="3" t="s">
        <v>203</v>
      </c>
      <c r="S733" s="7" t="n">
        <v>0.1</v>
      </c>
      <c r="T733" s="3" t="s">
        <v>51</v>
      </c>
      <c r="U733" s="7" t="n">
        <f aca="false">IF(T733="Valid",S733,0)</f>
        <v>0.1</v>
      </c>
      <c r="V733" s="6" t="n">
        <v>15756.05</v>
      </c>
      <c r="W733" s="6" t="n">
        <v>10245.44</v>
      </c>
      <c r="X733" s="6" t="n">
        <v>5510.61</v>
      </c>
      <c r="Y733" s="6" t="n">
        <f aca="false">P733*Q733*(1-U733)</f>
        <v>15756.048</v>
      </c>
      <c r="Z733" s="6" t="n">
        <f aca="false">Y733-W733</f>
        <v>5510.608</v>
      </c>
      <c r="AA733" s="8" t="n">
        <f aca="false">IF(Y733=0,0,Z733/Y733)</f>
        <v>0.349745570716718</v>
      </c>
      <c r="AB733" s="3" t="str">
        <f aca="false">IF(ABS(V733-Y733)&gt;1,"Mismatch","OK")</f>
        <v>OK</v>
      </c>
      <c r="AC733" s="3" t="str">
        <f aca="false">IF(ABS(X733-Z733)&gt;1,"Mismatch","OK")</f>
        <v>OK</v>
      </c>
      <c r="AD733" s="5" t="n">
        <f aca="false">IF(OR(B733="",C733=""),"",C733-B733)</f>
        <v>2</v>
      </c>
      <c r="AE733" s="3" t="str">
        <f aca="false">IF(AD733="","Unknown",IF(AD733&lt;0,"Invalid - Ship Before Order","OK"))</f>
        <v>OK</v>
      </c>
      <c r="AF733" s="5" t="n">
        <f aca="false">IF(B733="","",MONTH(B733))</f>
        <v>3</v>
      </c>
      <c r="AG733" s="5" t="n">
        <f aca="false">IF(B733="","",YEAR(B733))</f>
        <v>2024</v>
      </c>
      <c r="AH733" s="3" t="s">
        <v>52</v>
      </c>
      <c r="AI733" s="3" t="s">
        <v>53</v>
      </c>
      <c r="AJ733" s="3" t="str">
        <f aca="false">IF(AND(AI733="Completed",AH733="Failed"),"Inconsistent - Completed Order with Failed Payment","OK")</f>
        <v>OK</v>
      </c>
      <c r="AK733" s="3" t="s">
        <v>54</v>
      </c>
      <c r="AL733" s="3" t="str">
        <f aca="false">IF(OR(T733="Negative - Invalid",T733="Above Allowed Range - Invalid",AE733="Invalid - Ship Before Order",AK733&lt;&gt;"Unique",AB733="Mismatch",AC733="Mismatch",AJ733&lt;&gt;"OK"),"Invalid",IF(OR(H733="Yes",O733="Yes",T733="Missing"),"Warning","Clean"))</f>
        <v>Clean</v>
      </c>
    </row>
    <row r="734" customFormat="false" ht="15" hidden="false" customHeight="true" outlineLevel="0" collapsed="false">
      <c r="A734" s="3" t="s">
        <v>2321</v>
      </c>
      <c r="B734" s="4" t="n">
        <v>45624</v>
      </c>
      <c r="C734" s="4" t="n">
        <v>45632</v>
      </c>
      <c r="D734" s="3" t="s">
        <v>2322</v>
      </c>
      <c r="E734" s="3" t="s">
        <v>77</v>
      </c>
      <c r="F734" s="3" t="s">
        <v>58</v>
      </c>
      <c r="G734" s="3" t="s">
        <v>42</v>
      </c>
      <c r="H734" s="3" t="s">
        <v>43</v>
      </c>
      <c r="I734" s="3" t="s">
        <v>149</v>
      </c>
      <c r="J734" s="3" t="s">
        <v>150</v>
      </c>
      <c r="K734" s="3" t="s">
        <v>99</v>
      </c>
      <c r="L734" s="3" t="s">
        <v>201</v>
      </c>
      <c r="M734" s="3" t="s">
        <v>2323</v>
      </c>
      <c r="N734" s="3" t="s">
        <v>83</v>
      </c>
      <c r="O734" s="3" t="s">
        <v>43</v>
      </c>
      <c r="P734" s="5" t="n">
        <v>6</v>
      </c>
      <c r="Q734" s="6" t="n">
        <v>2464.63</v>
      </c>
      <c r="R734" s="3" t="s">
        <v>66</v>
      </c>
      <c r="S734" s="7" t="n">
        <v>0</v>
      </c>
      <c r="T734" s="3" t="s">
        <v>51</v>
      </c>
      <c r="U734" s="7" t="n">
        <f aca="false">IF(T734="Valid",S734,0)</f>
        <v>0</v>
      </c>
      <c r="V734" s="6" t="n">
        <v>14787.78</v>
      </c>
      <c r="W734" s="6" t="n">
        <v>8596.65</v>
      </c>
      <c r="X734" s="6" t="n">
        <v>6191.13</v>
      </c>
      <c r="Y734" s="6" t="n">
        <f aca="false">P734*Q734*(1-U734)</f>
        <v>14787.78</v>
      </c>
      <c r="Z734" s="6" t="n">
        <f aca="false">Y734-W734</f>
        <v>6191.13</v>
      </c>
      <c r="AA734" s="8" t="n">
        <f aca="false">IF(Y734=0,0,Z734/Y734)</f>
        <v>0.41866527632951</v>
      </c>
      <c r="AB734" s="3" t="str">
        <f aca="false">IF(ABS(V734-Y734)&gt;1,"Mismatch","OK")</f>
        <v>OK</v>
      </c>
      <c r="AC734" s="3" t="str">
        <f aca="false">IF(ABS(X734-Z734)&gt;1,"Mismatch","OK")</f>
        <v>OK</v>
      </c>
      <c r="AD734" s="5" t="n">
        <f aca="false">IF(OR(B734="",C734=""),"",C734-B734)</f>
        <v>8</v>
      </c>
      <c r="AE734" s="3" t="str">
        <f aca="false">IF(AD734="","Unknown",IF(AD734&lt;0,"Invalid - Ship Before Order","OK"))</f>
        <v>OK</v>
      </c>
      <c r="AF734" s="5" t="n">
        <f aca="false">IF(B734="","",MONTH(B734))</f>
        <v>11</v>
      </c>
      <c r="AG734" s="5" t="n">
        <f aca="false">IF(B734="","",YEAR(B734))</f>
        <v>2024</v>
      </c>
      <c r="AH734" s="3" t="s">
        <v>52</v>
      </c>
      <c r="AI734" s="3" t="s">
        <v>53</v>
      </c>
      <c r="AJ734" s="3" t="str">
        <f aca="false">IF(AND(AI734="Completed",AH734="Failed"),"Inconsistent - Completed Order with Failed Payment","OK")</f>
        <v>OK</v>
      </c>
      <c r="AK734" s="3" t="s">
        <v>54</v>
      </c>
      <c r="AL734" s="3" t="str">
        <f aca="false">IF(OR(T734="Negative - Invalid",T734="Above Allowed Range - Invalid",AE734="Invalid - Ship Before Order",AK734&lt;&gt;"Unique",AB734="Mismatch",AC734="Mismatch",AJ734&lt;&gt;"OK"),"Invalid",IF(OR(H734="Yes",O734="Yes",T734="Missing"),"Warning","Clean"))</f>
        <v>Clean</v>
      </c>
    </row>
    <row r="735" customFormat="false" ht="15" hidden="false" customHeight="true" outlineLevel="0" collapsed="false">
      <c r="A735" s="3" t="s">
        <v>2324</v>
      </c>
      <c r="B735" s="4" t="n">
        <v>45464</v>
      </c>
      <c r="C735" s="4" t="n">
        <v>45471</v>
      </c>
      <c r="D735" s="3" t="s">
        <v>2325</v>
      </c>
      <c r="E735" s="3" t="s">
        <v>155</v>
      </c>
      <c r="F735" s="3" t="s">
        <v>121</v>
      </c>
      <c r="G735" s="3" t="s">
        <v>42</v>
      </c>
      <c r="H735" s="3" t="s">
        <v>43</v>
      </c>
      <c r="I735" s="3" t="s">
        <v>44</v>
      </c>
      <c r="J735" s="3" t="s">
        <v>45</v>
      </c>
      <c r="K735" s="3" t="s">
        <v>62</v>
      </c>
      <c r="L735" s="3" t="s">
        <v>81</v>
      </c>
      <c r="M735" s="3" t="s">
        <v>2326</v>
      </c>
      <c r="N735" s="3" t="s">
        <v>72</v>
      </c>
      <c r="O735" s="3" t="s">
        <v>43</v>
      </c>
      <c r="P735" s="5" t="n">
        <v>9</v>
      </c>
      <c r="Q735" s="6" t="n">
        <v>2797.96</v>
      </c>
      <c r="R735" s="3" t="s">
        <v>66</v>
      </c>
      <c r="S735" s="7" t="n">
        <v>0</v>
      </c>
      <c r="T735" s="3" t="s">
        <v>51</v>
      </c>
      <c r="U735" s="7" t="n">
        <f aca="false">IF(T735="Valid",S735,0)</f>
        <v>0</v>
      </c>
      <c r="V735" s="6" t="n">
        <v>25181.64</v>
      </c>
      <c r="W735" s="6" t="n">
        <v>15337.9</v>
      </c>
      <c r="X735" s="6" t="n">
        <v>9843.74</v>
      </c>
      <c r="Y735" s="6" t="n">
        <f aca="false">P735*Q735*(1-U735)</f>
        <v>25181.64</v>
      </c>
      <c r="Z735" s="6" t="n">
        <f aca="false">Y735-W735</f>
        <v>9843.74</v>
      </c>
      <c r="AA735" s="8" t="n">
        <f aca="false">IF(Y735=0,0,Z735/Y735)</f>
        <v>0.39090940860087</v>
      </c>
      <c r="AB735" s="3" t="str">
        <f aca="false">IF(ABS(V735-Y735)&gt;1,"Mismatch","OK")</f>
        <v>OK</v>
      </c>
      <c r="AC735" s="3" t="str">
        <f aca="false">IF(ABS(X735-Z735)&gt;1,"Mismatch","OK")</f>
        <v>OK</v>
      </c>
      <c r="AD735" s="5" t="n">
        <f aca="false">IF(OR(B735="",C735=""),"",C735-B735)</f>
        <v>7</v>
      </c>
      <c r="AE735" s="3" t="str">
        <f aca="false">IF(AD735="","Unknown",IF(AD735&lt;0,"Invalid - Ship Before Order","OK"))</f>
        <v>OK</v>
      </c>
      <c r="AF735" s="5" t="n">
        <f aca="false">IF(B735="","",MONTH(B735))</f>
        <v>6</v>
      </c>
      <c r="AG735" s="5" t="n">
        <f aca="false">IF(B735="","",YEAR(B735))</f>
        <v>2024</v>
      </c>
      <c r="AH735" s="3" t="s">
        <v>52</v>
      </c>
      <c r="AI735" s="3" t="s">
        <v>53</v>
      </c>
      <c r="AJ735" s="3" t="str">
        <f aca="false">IF(AND(AI735="Completed",AH735="Failed"),"Inconsistent - Completed Order with Failed Payment","OK")</f>
        <v>OK</v>
      </c>
      <c r="AK735" s="3" t="s">
        <v>54</v>
      </c>
      <c r="AL735" s="3" t="str">
        <f aca="false">IF(OR(T735="Negative - Invalid",T735="Above Allowed Range - Invalid",AE735="Invalid - Ship Before Order",AK735&lt;&gt;"Unique",AB735="Mismatch",AC735="Mismatch",AJ735&lt;&gt;"OK"),"Invalid",IF(OR(H735="Yes",O735="Yes",T735="Missing"),"Warning","Clean"))</f>
        <v>Clean</v>
      </c>
    </row>
    <row r="736" customFormat="false" ht="15" hidden="false" customHeight="true" outlineLevel="0" collapsed="false">
      <c r="A736" s="3" t="s">
        <v>2327</v>
      </c>
      <c r="B736" s="4" t="n">
        <v>45528</v>
      </c>
      <c r="C736" s="4" t="n">
        <v>45528</v>
      </c>
      <c r="D736" s="3" t="s">
        <v>2328</v>
      </c>
      <c r="E736" s="3" t="s">
        <v>87</v>
      </c>
      <c r="F736" s="3" t="s">
        <v>58</v>
      </c>
      <c r="G736" s="3" t="s">
        <v>42</v>
      </c>
      <c r="H736" s="3" t="s">
        <v>43</v>
      </c>
      <c r="I736" s="3" t="s">
        <v>44</v>
      </c>
      <c r="J736" s="3" t="s">
        <v>45</v>
      </c>
      <c r="K736" s="3" t="s">
        <v>99</v>
      </c>
      <c r="L736" s="3" t="s">
        <v>100</v>
      </c>
      <c r="M736" s="3" t="s">
        <v>2329</v>
      </c>
      <c r="N736" s="3" t="s">
        <v>72</v>
      </c>
      <c r="O736" s="3" t="s">
        <v>43</v>
      </c>
      <c r="P736" s="5" t="n">
        <v>4</v>
      </c>
      <c r="Q736" s="6" t="n">
        <v>2761.86</v>
      </c>
      <c r="R736" s="3" t="s">
        <v>50</v>
      </c>
      <c r="S736" s="7" t="n">
        <v>0.2</v>
      </c>
      <c r="T736" s="3" t="s">
        <v>51</v>
      </c>
      <c r="U736" s="7" t="n">
        <f aca="false">IF(T736="Valid",S736,0)</f>
        <v>0.2</v>
      </c>
      <c r="V736" s="6" t="n">
        <v>8837.95</v>
      </c>
      <c r="W736" s="6" t="n">
        <v>6157.27</v>
      </c>
      <c r="X736" s="6" t="n">
        <v>2680.68</v>
      </c>
      <c r="Y736" s="6" t="n">
        <f aca="false">P736*Q736*(1-U736)</f>
        <v>8837.952</v>
      </c>
      <c r="Z736" s="6" t="n">
        <f aca="false">Y736-W736</f>
        <v>2680.682</v>
      </c>
      <c r="AA736" s="8" t="n">
        <f aca="false">IF(Y736=0,0,Z736/Y736)</f>
        <v>0.303314840361206</v>
      </c>
      <c r="AB736" s="3" t="str">
        <f aca="false">IF(ABS(V736-Y736)&gt;1,"Mismatch","OK")</f>
        <v>OK</v>
      </c>
      <c r="AC736" s="3" t="str">
        <f aca="false">IF(ABS(X736-Z736)&gt;1,"Mismatch","OK")</f>
        <v>OK</v>
      </c>
      <c r="AD736" s="5" t="n">
        <f aca="false">IF(OR(B736="",C736=""),"",C736-B736)</f>
        <v>0</v>
      </c>
      <c r="AE736" s="3" t="str">
        <f aca="false">IF(AD736="","Unknown",IF(AD736&lt;0,"Invalid - Ship Before Order","OK"))</f>
        <v>OK</v>
      </c>
      <c r="AF736" s="5" t="n">
        <f aca="false">IF(B736="","",MONTH(B736))</f>
        <v>8</v>
      </c>
      <c r="AG736" s="5" t="n">
        <f aca="false">IF(B736="","",YEAR(B736))</f>
        <v>2024</v>
      </c>
      <c r="AH736" s="3" t="s">
        <v>52</v>
      </c>
      <c r="AI736" s="3" t="s">
        <v>53</v>
      </c>
      <c r="AJ736" s="3" t="str">
        <f aca="false">IF(AND(AI736="Completed",AH736="Failed"),"Inconsistent - Completed Order with Failed Payment","OK")</f>
        <v>OK</v>
      </c>
      <c r="AK736" s="3" t="s">
        <v>54</v>
      </c>
      <c r="AL736" s="3" t="str">
        <f aca="false">IF(OR(T736="Negative - Invalid",T736="Above Allowed Range - Invalid",AE736="Invalid - Ship Before Order",AK736&lt;&gt;"Unique",AB736="Mismatch",AC736="Mismatch",AJ736&lt;&gt;"OK"),"Invalid",IF(OR(H736="Yes",O736="Yes",T736="Missing"),"Warning","Clean"))</f>
        <v>Clean</v>
      </c>
    </row>
    <row r="737" customFormat="false" ht="15" hidden="false" customHeight="true" outlineLevel="0" collapsed="false">
      <c r="A737" s="3" t="s">
        <v>2330</v>
      </c>
      <c r="B737" s="4" t="n">
        <v>45515</v>
      </c>
      <c r="C737" s="4" t="n">
        <v>45523</v>
      </c>
      <c r="D737" s="3" t="s">
        <v>2331</v>
      </c>
      <c r="E737" s="3" t="s">
        <v>57</v>
      </c>
      <c r="F737" s="3" t="s">
        <v>41</v>
      </c>
      <c r="G737" s="3" t="s">
        <v>88</v>
      </c>
      <c r="H737" s="3" t="s">
        <v>43</v>
      </c>
      <c r="I737" s="3" t="s">
        <v>89</v>
      </c>
      <c r="J737" s="3" t="s">
        <v>90</v>
      </c>
      <c r="K737" s="3" t="s">
        <v>62</v>
      </c>
      <c r="L737" s="3" t="s">
        <v>63</v>
      </c>
      <c r="M737" s="3" t="s">
        <v>2332</v>
      </c>
      <c r="N737" s="3" t="s">
        <v>83</v>
      </c>
      <c r="O737" s="3" t="s">
        <v>43</v>
      </c>
      <c r="P737" s="5" t="n">
        <v>6</v>
      </c>
      <c r="Q737" s="6" t="n">
        <v>1515.79</v>
      </c>
      <c r="R737" s="3" t="s">
        <v>50</v>
      </c>
      <c r="S737" s="7" t="n">
        <v>0.2</v>
      </c>
      <c r="T737" s="3" t="s">
        <v>51</v>
      </c>
      <c r="U737" s="7" t="n">
        <f aca="false">IF(T737="Valid",S737,0)</f>
        <v>0.2</v>
      </c>
      <c r="V737" s="6" t="n">
        <v>7275.79</v>
      </c>
      <c r="W737" s="6" t="n">
        <v>6152.87</v>
      </c>
      <c r="X737" s="6" t="n">
        <v>1122.92</v>
      </c>
      <c r="Y737" s="6" t="n">
        <f aca="false">P737*Q737*(1-U737)</f>
        <v>7275.792</v>
      </c>
      <c r="Z737" s="6" t="n">
        <f aca="false">Y737-W737</f>
        <v>1122.922</v>
      </c>
      <c r="AA737" s="8" t="n">
        <f aca="false">IF(Y737=0,0,Z737/Y737)</f>
        <v>0.154336737498818</v>
      </c>
      <c r="AB737" s="3" t="str">
        <f aca="false">IF(ABS(V737-Y737)&gt;1,"Mismatch","OK")</f>
        <v>OK</v>
      </c>
      <c r="AC737" s="3" t="str">
        <f aca="false">IF(ABS(X737-Z737)&gt;1,"Mismatch","OK")</f>
        <v>OK</v>
      </c>
      <c r="AD737" s="5" t="n">
        <f aca="false">IF(OR(B737="",C737=""),"",C737-B737)</f>
        <v>8</v>
      </c>
      <c r="AE737" s="3" t="str">
        <f aca="false">IF(AD737="","Unknown",IF(AD737&lt;0,"Invalid - Ship Before Order","OK"))</f>
        <v>OK</v>
      </c>
      <c r="AF737" s="5" t="n">
        <f aca="false">IF(B737="","",MONTH(B737))</f>
        <v>8</v>
      </c>
      <c r="AG737" s="5" t="n">
        <f aca="false">IF(B737="","",YEAR(B737))</f>
        <v>2024</v>
      </c>
      <c r="AH737" s="3" t="s">
        <v>52</v>
      </c>
      <c r="AI737" s="3" t="s">
        <v>53</v>
      </c>
      <c r="AJ737" s="3" t="str">
        <f aca="false">IF(AND(AI737="Completed",AH737="Failed"),"Inconsistent - Completed Order with Failed Payment","OK")</f>
        <v>OK</v>
      </c>
      <c r="AK737" s="3" t="s">
        <v>54</v>
      </c>
      <c r="AL737" s="3" t="str">
        <f aca="false">IF(OR(T737="Negative - Invalid",T737="Above Allowed Range - Invalid",AE737="Invalid - Ship Before Order",AK737&lt;&gt;"Unique",AB737="Mismatch",AC737="Mismatch",AJ737&lt;&gt;"OK"),"Invalid",IF(OR(H737="Yes",O737="Yes",T737="Missing"),"Warning","Clean"))</f>
        <v>Clean</v>
      </c>
    </row>
    <row r="738" customFormat="false" ht="15" hidden="false" customHeight="true" outlineLevel="0" collapsed="false">
      <c r="A738" s="3" t="s">
        <v>2333</v>
      </c>
      <c r="B738" s="4" t="n">
        <v>45632</v>
      </c>
      <c r="C738" s="4" t="n">
        <v>45635</v>
      </c>
      <c r="D738" s="3" t="s">
        <v>2334</v>
      </c>
      <c r="E738" s="3" t="s">
        <v>115</v>
      </c>
      <c r="F738" s="3" t="s">
        <v>41</v>
      </c>
      <c r="G738" s="3" t="s">
        <v>88</v>
      </c>
      <c r="H738" s="3" t="s">
        <v>43</v>
      </c>
      <c r="I738" s="3" t="s">
        <v>89</v>
      </c>
      <c r="J738" s="3" t="s">
        <v>90</v>
      </c>
      <c r="K738" s="3" t="s">
        <v>62</v>
      </c>
      <c r="L738" s="3" t="s">
        <v>91</v>
      </c>
      <c r="M738" s="3" t="s">
        <v>2335</v>
      </c>
      <c r="N738" s="3" t="s">
        <v>49</v>
      </c>
      <c r="O738" s="3" t="s">
        <v>43</v>
      </c>
      <c r="P738" s="5" t="n">
        <v>9</v>
      </c>
      <c r="Q738" s="6" t="n">
        <v>290.75</v>
      </c>
      <c r="R738" s="3" t="s">
        <v>203</v>
      </c>
      <c r="S738" s="7" t="n">
        <v>0.1</v>
      </c>
      <c r="T738" s="3" t="s">
        <v>51</v>
      </c>
      <c r="U738" s="7" t="n">
        <f aca="false">IF(T738="Valid",S738,0)</f>
        <v>0.1</v>
      </c>
      <c r="V738" s="6" t="n">
        <v>2355.08</v>
      </c>
      <c r="W738" s="6" t="n">
        <v>1350.03</v>
      </c>
      <c r="X738" s="6" t="n">
        <v>1005.05</v>
      </c>
      <c r="Y738" s="6" t="n">
        <f aca="false">P738*Q738*(1-U738)</f>
        <v>2355.075</v>
      </c>
      <c r="Z738" s="6" t="n">
        <f aca="false">Y738-W738</f>
        <v>1005.045</v>
      </c>
      <c r="AA738" s="8" t="n">
        <f aca="false">IF(Y738=0,0,Z738/Y738)</f>
        <v>0.42675710964619</v>
      </c>
      <c r="AB738" s="3" t="str">
        <f aca="false">IF(ABS(V738-Y738)&gt;1,"Mismatch","OK")</f>
        <v>OK</v>
      </c>
      <c r="AC738" s="3" t="str">
        <f aca="false">IF(ABS(X738-Z738)&gt;1,"Mismatch","OK")</f>
        <v>OK</v>
      </c>
      <c r="AD738" s="5" t="n">
        <f aca="false">IF(OR(B738="",C738=""),"",C738-B738)</f>
        <v>3</v>
      </c>
      <c r="AE738" s="3" t="str">
        <f aca="false">IF(AD738="","Unknown",IF(AD738&lt;0,"Invalid - Ship Before Order","OK"))</f>
        <v>OK</v>
      </c>
      <c r="AF738" s="5" t="n">
        <f aca="false">IF(B738="","",MONTH(B738))</f>
        <v>12</v>
      </c>
      <c r="AG738" s="5" t="n">
        <f aca="false">IF(B738="","",YEAR(B738))</f>
        <v>2024</v>
      </c>
      <c r="AH738" s="3" t="s">
        <v>52</v>
      </c>
      <c r="AI738" s="3" t="s">
        <v>53</v>
      </c>
      <c r="AJ738" s="3" t="str">
        <f aca="false">IF(AND(AI738="Completed",AH738="Failed"),"Inconsistent - Completed Order with Failed Payment","OK")</f>
        <v>OK</v>
      </c>
      <c r="AK738" s="3" t="s">
        <v>54</v>
      </c>
      <c r="AL738" s="3" t="str">
        <f aca="false">IF(OR(T738="Negative - Invalid",T738="Above Allowed Range - Invalid",AE738="Invalid - Ship Before Order",AK738&lt;&gt;"Unique",AB738="Mismatch",AC738="Mismatch",AJ738&lt;&gt;"OK"),"Invalid",IF(OR(H738="Yes",O738="Yes",T738="Missing"),"Warning","Clean"))</f>
        <v>Clean</v>
      </c>
    </row>
    <row r="739" customFormat="false" ht="15" hidden="false" customHeight="true" outlineLevel="0" collapsed="false">
      <c r="A739" s="3" t="s">
        <v>2336</v>
      </c>
      <c r="B739" s="4" t="n">
        <v>45332</v>
      </c>
      <c r="C739" s="4" t="n">
        <v>45332</v>
      </c>
      <c r="D739" s="3" t="s">
        <v>2337</v>
      </c>
      <c r="E739" s="3" t="s">
        <v>69</v>
      </c>
      <c r="F739" s="3" t="s">
        <v>121</v>
      </c>
      <c r="G739" s="3" t="s">
        <v>88</v>
      </c>
      <c r="H739" s="3" t="s">
        <v>43</v>
      </c>
      <c r="I739" s="3" t="s">
        <v>89</v>
      </c>
      <c r="J739" s="3" t="s">
        <v>90</v>
      </c>
      <c r="K739" s="3" t="s">
        <v>62</v>
      </c>
      <c r="L739" s="3" t="s">
        <v>91</v>
      </c>
      <c r="M739" s="3" t="s">
        <v>2338</v>
      </c>
      <c r="N739" s="3" t="s">
        <v>65</v>
      </c>
      <c r="O739" s="3" t="s">
        <v>43</v>
      </c>
      <c r="P739" s="5" t="n">
        <v>6</v>
      </c>
      <c r="Q739" s="6" t="n">
        <v>601.52</v>
      </c>
      <c r="R739" s="3" t="s">
        <v>66</v>
      </c>
      <c r="S739" s="7" t="n">
        <v>0</v>
      </c>
      <c r="T739" s="3" t="s">
        <v>51</v>
      </c>
      <c r="U739" s="7" t="n">
        <f aca="false">IF(T739="Valid",S739,0)</f>
        <v>0</v>
      </c>
      <c r="V739" s="6" t="n">
        <v>3609.12</v>
      </c>
      <c r="W739" s="6" t="n">
        <v>2645.5</v>
      </c>
      <c r="X739" s="6" t="n">
        <v>963.62</v>
      </c>
      <c r="Y739" s="6" t="n">
        <f aca="false">P739*Q739*(1-U739)</f>
        <v>3609.12</v>
      </c>
      <c r="Z739" s="6" t="n">
        <f aca="false">Y739-W739</f>
        <v>963.62</v>
      </c>
      <c r="AA739" s="8" t="n">
        <f aca="false">IF(Y739=0,0,Z739/Y739)</f>
        <v>0.266995832779182</v>
      </c>
      <c r="AB739" s="3" t="str">
        <f aca="false">IF(ABS(V739-Y739)&gt;1,"Mismatch","OK")</f>
        <v>OK</v>
      </c>
      <c r="AC739" s="3" t="str">
        <f aca="false">IF(ABS(X739-Z739)&gt;1,"Mismatch","OK")</f>
        <v>OK</v>
      </c>
      <c r="AD739" s="5" t="n">
        <f aca="false">IF(OR(B739="",C739=""),"",C739-B739)</f>
        <v>0</v>
      </c>
      <c r="AE739" s="3" t="str">
        <f aca="false">IF(AD739="","Unknown",IF(AD739&lt;0,"Invalid - Ship Before Order","OK"))</f>
        <v>OK</v>
      </c>
      <c r="AF739" s="5" t="n">
        <f aca="false">IF(B739="","",MONTH(B739))</f>
        <v>2</v>
      </c>
      <c r="AG739" s="5" t="n">
        <f aca="false">IF(B739="","",YEAR(B739))</f>
        <v>2024</v>
      </c>
      <c r="AH739" s="3" t="s">
        <v>52</v>
      </c>
      <c r="AI739" s="3" t="s">
        <v>53</v>
      </c>
      <c r="AJ739" s="3" t="str">
        <f aca="false">IF(AND(AI739="Completed",AH739="Failed"),"Inconsistent - Completed Order with Failed Payment","OK")</f>
        <v>OK</v>
      </c>
      <c r="AK739" s="3" t="s">
        <v>54</v>
      </c>
      <c r="AL739" s="3" t="str">
        <f aca="false">IF(OR(T739="Negative - Invalid",T739="Above Allowed Range - Invalid",AE739="Invalid - Ship Before Order",AK739&lt;&gt;"Unique",AB739="Mismatch",AC739="Mismatch",AJ739&lt;&gt;"OK"),"Invalid",IF(OR(H739="Yes",O739="Yes",T739="Missing"),"Warning","Clean"))</f>
        <v>Clean</v>
      </c>
    </row>
    <row r="740" customFormat="false" ht="15" hidden="false" customHeight="true" outlineLevel="0" collapsed="false">
      <c r="A740" s="3" t="s">
        <v>2339</v>
      </c>
      <c r="B740" s="4" t="n">
        <v>45708</v>
      </c>
      <c r="C740" s="4" t="n">
        <v>45710</v>
      </c>
      <c r="D740" s="3" t="s">
        <v>2340</v>
      </c>
      <c r="E740" s="3" t="s">
        <v>141</v>
      </c>
      <c r="F740" s="3" t="s">
        <v>116</v>
      </c>
      <c r="G740" s="3" t="s">
        <v>78</v>
      </c>
      <c r="H740" s="3" t="s">
        <v>43</v>
      </c>
      <c r="I740" s="3" t="s">
        <v>216</v>
      </c>
      <c r="J740" s="3" t="s">
        <v>217</v>
      </c>
      <c r="K740" s="3" t="s">
        <v>46</v>
      </c>
      <c r="L740" s="3" t="s">
        <v>47</v>
      </c>
      <c r="M740" s="3" t="s">
        <v>2341</v>
      </c>
      <c r="N740" s="3" t="s">
        <v>72</v>
      </c>
      <c r="O740" s="3" t="s">
        <v>43</v>
      </c>
      <c r="P740" s="5" t="n">
        <v>1</v>
      </c>
      <c r="Q740" s="6" t="n">
        <v>2188.19</v>
      </c>
      <c r="R740" s="3" t="s">
        <v>66</v>
      </c>
      <c r="S740" s="7" t="n">
        <v>0</v>
      </c>
      <c r="T740" s="3" t="s">
        <v>51</v>
      </c>
      <c r="U740" s="7" t="n">
        <f aca="false">IF(T740="Valid",S740,0)</f>
        <v>0</v>
      </c>
      <c r="V740" s="6" t="n">
        <v>2188.19</v>
      </c>
      <c r="W740" s="6" t="n">
        <v>1298.84</v>
      </c>
      <c r="X740" s="6" t="n">
        <v>889.35</v>
      </c>
      <c r="Y740" s="6" t="n">
        <f aca="false">P740*Q740*(1-U740)</f>
        <v>2188.19</v>
      </c>
      <c r="Z740" s="6" t="n">
        <f aca="false">Y740-W740</f>
        <v>889.35</v>
      </c>
      <c r="AA740" s="8" t="n">
        <f aca="false">IF(Y740=0,0,Z740/Y740)</f>
        <v>0.406431799798007</v>
      </c>
      <c r="AB740" s="3" t="str">
        <f aca="false">IF(ABS(V740-Y740)&gt;1,"Mismatch","OK")</f>
        <v>OK</v>
      </c>
      <c r="AC740" s="3" t="str">
        <f aca="false">IF(ABS(X740-Z740)&gt;1,"Mismatch","OK")</f>
        <v>OK</v>
      </c>
      <c r="AD740" s="5" t="n">
        <f aca="false">IF(OR(B740="",C740=""),"",C740-B740)</f>
        <v>2</v>
      </c>
      <c r="AE740" s="3" t="str">
        <f aca="false">IF(AD740="","Unknown",IF(AD740&lt;0,"Invalid - Ship Before Order","OK"))</f>
        <v>OK</v>
      </c>
      <c r="AF740" s="5" t="n">
        <f aca="false">IF(B740="","",MONTH(B740))</f>
        <v>2</v>
      </c>
      <c r="AG740" s="5" t="n">
        <f aca="false">IF(B740="","",YEAR(B740))</f>
        <v>2025</v>
      </c>
      <c r="AH740" s="3" t="s">
        <v>52</v>
      </c>
      <c r="AI740" s="3" t="s">
        <v>53</v>
      </c>
      <c r="AJ740" s="3" t="str">
        <f aca="false">IF(AND(AI740="Completed",AH740="Failed"),"Inconsistent - Completed Order with Failed Payment","OK")</f>
        <v>OK</v>
      </c>
      <c r="AK740" s="3" t="s">
        <v>54</v>
      </c>
      <c r="AL740" s="3" t="str">
        <f aca="false">IF(OR(T740="Negative - Invalid",T740="Above Allowed Range - Invalid",AE740="Invalid - Ship Before Order",AK740&lt;&gt;"Unique",AB740="Mismatch",AC740="Mismatch",AJ740&lt;&gt;"OK"),"Invalid",IF(OR(H740="Yes",O740="Yes",T740="Missing"),"Warning","Clean"))</f>
        <v>Clean</v>
      </c>
    </row>
    <row r="741" customFormat="false" ht="15" hidden="false" customHeight="true" outlineLevel="0" collapsed="false">
      <c r="A741" s="3" t="s">
        <v>2342</v>
      </c>
      <c r="B741" s="4" t="n">
        <v>45629</v>
      </c>
      <c r="C741" s="4" t="n">
        <v>45636</v>
      </c>
      <c r="D741" s="3" t="s">
        <v>2343</v>
      </c>
      <c r="E741" s="3" t="s">
        <v>104</v>
      </c>
      <c r="F741" s="3" t="s">
        <v>116</v>
      </c>
      <c r="G741" s="3" t="s">
        <v>42</v>
      </c>
      <c r="H741" s="3" t="s">
        <v>43</v>
      </c>
      <c r="I741" s="3" t="s">
        <v>44</v>
      </c>
      <c r="J741" s="3" t="s">
        <v>45</v>
      </c>
      <c r="K741" s="3" t="s">
        <v>99</v>
      </c>
      <c r="L741" s="3" t="s">
        <v>201</v>
      </c>
      <c r="M741" s="3" t="s">
        <v>2344</v>
      </c>
      <c r="N741" s="3" t="s">
        <v>83</v>
      </c>
      <c r="O741" s="3" t="s">
        <v>43</v>
      </c>
      <c r="P741" s="5" t="n">
        <v>5</v>
      </c>
      <c r="Q741" s="6" t="n">
        <v>2393.86</v>
      </c>
      <c r="R741" s="3" t="s">
        <v>128</v>
      </c>
      <c r="S741" s="7" t="n">
        <v>0.05</v>
      </c>
      <c r="T741" s="3" t="s">
        <v>51</v>
      </c>
      <c r="U741" s="7" t="n">
        <f aca="false">IF(T741="Valid",S741,0)</f>
        <v>0.05</v>
      </c>
      <c r="V741" s="6" t="n">
        <v>11370.84</v>
      </c>
      <c r="W741" s="6" t="n">
        <v>7469.58</v>
      </c>
      <c r="X741" s="6" t="n">
        <v>3901.26</v>
      </c>
      <c r="Y741" s="6" t="n">
        <f aca="false">P741*Q741*(1-U741)</f>
        <v>11370.835</v>
      </c>
      <c r="Z741" s="6" t="n">
        <f aca="false">Y741-W741</f>
        <v>3901.255</v>
      </c>
      <c r="AA741" s="8" t="n">
        <f aca="false">IF(Y741=0,0,Z741/Y741)</f>
        <v>0.343093097384669</v>
      </c>
      <c r="AB741" s="3" t="str">
        <f aca="false">IF(ABS(V741-Y741)&gt;1,"Mismatch","OK")</f>
        <v>OK</v>
      </c>
      <c r="AC741" s="3" t="str">
        <f aca="false">IF(ABS(X741-Z741)&gt;1,"Mismatch","OK")</f>
        <v>OK</v>
      </c>
      <c r="AD741" s="5" t="n">
        <f aca="false">IF(OR(B741="",C741=""),"",C741-B741)</f>
        <v>7</v>
      </c>
      <c r="AE741" s="3" t="str">
        <f aca="false">IF(AD741="","Unknown",IF(AD741&lt;0,"Invalid - Ship Before Order","OK"))</f>
        <v>OK</v>
      </c>
      <c r="AF741" s="5" t="n">
        <f aca="false">IF(B741="","",MONTH(B741))</f>
        <v>12</v>
      </c>
      <c r="AG741" s="5" t="n">
        <f aca="false">IF(B741="","",YEAR(B741))</f>
        <v>2024</v>
      </c>
      <c r="AH741" s="3" t="s">
        <v>52</v>
      </c>
      <c r="AI741" s="3" t="s">
        <v>53</v>
      </c>
      <c r="AJ741" s="3" t="str">
        <f aca="false">IF(AND(AI741="Completed",AH741="Failed"),"Inconsistent - Completed Order with Failed Payment","OK")</f>
        <v>OK</v>
      </c>
      <c r="AK741" s="3" t="s">
        <v>54</v>
      </c>
      <c r="AL741" s="3" t="str">
        <f aca="false">IF(OR(T741="Negative - Invalid",T741="Above Allowed Range - Invalid",AE741="Invalid - Ship Before Order",AK741&lt;&gt;"Unique",AB741="Mismatch",AC741="Mismatch",AJ741&lt;&gt;"OK"),"Invalid",IF(OR(H741="Yes",O741="Yes",T741="Missing"),"Warning","Clean"))</f>
        <v>Clean</v>
      </c>
    </row>
    <row r="742" customFormat="false" ht="15" hidden="false" customHeight="true" outlineLevel="0" collapsed="false">
      <c r="A742" s="3" t="s">
        <v>2345</v>
      </c>
      <c r="B742" s="4" t="n">
        <v>45384</v>
      </c>
      <c r="C742" s="4" t="n">
        <v>45384</v>
      </c>
      <c r="D742" s="3" t="s">
        <v>559</v>
      </c>
      <c r="E742" s="3" t="s">
        <v>159</v>
      </c>
      <c r="F742" s="3" t="s">
        <v>58</v>
      </c>
      <c r="G742" s="3" t="s">
        <v>88</v>
      </c>
      <c r="H742" s="3" t="s">
        <v>43</v>
      </c>
      <c r="I742" s="3" t="s">
        <v>89</v>
      </c>
      <c r="J742" s="3" t="s">
        <v>90</v>
      </c>
      <c r="K742" s="3" t="s">
        <v>62</v>
      </c>
      <c r="L742" s="3" t="s">
        <v>91</v>
      </c>
      <c r="M742" s="3" t="s">
        <v>2346</v>
      </c>
      <c r="N742" s="3" t="s">
        <v>72</v>
      </c>
      <c r="O742" s="3" t="s">
        <v>43</v>
      </c>
      <c r="P742" s="5" t="n">
        <v>4</v>
      </c>
      <c r="Q742" s="6" t="n">
        <v>2583</v>
      </c>
      <c r="R742" s="3" t="s">
        <v>203</v>
      </c>
      <c r="S742" s="7" t="n">
        <v>0.1</v>
      </c>
      <c r="T742" s="3" t="s">
        <v>51</v>
      </c>
      <c r="U742" s="7" t="n">
        <f aca="false">IF(T742="Valid",S742,0)</f>
        <v>0.1</v>
      </c>
      <c r="V742" s="6" t="n">
        <v>9298.8</v>
      </c>
      <c r="W742" s="6" t="n">
        <v>6548.5</v>
      </c>
      <c r="X742" s="6" t="n">
        <v>2750.3</v>
      </c>
      <c r="Y742" s="6" t="n">
        <f aca="false">P742*Q742*(1-U742)</f>
        <v>9298.8</v>
      </c>
      <c r="Z742" s="6" t="n">
        <f aca="false">Y742-W742</f>
        <v>2750.3</v>
      </c>
      <c r="AA742" s="8" t="n">
        <f aca="false">IF(Y742=0,0,Z742/Y742)</f>
        <v>0.295769346582355</v>
      </c>
      <c r="AB742" s="3" t="str">
        <f aca="false">IF(ABS(V742-Y742)&gt;1,"Mismatch","OK")</f>
        <v>OK</v>
      </c>
      <c r="AC742" s="3" t="str">
        <f aca="false">IF(ABS(X742-Z742)&gt;1,"Mismatch","OK")</f>
        <v>OK</v>
      </c>
      <c r="AD742" s="5" t="n">
        <f aca="false">IF(OR(B742="",C742=""),"",C742-B742)</f>
        <v>0</v>
      </c>
      <c r="AE742" s="3" t="str">
        <f aca="false">IF(AD742="","Unknown",IF(AD742&lt;0,"Invalid - Ship Before Order","OK"))</f>
        <v>OK</v>
      </c>
      <c r="AF742" s="5" t="n">
        <f aca="false">IF(B742="","",MONTH(B742))</f>
        <v>4</v>
      </c>
      <c r="AG742" s="5" t="n">
        <f aca="false">IF(B742="","",YEAR(B742))</f>
        <v>2024</v>
      </c>
      <c r="AH742" s="3" t="s">
        <v>52</v>
      </c>
      <c r="AI742" s="3" t="s">
        <v>53</v>
      </c>
      <c r="AJ742" s="3" t="str">
        <f aca="false">IF(AND(AI742="Completed",AH742="Failed"),"Inconsistent - Completed Order with Failed Payment","OK")</f>
        <v>OK</v>
      </c>
      <c r="AK742" s="3" t="s">
        <v>54</v>
      </c>
      <c r="AL742" s="3" t="str">
        <f aca="false">IF(OR(T742="Negative - Invalid",T742="Above Allowed Range - Invalid",AE742="Invalid - Ship Before Order",AK742&lt;&gt;"Unique",AB742="Mismatch",AC742="Mismatch",AJ742&lt;&gt;"OK"),"Invalid",IF(OR(H742="Yes",O742="Yes",T742="Missing"),"Warning","Clean"))</f>
        <v>Clean</v>
      </c>
    </row>
    <row r="743" customFormat="false" ht="15" hidden="false" customHeight="true" outlineLevel="0" collapsed="false">
      <c r="A743" s="3" t="s">
        <v>2347</v>
      </c>
      <c r="B743" s="4" t="n">
        <v>45770</v>
      </c>
      <c r="C743" s="4" t="n">
        <v>45772</v>
      </c>
      <c r="D743" s="3" t="s">
        <v>2348</v>
      </c>
      <c r="E743" s="3" t="s">
        <v>69</v>
      </c>
      <c r="F743" s="3" t="s">
        <v>121</v>
      </c>
      <c r="G743" s="3" t="s">
        <v>78</v>
      </c>
      <c r="H743" s="3" t="s">
        <v>43</v>
      </c>
      <c r="I743" s="3" t="s">
        <v>281</v>
      </c>
      <c r="J743" s="3" t="s">
        <v>282</v>
      </c>
      <c r="K743" s="3" t="s">
        <v>62</v>
      </c>
      <c r="L743" s="3" t="s">
        <v>91</v>
      </c>
      <c r="M743" s="3" t="s">
        <v>2349</v>
      </c>
      <c r="N743" s="3" t="s">
        <v>49</v>
      </c>
      <c r="O743" s="3" t="s">
        <v>43</v>
      </c>
      <c r="P743" s="5" t="n">
        <v>3</v>
      </c>
      <c r="Q743" s="6" t="n">
        <v>2951.12</v>
      </c>
      <c r="R743" s="3"/>
      <c r="S743" s="7"/>
      <c r="T743" s="3" t="s">
        <v>230</v>
      </c>
      <c r="U743" s="7" t="n">
        <f aca="false">IF(T743="Valid",S743,0)</f>
        <v>0</v>
      </c>
      <c r="V743" s="6" t="n">
        <v>7082.69</v>
      </c>
      <c r="W743" s="6" t="n">
        <v>5596.34</v>
      </c>
      <c r="X743" s="6" t="n">
        <v>1486.35</v>
      </c>
      <c r="Y743" s="6" t="n">
        <f aca="false">P743*Q743*(1-U743)</f>
        <v>8853.36</v>
      </c>
      <c r="Z743" s="6" t="n">
        <f aca="false">Y743-W743</f>
        <v>3257.02</v>
      </c>
      <c r="AA743" s="8" t="n">
        <f aca="false">IF(Y743=0,0,Z743/Y743)</f>
        <v>0.36788518709281</v>
      </c>
      <c r="AB743" s="3" t="str">
        <f aca="false">IF(ABS(V743-Y743)&gt;1,"Mismatch","OK")</f>
        <v>Mismatch</v>
      </c>
      <c r="AC743" s="3" t="str">
        <f aca="false">IF(ABS(X743-Z743)&gt;1,"Mismatch","OK")</f>
        <v>Mismatch</v>
      </c>
      <c r="AD743" s="5" t="n">
        <f aca="false">IF(OR(B743="",C743=""),"",C743-B743)</f>
        <v>2</v>
      </c>
      <c r="AE743" s="3" t="str">
        <f aca="false">IF(AD743="","Unknown",IF(AD743&lt;0,"Invalid - Ship Before Order","OK"))</f>
        <v>OK</v>
      </c>
      <c r="AF743" s="5" t="n">
        <f aca="false">IF(B743="","",MONTH(B743))</f>
        <v>4</v>
      </c>
      <c r="AG743" s="5" t="n">
        <f aca="false">IF(B743="","",YEAR(B743))</f>
        <v>2025</v>
      </c>
      <c r="AH743" s="3" t="s">
        <v>52</v>
      </c>
      <c r="AI743" s="3" t="s">
        <v>93</v>
      </c>
      <c r="AJ743" s="3" t="str">
        <f aca="false">IF(AND(AI743="Completed",AH743="Failed"),"Inconsistent - Completed Order with Failed Payment","OK")</f>
        <v>OK</v>
      </c>
      <c r="AK743" s="3" t="s">
        <v>54</v>
      </c>
      <c r="AL743" s="3" t="str">
        <f aca="false">IF(OR(T743="Negative - Invalid",T743="Above Allowed Range - Invalid",AE743="Invalid - Ship Before Order",AK743&lt;&gt;"Unique",AB743="Mismatch",AC743="Mismatch",AJ743&lt;&gt;"OK"),"Invalid",IF(OR(H743="Yes",O743="Yes",T743="Missing"),"Warning","Clean"))</f>
        <v>Invalid</v>
      </c>
    </row>
    <row r="744" customFormat="false" ht="15" hidden="false" customHeight="true" outlineLevel="0" collapsed="false">
      <c r="A744" s="3" t="s">
        <v>2350</v>
      </c>
      <c r="B744" s="4" t="n">
        <v>45580</v>
      </c>
      <c r="C744" s="4" t="n">
        <v>45587</v>
      </c>
      <c r="D744" s="3" t="s">
        <v>2351</v>
      </c>
      <c r="E744" s="3" t="s">
        <v>40</v>
      </c>
      <c r="F744" s="3" t="s">
        <v>116</v>
      </c>
      <c r="G744" s="3" t="s">
        <v>59</v>
      </c>
      <c r="H744" s="3" t="s">
        <v>43</v>
      </c>
      <c r="I744" s="3" t="s">
        <v>60</v>
      </c>
      <c r="J744" s="3" t="s">
        <v>61</v>
      </c>
      <c r="K744" s="3" t="s">
        <v>46</v>
      </c>
      <c r="L744" s="3" t="s">
        <v>47</v>
      </c>
      <c r="M744" s="3" t="s">
        <v>2352</v>
      </c>
      <c r="N744" s="3" t="s">
        <v>83</v>
      </c>
      <c r="O744" s="3" t="s">
        <v>43</v>
      </c>
      <c r="P744" s="5" t="n">
        <v>4</v>
      </c>
      <c r="Q744" s="6" t="n">
        <v>2260.95</v>
      </c>
      <c r="R744" s="3" t="s">
        <v>66</v>
      </c>
      <c r="S744" s="7" t="n">
        <v>0</v>
      </c>
      <c r="T744" s="3" t="s">
        <v>51</v>
      </c>
      <c r="U744" s="7" t="n">
        <f aca="false">IF(T744="Valid",S744,0)</f>
        <v>0</v>
      </c>
      <c r="V744" s="6" t="n">
        <v>9043.8</v>
      </c>
      <c r="W744" s="6" t="n">
        <v>5913.38</v>
      </c>
      <c r="X744" s="6" t="n">
        <v>3130.42</v>
      </c>
      <c r="Y744" s="6" t="n">
        <f aca="false">P744*Q744*(1-U744)</f>
        <v>9043.8</v>
      </c>
      <c r="Z744" s="6" t="n">
        <f aca="false">Y744-W744</f>
        <v>3130.42</v>
      </c>
      <c r="AA744" s="8" t="n">
        <f aca="false">IF(Y744=0,0,Z744/Y744)</f>
        <v>0.346139896945974</v>
      </c>
      <c r="AB744" s="3" t="str">
        <f aca="false">IF(ABS(V744-Y744)&gt;1,"Mismatch","OK")</f>
        <v>OK</v>
      </c>
      <c r="AC744" s="3" t="str">
        <f aca="false">IF(ABS(X744-Z744)&gt;1,"Mismatch","OK")</f>
        <v>OK</v>
      </c>
      <c r="AD744" s="5" t="n">
        <f aca="false">IF(OR(B744="",C744=""),"",C744-B744)</f>
        <v>7</v>
      </c>
      <c r="AE744" s="3" t="str">
        <f aca="false">IF(AD744="","Unknown",IF(AD744&lt;0,"Invalid - Ship Before Order","OK"))</f>
        <v>OK</v>
      </c>
      <c r="AF744" s="5" t="n">
        <f aca="false">IF(B744="","",MONTH(B744))</f>
        <v>10</v>
      </c>
      <c r="AG744" s="5" t="n">
        <f aca="false">IF(B744="","",YEAR(B744))</f>
        <v>2024</v>
      </c>
      <c r="AH744" s="3" t="s">
        <v>52</v>
      </c>
      <c r="AI744" s="3" t="s">
        <v>53</v>
      </c>
      <c r="AJ744" s="3" t="str">
        <f aca="false">IF(AND(AI744="Completed",AH744="Failed"),"Inconsistent - Completed Order with Failed Payment","OK")</f>
        <v>OK</v>
      </c>
      <c r="AK744" s="3" t="s">
        <v>54</v>
      </c>
      <c r="AL744" s="3" t="str">
        <f aca="false">IF(OR(T744="Negative - Invalid",T744="Above Allowed Range - Invalid",AE744="Invalid - Ship Before Order",AK744&lt;&gt;"Unique",AB744="Mismatch",AC744="Mismatch",AJ744&lt;&gt;"OK"),"Invalid",IF(OR(H744="Yes",O744="Yes",T744="Missing"),"Warning","Clean"))</f>
        <v>Clean</v>
      </c>
    </row>
    <row r="745" customFormat="false" ht="15" hidden="false" customHeight="true" outlineLevel="0" collapsed="false">
      <c r="A745" s="3" t="s">
        <v>2353</v>
      </c>
      <c r="B745" s="4" t="n">
        <v>45700</v>
      </c>
      <c r="C745" s="4" t="n">
        <v>45702</v>
      </c>
      <c r="D745" s="3" t="s">
        <v>2354</v>
      </c>
      <c r="E745" s="3" t="s">
        <v>159</v>
      </c>
      <c r="F745" s="3" t="s">
        <v>41</v>
      </c>
      <c r="G745" s="3" t="s">
        <v>42</v>
      </c>
      <c r="H745" s="3" t="s">
        <v>43</v>
      </c>
      <c r="I745" s="3" t="s">
        <v>163</v>
      </c>
      <c r="J745" s="3" t="s">
        <v>164</v>
      </c>
      <c r="K745" s="3" t="s">
        <v>46</v>
      </c>
      <c r="L745" s="3" t="s">
        <v>70</v>
      </c>
      <c r="M745" s="3" t="s">
        <v>2355</v>
      </c>
      <c r="N745" s="3" t="s">
        <v>83</v>
      </c>
      <c r="O745" s="3" t="s">
        <v>43</v>
      </c>
      <c r="P745" s="5" t="n">
        <v>6</v>
      </c>
      <c r="Q745" s="6" t="n">
        <v>491.4</v>
      </c>
      <c r="R745" s="3" t="s">
        <v>84</v>
      </c>
      <c r="S745" s="7" t="n">
        <v>0.25</v>
      </c>
      <c r="T745" s="3" t="s">
        <v>51</v>
      </c>
      <c r="U745" s="7" t="n">
        <f aca="false">IF(T745="Valid",S745,0)</f>
        <v>0.25</v>
      </c>
      <c r="V745" s="6" t="n">
        <v>2211.3</v>
      </c>
      <c r="W745" s="6" t="n">
        <v>1735.64</v>
      </c>
      <c r="X745" s="6" t="n">
        <v>475.66</v>
      </c>
      <c r="Y745" s="6" t="n">
        <f aca="false">P745*Q745*(1-U745)</f>
        <v>2211.3</v>
      </c>
      <c r="Z745" s="6" t="n">
        <f aca="false">Y745-W745</f>
        <v>475.66</v>
      </c>
      <c r="AA745" s="8" t="n">
        <f aca="false">IF(Y745=0,0,Z745/Y745)</f>
        <v>0.215104237326459</v>
      </c>
      <c r="AB745" s="3" t="str">
        <f aca="false">IF(ABS(V745-Y745)&gt;1,"Mismatch","OK")</f>
        <v>OK</v>
      </c>
      <c r="AC745" s="3" t="str">
        <f aca="false">IF(ABS(X745-Z745)&gt;1,"Mismatch","OK")</f>
        <v>OK</v>
      </c>
      <c r="AD745" s="5" t="n">
        <f aca="false">IF(OR(B745="",C745=""),"",C745-B745)</f>
        <v>2</v>
      </c>
      <c r="AE745" s="3" t="str">
        <f aca="false">IF(AD745="","Unknown",IF(AD745&lt;0,"Invalid - Ship Before Order","OK"))</f>
        <v>OK</v>
      </c>
      <c r="AF745" s="5" t="n">
        <f aca="false">IF(B745="","",MONTH(B745))</f>
        <v>2</v>
      </c>
      <c r="AG745" s="5" t="n">
        <f aca="false">IF(B745="","",YEAR(B745))</f>
        <v>2025</v>
      </c>
      <c r="AH745" s="3" t="s">
        <v>52</v>
      </c>
      <c r="AI745" s="3" t="s">
        <v>53</v>
      </c>
      <c r="AJ745" s="3" t="str">
        <f aca="false">IF(AND(AI745="Completed",AH745="Failed"),"Inconsistent - Completed Order with Failed Payment","OK")</f>
        <v>OK</v>
      </c>
      <c r="AK745" s="3" t="s">
        <v>54</v>
      </c>
      <c r="AL745" s="3" t="str">
        <f aca="false">IF(OR(T745="Negative - Invalid",T745="Above Allowed Range - Invalid",AE745="Invalid - Ship Before Order",AK745&lt;&gt;"Unique",AB745="Mismatch",AC745="Mismatch",AJ745&lt;&gt;"OK"),"Invalid",IF(OR(H745="Yes",O745="Yes",T745="Missing"),"Warning","Clean"))</f>
        <v>Clean</v>
      </c>
    </row>
    <row r="746" customFormat="false" ht="15" hidden="false" customHeight="true" outlineLevel="0" collapsed="false">
      <c r="A746" s="3" t="s">
        <v>2356</v>
      </c>
      <c r="B746" s="4" t="n">
        <v>45886</v>
      </c>
      <c r="C746" s="4" t="n">
        <v>45889</v>
      </c>
      <c r="D746" s="3" t="s">
        <v>2357</v>
      </c>
      <c r="E746" s="3" t="s">
        <v>57</v>
      </c>
      <c r="F746" s="3" t="s">
        <v>121</v>
      </c>
      <c r="G746" s="3" t="s">
        <v>42</v>
      </c>
      <c r="H746" s="3" t="s">
        <v>43</v>
      </c>
      <c r="I746" s="3" t="s">
        <v>149</v>
      </c>
      <c r="J746" s="3" t="s">
        <v>150</v>
      </c>
      <c r="K746" s="3" t="s">
        <v>46</v>
      </c>
      <c r="L746" s="3" t="s">
        <v>183</v>
      </c>
      <c r="M746" s="3" t="s">
        <v>2358</v>
      </c>
      <c r="N746" s="3" t="s">
        <v>72</v>
      </c>
      <c r="O746" s="3" t="s">
        <v>43</v>
      </c>
      <c r="P746" s="5" t="n">
        <v>5</v>
      </c>
      <c r="Q746" s="6" t="n">
        <v>2701.89</v>
      </c>
      <c r="R746" s="3" t="s">
        <v>203</v>
      </c>
      <c r="S746" s="7" t="n">
        <v>0.1</v>
      </c>
      <c r="T746" s="3" t="s">
        <v>51</v>
      </c>
      <c r="U746" s="7" t="n">
        <f aca="false">IF(T746="Valid",S746,0)</f>
        <v>0.1</v>
      </c>
      <c r="V746" s="6" t="n">
        <v>12158.5</v>
      </c>
      <c r="W746" s="6" t="n">
        <v>10260.07</v>
      </c>
      <c r="X746" s="6" t="n">
        <v>1898.43</v>
      </c>
      <c r="Y746" s="6" t="n">
        <f aca="false">P746*Q746*(1-U746)</f>
        <v>12158.505</v>
      </c>
      <c r="Z746" s="6" t="n">
        <f aca="false">Y746-W746</f>
        <v>1898.435</v>
      </c>
      <c r="AA746" s="8" t="n">
        <f aca="false">IF(Y746=0,0,Z746/Y746)</f>
        <v>0.156140495891559</v>
      </c>
      <c r="AB746" s="3" t="str">
        <f aca="false">IF(ABS(V746-Y746)&gt;1,"Mismatch","OK")</f>
        <v>OK</v>
      </c>
      <c r="AC746" s="3" t="str">
        <f aca="false">IF(ABS(X746-Z746)&gt;1,"Mismatch","OK")</f>
        <v>OK</v>
      </c>
      <c r="AD746" s="5" t="n">
        <f aca="false">IF(OR(B746="",C746=""),"",C746-B746)</f>
        <v>3</v>
      </c>
      <c r="AE746" s="3" t="str">
        <f aca="false">IF(AD746="","Unknown",IF(AD746&lt;0,"Invalid - Ship Before Order","OK"))</f>
        <v>OK</v>
      </c>
      <c r="AF746" s="5" t="n">
        <f aca="false">IF(B746="","",MONTH(B746))</f>
        <v>8</v>
      </c>
      <c r="AG746" s="5" t="n">
        <f aca="false">IF(B746="","",YEAR(B746))</f>
        <v>2025</v>
      </c>
      <c r="AH746" s="3" t="s">
        <v>52</v>
      </c>
      <c r="AI746" s="3" t="s">
        <v>93</v>
      </c>
      <c r="AJ746" s="3" t="str">
        <f aca="false">IF(AND(AI746="Completed",AH746="Failed"),"Inconsistent - Completed Order with Failed Payment","OK")</f>
        <v>OK</v>
      </c>
      <c r="AK746" s="3" t="s">
        <v>54</v>
      </c>
      <c r="AL746" s="3" t="str">
        <f aca="false">IF(OR(T746="Negative - Invalid",T746="Above Allowed Range - Invalid",AE746="Invalid - Ship Before Order",AK746&lt;&gt;"Unique",AB746="Mismatch",AC746="Mismatch",AJ746&lt;&gt;"OK"),"Invalid",IF(OR(H746="Yes",O746="Yes",T746="Missing"),"Warning","Clean"))</f>
        <v>Clean</v>
      </c>
    </row>
    <row r="747" customFormat="false" ht="15" hidden="false" customHeight="true" outlineLevel="0" collapsed="false">
      <c r="A747" s="3" t="s">
        <v>2359</v>
      </c>
      <c r="B747" s="4" t="n">
        <v>45589</v>
      </c>
      <c r="C747" s="4" t="n">
        <v>45593</v>
      </c>
      <c r="D747" s="3" t="s">
        <v>2360</v>
      </c>
      <c r="E747" s="3" t="s">
        <v>57</v>
      </c>
      <c r="F747" s="3" t="s">
        <v>58</v>
      </c>
      <c r="G747" s="3" t="s">
        <v>59</v>
      </c>
      <c r="H747" s="3" t="s">
        <v>43</v>
      </c>
      <c r="I747" s="3" t="s">
        <v>196</v>
      </c>
      <c r="J747" s="3" t="s">
        <v>197</v>
      </c>
      <c r="K747" s="3" t="s">
        <v>99</v>
      </c>
      <c r="L747" s="3" t="s">
        <v>105</v>
      </c>
      <c r="M747" s="3" t="s">
        <v>2361</v>
      </c>
      <c r="N747" s="3" t="s">
        <v>83</v>
      </c>
      <c r="O747" s="3" t="s">
        <v>43</v>
      </c>
      <c r="P747" s="5" t="n">
        <v>3</v>
      </c>
      <c r="Q747" s="6" t="n">
        <v>723.59</v>
      </c>
      <c r="R747" s="3" t="s">
        <v>50</v>
      </c>
      <c r="S747" s="7" t="n">
        <v>0.2</v>
      </c>
      <c r="T747" s="3" t="s">
        <v>51</v>
      </c>
      <c r="U747" s="7" t="n">
        <f aca="false">IF(T747="Valid",S747,0)</f>
        <v>0.2</v>
      </c>
      <c r="V747" s="6" t="n">
        <v>1736.62</v>
      </c>
      <c r="W747" s="6" t="n">
        <v>1059.52</v>
      </c>
      <c r="X747" s="6" t="n">
        <v>677.1</v>
      </c>
      <c r="Y747" s="6" t="n">
        <f aca="false">P747*Q747*(1-U747)</f>
        <v>1736.616</v>
      </c>
      <c r="Z747" s="6" t="n">
        <f aca="false">Y747-W747</f>
        <v>677.096</v>
      </c>
      <c r="AA747" s="8" t="n">
        <f aca="false">IF(Y747=0,0,Z747/Y747)</f>
        <v>0.389893908613073</v>
      </c>
      <c r="AB747" s="3" t="str">
        <f aca="false">IF(ABS(V747-Y747)&gt;1,"Mismatch","OK")</f>
        <v>OK</v>
      </c>
      <c r="AC747" s="3" t="str">
        <f aca="false">IF(ABS(X747-Z747)&gt;1,"Mismatch","OK")</f>
        <v>OK</v>
      </c>
      <c r="AD747" s="5" t="n">
        <f aca="false">IF(OR(B747="",C747=""),"",C747-B747)</f>
        <v>4</v>
      </c>
      <c r="AE747" s="3" t="str">
        <f aca="false">IF(AD747="","Unknown",IF(AD747&lt;0,"Invalid - Ship Before Order","OK"))</f>
        <v>OK</v>
      </c>
      <c r="AF747" s="5" t="n">
        <f aca="false">IF(B747="","",MONTH(B747))</f>
        <v>10</v>
      </c>
      <c r="AG747" s="5" t="n">
        <f aca="false">IF(B747="","",YEAR(B747))</f>
        <v>2024</v>
      </c>
      <c r="AH747" s="3" t="s">
        <v>52</v>
      </c>
      <c r="AI747" s="3" t="s">
        <v>53</v>
      </c>
      <c r="AJ747" s="3" t="str">
        <f aca="false">IF(AND(AI747="Completed",AH747="Failed"),"Inconsistent - Completed Order with Failed Payment","OK")</f>
        <v>OK</v>
      </c>
      <c r="AK747" s="3" t="s">
        <v>54</v>
      </c>
      <c r="AL747" s="3" t="str">
        <f aca="false">IF(OR(T747="Negative - Invalid",T747="Above Allowed Range - Invalid",AE747="Invalid - Ship Before Order",AK747&lt;&gt;"Unique",AB747="Mismatch",AC747="Mismatch",AJ747&lt;&gt;"OK"),"Invalid",IF(OR(H747="Yes",O747="Yes",T747="Missing"),"Warning","Clean"))</f>
        <v>Clean</v>
      </c>
    </row>
    <row r="748" customFormat="false" ht="15" hidden="false" customHeight="true" outlineLevel="0" collapsed="false">
      <c r="A748" s="3" t="s">
        <v>2362</v>
      </c>
      <c r="B748" s="4" t="n">
        <v>45661</v>
      </c>
      <c r="C748" s="4" t="n">
        <v>45667</v>
      </c>
      <c r="D748" s="3" t="s">
        <v>2069</v>
      </c>
      <c r="E748" s="3" t="s">
        <v>155</v>
      </c>
      <c r="F748" s="3" t="s">
        <v>121</v>
      </c>
      <c r="G748" s="3" t="s">
        <v>59</v>
      </c>
      <c r="H748" s="3" t="s">
        <v>43</v>
      </c>
      <c r="I748" s="3" t="s">
        <v>125</v>
      </c>
      <c r="J748" s="3" t="s">
        <v>126</v>
      </c>
      <c r="K748" s="3" t="s">
        <v>46</v>
      </c>
      <c r="L748" s="3" t="s">
        <v>47</v>
      </c>
      <c r="M748" s="3" t="s">
        <v>2363</v>
      </c>
      <c r="N748" s="3" t="s">
        <v>83</v>
      </c>
      <c r="O748" s="3" t="s">
        <v>43</v>
      </c>
      <c r="P748" s="5" t="n">
        <v>4</v>
      </c>
      <c r="Q748" s="6" t="n">
        <v>2583.19</v>
      </c>
      <c r="R748" s="3" t="s">
        <v>50</v>
      </c>
      <c r="S748" s="7" t="n">
        <v>0.2</v>
      </c>
      <c r="T748" s="3" t="s">
        <v>51</v>
      </c>
      <c r="U748" s="7" t="n">
        <f aca="false">IF(T748="Valid",S748,0)</f>
        <v>0.2</v>
      </c>
      <c r="V748" s="6" t="n">
        <v>8266.21</v>
      </c>
      <c r="W748" s="6" t="n">
        <v>6236.32</v>
      </c>
      <c r="X748" s="6" t="n">
        <v>2029.89</v>
      </c>
      <c r="Y748" s="6" t="n">
        <f aca="false">P748*Q748*(1-U748)</f>
        <v>8266.208</v>
      </c>
      <c r="Z748" s="6" t="n">
        <f aca="false">Y748-W748</f>
        <v>2029.888</v>
      </c>
      <c r="AA748" s="8" t="n">
        <f aca="false">IF(Y748=0,0,Z748/Y748)</f>
        <v>0.245564592616107</v>
      </c>
      <c r="AB748" s="3" t="str">
        <f aca="false">IF(ABS(V748-Y748)&gt;1,"Mismatch","OK")</f>
        <v>OK</v>
      </c>
      <c r="AC748" s="3" t="str">
        <f aca="false">IF(ABS(X748-Z748)&gt;1,"Mismatch","OK")</f>
        <v>OK</v>
      </c>
      <c r="AD748" s="5" t="n">
        <f aca="false">IF(OR(B748="",C748=""),"",C748-B748)</f>
        <v>6</v>
      </c>
      <c r="AE748" s="3" t="str">
        <f aca="false">IF(AD748="","Unknown",IF(AD748&lt;0,"Invalid - Ship Before Order","OK"))</f>
        <v>OK</v>
      </c>
      <c r="AF748" s="5" t="n">
        <f aca="false">IF(B748="","",MONTH(B748))</f>
        <v>1</v>
      </c>
      <c r="AG748" s="5" t="n">
        <f aca="false">IF(B748="","",YEAR(B748))</f>
        <v>2025</v>
      </c>
      <c r="AH748" s="3" t="s">
        <v>52</v>
      </c>
      <c r="AI748" s="3" t="s">
        <v>53</v>
      </c>
      <c r="AJ748" s="3" t="str">
        <f aca="false">IF(AND(AI748="Completed",AH748="Failed"),"Inconsistent - Completed Order with Failed Payment","OK")</f>
        <v>OK</v>
      </c>
      <c r="AK748" s="3" t="s">
        <v>54</v>
      </c>
      <c r="AL748" s="3" t="str">
        <f aca="false">IF(OR(T748="Negative - Invalid",T748="Above Allowed Range - Invalid",AE748="Invalid - Ship Before Order",AK748&lt;&gt;"Unique",AB748="Mismatch",AC748="Mismatch",AJ748&lt;&gt;"OK"),"Invalid",IF(OR(H748="Yes",O748="Yes",T748="Missing"),"Warning","Clean"))</f>
        <v>Clean</v>
      </c>
    </row>
    <row r="749" customFormat="false" ht="15" hidden="false" customHeight="true" outlineLevel="0" collapsed="false">
      <c r="A749" s="3" t="s">
        <v>2364</v>
      </c>
      <c r="B749" s="4" t="n">
        <v>45413</v>
      </c>
      <c r="C749" s="4" t="n">
        <v>45419</v>
      </c>
      <c r="D749" s="3" t="s">
        <v>2365</v>
      </c>
      <c r="E749" s="3" t="s">
        <v>69</v>
      </c>
      <c r="F749" s="3" t="s">
        <v>121</v>
      </c>
      <c r="G749" s="3" t="s">
        <v>59</v>
      </c>
      <c r="H749" s="3" t="s">
        <v>43</v>
      </c>
      <c r="I749" s="3" t="s">
        <v>60</v>
      </c>
      <c r="J749" s="3" t="s">
        <v>61</v>
      </c>
      <c r="K749" s="3" t="s">
        <v>46</v>
      </c>
      <c r="L749" s="3" t="s">
        <v>47</v>
      </c>
      <c r="M749" s="3" t="s">
        <v>2366</v>
      </c>
      <c r="N749" s="3" t="s">
        <v>65</v>
      </c>
      <c r="O749" s="3" t="s">
        <v>43</v>
      </c>
      <c r="P749" s="5" t="n">
        <v>8</v>
      </c>
      <c r="Q749" s="6" t="n">
        <v>1473.83</v>
      </c>
      <c r="R749" s="3" t="s">
        <v>107</v>
      </c>
      <c r="S749" s="7" t="n">
        <v>0.15</v>
      </c>
      <c r="T749" s="3" t="s">
        <v>51</v>
      </c>
      <c r="U749" s="7" t="n">
        <f aca="false">IF(T749="Valid",S749,0)</f>
        <v>0.15</v>
      </c>
      <c r="V749" s="6" t="n">
        <v>10022.04</v>
      </c>
      <c r="W749" s="6" t="n">
        <v>5576.98</v>
      </c>
      <c r="X749" s="6" t="n">
        <v>4445.06</v>
      </c>
      <c r="Y749" s="6" t="n">
        <f aca="false">P749*Q749*(1-U749)</f>
        <v>10022.044</v>
      </c>
      <c r="Z749" s="6" t="n">
        <f aca="false">Y749-W749</f>
        <v>4445.064</v>
      </c>
      <c r="AA749" s="8" t="n">
        <f aca="false">IF(Y749=0,0,Z749/Y749)</f>
        <v>0.443528685365979</v>
      </c>
      <c r="AB749" s="3" t="str">
        <f aca="false">IF(ABS(V749-Y749)&gt;1,"Mismatch","OK")</f>
        <v>OK</v>
      </c>
      <c r="AC749" s="3" t="str">
        <f aca="false">IF(ABS(X749-Z749)&gt;1,"Mismatch","OK")</f>
        <v>OK</v>
      </c>
      <c r="AD749" s="5" t="n">
        <f aca="false">IF(OR(B749="",C749=""),"",C749-B749)</f>
        <v>6</v>
      </c>
      <c r="AE749" s="3" t="str">
        <f aca="false">IF(AD749="","Unknown",IF(AD749&lt;0,"Invalid - Ship Before Order","OK"))</f>
        <v>OK</v>
      </c>
      <c r="AF749" s="5" t="n">
        <f aca="false">IF(B749="","",MONTH(B749))</f>
        <v>5</v>
      </c>
      <c r="AG749" s="5" t="n">
        <f aca="false">IF(B749="","",YEAR(B749))</f>
        <v>2024</v>
      </c>
      <c r="AH749" s="3" t="s">
        <v>52</v>
      </c>
      <c r="AI749" s="3" t="s">
        <v>53</v>
      </c>
      <c r="AJ749" s="3" t="str">
        <f aca="false">IF(AND(AI749="Completed",AH749="Failed"),"Inconsistent - Completed Order with Failed Payment","OK")</f>
        <v>OK</v>
      </c>
      <c r="AK749" s="3" t="s">
        <v>54</v>
      </c>
      <c r="AL749" s="3" t="str">
        <f aca="false">IF(OR(T749="Negative - Invalid",T749="Above Allowed Range - Invalid",AE749="Invalid - Ship Before Order",AK749&lt;&gt;"Unique",AB749="Mismatch",AC749="Mismatch",AJ749&lt;&gt;"OK"),"Invalid",IF(OR(H749="Yes",O749="Yes",T749="Missing"),"Warning","Clean"))</f>
        <v>Clean</v>
      </c>
    </row>
    <row r="750" customFormat="false" ht="15" hidden="false" customHeight="true" outlineLevel="0" collapsed="false">
      <c r="A750" s="3" t="s">
        <v>2367</v>
      </c>
      <c r="B750" s="4" t="n">
        <v>45442</v>
      </c>
      <c r="C750" s="4" t="n">
        <v>45442</v>
      </c>
      <c r="D750" s="3" t="s">
        <v>2368</v>
      </c>
      <c r="E750" s="3" t="s">
        <v>192</v>
      </c>
      <c r="F750" s="3" t="s">
        <v>121</v>
      </c>
      <c r="G750" s="3" t="s">
        <v>42</v>
      </c>
      <c r="H750" s="3" t="s">
        <v>43</v>
      </c>
      <c r="I750" s="3" t="s">
        <v>270</v>
      </c>
      <c r="J750" s="3" t="s">
        <v>271</v>
      </c>
      <c r="K750" s="3" t="s">
        <v>99</v>
      </c>
      <c r="L750" s="3" t="s">
        <v>201</v>
      </c>
      <c r="M750" s="3" t="s">
        <v>2369</v>
      </c>
      <c r="N750" s="3" t="s">
        <v>49</v>
      </c>
      <c r="O750" s="3" t="s">
        <v>43</v>
      </c>
      <c r="P750" s="5" t="n">
        <v>1</v>
      </c>
      <c r="Q750" s="6" t="n">
        <v>3848.04</v>
      </c>
      <c r="R750" s="3" t="s">
        <v>84</v>
      </c>
      <c r="S750" s="7" t="n">
        <v>0.25</v>
      </c>
      <c r="T750" s="3" t="s">
        <v>51</v>
      </c>
      <c r="U750" s="7" t="n">
        <f aca="false">IF(T750="Valid",S750,0)</f>
        <v>0.25</v>
      </c>
      <c r="V750" s="6" t="n">
        <v>2886.03</v>
      </c>
      <c r="W750" s="6" t="n">
        <v>2064.83</v>
      </c>
      <c r="X750" s="6" t="n">
        <v>821.2</v>
      </c>
      <c r="Y750" s="6" t="n">
        <f aca="false">P750*Q750*(1-U750)</f>
        <v>2886.03</v>
      </c>
      <c r="Z750" s="6" t="n">
        <f aca="false">Y750-W750</f>
        <v>821.2</v>
      </c>
      <c r="AA750" s="8" t="n">
        <f aca="false">IF(Y750=0,0,Z750/Y750)</f>
        <v>0.284543126717324</v>
      </c>
      <c r="AB750" s="3" t="str">
        <f aca="false">IF(ABS(V750-Y750)&gt;1,"Mismatch","OK")</f>
        <v>OK</v>
      </c>
      <c r="AC750" s="3" t="str">
        <f aca="false">IF(ABS(X750-Z750)&gt;1,"Mismatch","OK")</f>
        <v>OK</v>
      </c>
      <c r="AD750" s="5" t="n">
        <f aca="false">IF(OR(B750="",C750=""),"",C750-B750)</f>
        <v>0</v>
      </c>
      <c r="AE750" s="3" t="str">
        <f aca="false">IF(AD750="","Unknown",IF(AD750&lt;0,"Invalid - Ship Before Order","OK"))</f>
        <v>OK</v>
      </c>
      <c r="AF750" s="5" t="n">
        <f aca="false">IF(B750="","",MONTH(B750))</f>
        <v>5</v>
      </c>
      <c r="AG750" s="5" t="n">
        <f aca="false">IF(B750="","",YEAR(B750))</f>
        <v>2024</v>
      </c>
      <c r="AH750" s="3" t="s">
        <v>52</v>
      </c>
      <c r="AI750" s="3" t="s">
        <v>53</v>
      </c>
      <c r="AJ750" s="3" t="str">
        <f aca="false">IF(AND(AI750="Completed",AH750="Failed"),"Inconsistent - Completed Order with Failed Payment","OK")</f>
        <v>OK</v>
      </c>
      <c r="AK750" s="3" t="s">
        <v>54</v>
      </c>
      <c r="AL750" s="3" t="str">
        <f aca="false">IF(OR(T750="Negative - Invalid",T750="Above Allowed Range - Invalid",AE750="Invalid - Ship Before Order",AK750&lt;&gt;"Unique",AB750="Mismatch",AC750="Mismatch",AJ750&lt;&gt;"OK"),"Invalid",IF(OR(H750="Yes",O750="Yes",T750="Missing"),"Warning","Clean"))</f>
        <v>Clean</v>
      </c>
    </row>
    <row r="751" customFormat="false" ht="15" hidden="false" customHeight="true" outlineLevel="0" collapsed="false">
      <c r="A751" s="3" t="s">
        <v>2370</v>
      </c>
      <c r="B751" s="4" t="n">
        <v>45372</v>
      </c>
      <c r="C751" s="4" t="n">
        <v>45376</v>
      </c>
      <c r="D751" s="3" t="s">
        <v>2371</v>
      </c>
      <c r="E751" s="3" t="s">
        <v>115</v>
      </c>
      <c r="F751" s="3" t="s">
        <v>121</v>
      </c>
      <c r="G751" s="3" t="s">
        <v>59</v>
      </c>
      <c r="H751" s="3" t="s">
        <v>43</v>
      </c>
      <c r="I751" s="3" t="s">
        <v>196</v>
      </c>
      <c r="J751" s="3" t="s">
        <v>197</v>
      </c>
      <c r="K751" s="3" t="s">
        <v>99</v>
      </c>
      <c r="L751" s="3" t="s">
        <v>308</v>
      </c>
      <c r="M751" s="3" t="s">
        <v>2372</v>
      </c>
      <c r="N751" s="3" t="s">
        <v>83</v>
      </c>
      <c r="O751" s="3" t="s">
        <v>43</v>
      </c>
      <c r="P751" s="5" t="n">
        <v>1</v>
      </c>
      <c r="Q751" s="6" t="n">
        <v>1716.7</v>
      </c>
      <c r="R751" s="3" t="s">
        <v>107</v>
      </c>
      <c r="S751" s="7" t="n">
        <v>0.15</v>
      </c>
      <c r="T751" s="3" t="s">
        <v>51</v>
      </c>
      <c r="U751" s="7" t="n">
        <f aca="false">IF(T751="Valid",S751,0)</f>
        <v>0.15</v>
      </c>
      <c r="V751" s="6" t="n">
        <v>1459.19</v>
      </c>
      <c r="W751" s="6" t="n">
        <v>1055.79</v>
      </c>
      <c r="X751" s="6" t="n">
        <v>403.4</v>
      </c>
      <c r="Y751" s="6" t="n">
        <f aca="false">P751*Q751*(1-U751)</f>
        <v>1459.195</v>
      </c>
      <c r="Z751" s="6" t="n">
        <f aca="false">Y751-W751</f>
        <v>403.405</v>
      </c>
      <c r="AA751" s="8" t="n">
        <f aca="false">IF(Y751=0,0,Z751/Y751)</f>
        <v>0.276457224702661</v>
      </c>
      <c r="AB751" s="3" t="str">
        <f aca="false">IF(ABS(V751-Y751)&gt;1,"Mismatch","OK")</f>
        <v>OK</v>
      </c>
      <c r="AC751" s="3" t="str">
        <f aca="false">IF(ABS(X751-Z751)&gt;1,"Mismatch","OK")</f>
        <v>OK</v>
      </c>
      <c r="AD751" s="5" t="n">
        <f aca="false">IF(OR(B751="",C751=""),"",C751-B751)</f>
        <v>4</v>
      </c>
      <c r="AE751" s="3" t="str">
        <f aca="false">IF(AD751="","Unknown",IF(AD751&lt;0,"Invalid - Ship Before Order","OK"))</f>
        <v>OK</v>
      </c>
      <c r="AF751" s="5" t="n">
        <f aca="false">IF(B751="","",MONTH(B751))</f>
        <v>3</v>
      </c>
      <c r="AG751" s="5" t="n">
        <f aca="false">IF(B751="","",YEAR(B751))</f>
        <v>2024</v>
      </c>
      <c r="AH751" s="3" t="s">
        <v>52</v>
      </c>
      <c r="AI751" s="3" t="s">
        <v>53</v>
      </c>
      <c r="AJ751" s="3" t="str">
        <f aca="false">IF(AND(AI751="Completed",AH751="Failed"),"Inconsistent - Completed Order with Failed Payment","OK")</f>
        <v>OK</v>
      </c>
      <c r="AK751" s="3" t="s">
        <v>54</v>
      </c>
      <c r="AL751" s="3" t="str">
        <f aca="false">IF(OR(T751="Negative - Invalid",T751="Above Allowed Range - Invalid",AE751="Invalid - Ship Before Order",AK751&lt;&gt;"Unique",AB751="Mismatch",AC751="Mismatch",AJ751&lt;&gt;"OK"),"Invalid",IF(OR(H751="Yes",O751="Yes",T751="Missing"),"Warning","Clean"))</f>
        <v>Clean</v>
      </c>
    </row>
    <row r="752" customFormat="false" ht="15" hidden="false" customHeight="true" outlineLevel="0" collapsed="false">
      <c r="A752" s="3" t="s">
        <v>2373</v>
      </c>
      <c r="B752" s="4" t="n">
        <v>45810</v>
      </c>
      <c r="C752" s="4" t="n">
        <v>45810</v>
      </c>
      <c r="D752" s="3" t="s">
        <v>2374</v>
      </c>
      <c r="E752" s="3" t="s">
        <v>155</v>
      </c>
      <c r="F752" s="3" t="s">
        <v>121</v>
      </c>
      <c r="G752" s="3" t="s">
        <v>78</v>
      </c>
      <c r="H752" s="3" t="s">
        <v>43</v>
      </c>
      <c r="I752" s="3" t="s">
        <v>79</v>
      </c>
      <c r="J752" s="3" t="s">
        <v>80</v>
      </c>
      <c r="K752" s="3" t="s">
        <v>99</v>
      </c>
      <c r="L752" s="3" t="s">
        <v>100</v>
      </c>
      <c r="M752" s="3" t="s">
        <v>2375</v>
      </c>
      <c r="N752" s="3" t="s">
        <v>72</v>
      </c>
      <c r="O752" s="3" t="s">
        <v>43</v>
      </c>
      <c r="P752" s="5" t="n">
        <v>8</v>
      </c>
      <c r="Q752" s="6" t="n">
        <v>3925.93</v>
      </c>
      <c r="R752" s="3" t="s">
        <v>107</v>
      </c>
      <c r="S752" s="7" t="n">
        <v>0.15</v>
      </c>
      <c r="T752" s="3" t="s">
        <v>51</v>
      </c>
      <c r="U752" s="7" t="n">
        <f aca="false">IF(T752="Valid",S752,0)</f>
        <v>0.15</v>
      </c>
      <c r="V752" s="6" t="n">
        <v>26696.32</v>
      </c>
      <c r="W752" s="6" t="n">
        <v>22724.52</v>
      </c>
      <c r="X752" s="6" t="n">
        <v>3971.8</v>
      </c>
      <c r="Y752" s="6" t="n">
        <f aca="false">P752*Q752*(1-U752)</f>
        <v>26696.324</v>
      </c>
      <c r="Z752" s="6" t="n">
        <f aca="false">Y752-W752</f>
        <v>3971.804</v>
      </c>
      <c r="AA752" s="8" t="n">
        <f aca="false">IF(Y752=0,0,Z752/Y752)</f>
        <v>0.148777187450976</v>
      </c>
      <c r="AB752" s="3" t="str">
        <f aca="false">IF(ABS(V752-Y752)&gt;1,"Mismatch","OK")</f>
        <v>OK</v>
      </c>
      <c r="AC752" s="3" t="str">
        <f aca="false">IF(ABS(X752-Z752)&gt;1,"Mismatch","OK")</f>
        <v>OK</v>
      </c>
      <c r="AD752" s="5" t="n">
        <f aca="false">IF(OR(B752="",C752=""),"",C752-B752)</f>
        <v>0</v>
      </c>
      <c r="AE752" s="3" t="str">
        <f aca="false">IF(AD752="","Unknown",IF(AD752&lt;0,"Invalid - Ship Before Order","OK"))</f>
        <v>OK</v>
      </c>
      <c r="AF752" s="5" t="n">
        <f aca="false">IF(B752="","",MONTH(B752))</f>
        <v>6</v>
      </c>
      <c r="AG752" s="5" t="n">
        <f aca="false">IF(B752="","",YEAR(B752))</f>
        <v>2025</v>
      </c>
      <c r="AH752" s="3" t="s">
        <v>52</v>
      </c>
      <c r="AI752" s="3" t="s">
        <v>53</v>
      </c>
      <c r="AJ752" s="3" t="str">
        <f aca="false">IF(AND(AI752="Completed",AH752="Failed"),"Inconsistent - Completed Order with Failed Payment","OK")</f>
        <v>OK</v>
      </c>
      <c r="AK752" s="3" t="s">
        <v>54</v>
      </c>
      <c r="AL752" s="3" t="str">
        <f aca="false">IF(OR(T752="Negative - Invalid",T752="Above Allowed Range - Invalid",AE752="Invalid - Ship Before Order",AK752&lt;&gt;"Unique",AB752="Mismatch",AC752="Mismatch",AJ752&lt;&gt;"OK"),"Invalid",IF(OR(H752="Yes",O752="Yes",T752="Missing"),"Warning","Clean"))</f>
        <v>Clean</v>
      </c>
    </row>
    <row r="753" customFormat="false" ht="15" hidden="false" customHeight="true" outlineLevel="0" collapsed="false">
      <c r="A753" s="3" t="s">
        <v>2376</v>
      </c>
      <c r="B753" s="4" t="n">
        <v>45856</v>
      </c>
      <c r="C753" s="4" t="n">
        <v>45857</v>
      </c>
      <c r="D753" s="3" t="s">
        <v>2377</v>
      </c>
      <c r="E753" s="3" t="s">
        <v>141</v>
      </c>
      <c r="F753" s="3" t="s">
        <v>121</v>
      </c>
      <c r="G753" s="3" t="s">
        <v>237</v>
      </c>
      <c r="H753" s="3" t="s">
        <v>238</v>
      </c>
      <c r="I753" s="3" t="s">
        <v>163</v>
      </c>
      <c r="J753" s="3" t="s">
        <v>164</v>
      </c>
      <c r="K753" s="3" t="s">
        <v>99</v>
      </c>
      <c r="L753" s="3" t="s">
        <v>308</v>
      </c>
      <c r="M753" s="3" t="s">
        <v>2378</v>
      </c>
      <c r="N753" s="3" t="s">
        <v>237</v>
      </c>
      <c r="O753" s="3" t="s">
        <v>238</v>
      </c>
      <c r="P753" s="5" t="n">
        <v>3</v>
      </c>
      <c r="Q753" s="6" t="n">
        <v>2963.25</v>
      </c>
      <c r="R753" s="3" t="s">
        <v>128</v>
      </c>
      <c r="S753" s="7" t="n">
        <v>0.05</v>
      </c>
      <c r="T753" s="3" t="s">
        <v>51</v>
      </c>
      <c r="U753" s="7" t="n">
        <f aca="false">IF(T753="Valid",S753,0)</f>
        <v>0.05</v>
      </c>
      <c r="V753" s="6" t="n">
        <v>8445.26</v>
      </c>
      <c r="W753" s="6" t="n">
        <v>6937.6</v>
      </c>
      <c r="X753" s="6" t="n">
        <v>1507.66</v>
      </c>
      <c r="Y753" s="6" t="n">
        <f aca="false">P753*Q753*(1-U753)</f>
        <v>8445.2625</v>
      </c>
      <c r="Z753" s="6" t="n">
        <f aca="false">Y753-W753</f>
        <v>1507.6625</v>
      </c>
      <c r="AA753" s="8" t="n">
        <f aca="false">IF(Y753=0,0,Z753/Y753)</f>
        <v>0.178521685974829</v>
      </c>
      <c r="AB753" s="3" t="str">
        <f aca="false">IF(ABS(V753-Y753)&gt;1,"Mismatch","OK")</f>
        <v>OK</v>
      </c>
      <c r="AC753" s="3" t="str">
        <f aca="false">IF(ABS(X753-Z753)&gt;1,"Mismatch","OK")</f>
        <v>OK</v>
      </c>
      <c r="AD753" s="5" t="n">
        <f aca="false">IF(OR(B753="",C753=""),"",C753-B753)</f>
        <v>1</v>
      </c>
      <c r="AE753" s="3" t="str">
        <f aca="false">IF(AD753="","Unknown",IF(AD753&lt;0,"Invalid - Ship Before Order","OK"))</f>
        <v>OK</v>
      </c>
      <c r="AF753" s="5" t="n">
        <f aca="false">IF(B753="","",MONTH(B753))</f>
        <v>7</v>
      </c>
      <c r="AG753" s="5" t="n">
        <f aca="false">IF(B753="","",YEAR(B753))</f>
        <v>2025</v>
      </c>
      <c r="AH753" s="3" t="s">
        <v>52</v>
      </c>
      <c r="AI753" s="3" t="s">
        <v>53</v>
      </c>
      <c r="AJ753" s="3" t="str">
        <f aca="false">IF(AND(AI753="Completed",AH753="Failed"),"Inconsistent - Completed Order with Failed Payment","OK")</f>
        <v>OK</v>
      </c>
      <c r="AK753" s="3" t="s">
        <v>54</v>
      </c>
      <c r="AL753" s="3" t="str">
        <f aca="false">IF(OR(T753="Negative - Invalid",T753="Above Allowed Range - Invalid",AE753="Invalid - Ship Before Order",AK753&lt;&gt;"Unique",AB753="Mismatch",AC753="Mismatch",AJ753&lt;&gt;"OK"),"Invalid",IF(OR(H753="Yes",O753="Yes",T753="Missing"),"Warning","Clean"))</f>
        <v>Warning</v>
      </c>
    </row>
    <row r="754" customFormat="false" ht="15" hidden="false" customHeight="true" outlineLevel="0" collapsed="false">
      <c r="A754" s="3" t="s">
        <v>2379</v>
      </c>
      <c r="B754" s="4" t="n">
        <v>45375</v>
      </c>
      <c r="C754" s="4" t="n">
        <v>45378</v>
      </c>
      <c r="D754" s="3" t="s">
        <v>2380</v>
      </c>
      <c r="E754" s="3" t="s">
        <v>115</v>
      </c>
      <c r="F754" s="3" t="s">
        <v>116</v>
      </c>
      <c r="G754" s="3" t="s">
        <v>88</v>
      </c>
      <c r="H754" s="3" t="s">
        <v>43</v>
      </c>
      <c r="I754" s="3" t="s">
        <v>211</v>
      </c>
      <c r="J754" s="3" t="s">
        <v>212</v>
      </c>
      <c r="K754" s="3" t="s">
        <v>46</v>
      </c>
      <c r="L754" s="3" t="s">
        <v>151</v>
      </c>
      <c r="M754" s="3" t="s">
        <v>2381</v>
      </c>
      <c r="N754" s="3" t="s">
        <v>72</v>
      </c>
      <c r="O754" s="3" t="s">
        <v>43</v>
      </c>
      <c r="P754" s="5" t="n">
        <v>5</v>
      </c>
      <c r="Q754" s="6" t="n">
        <v>2465.22</v>
      </c>
      <c r="R754" s="3" t="s">
        <v>128</v>
      </c>
      <c r="S754" s="7" t="n">
        <v>0.05</v>
      </c>
      <c r="T754" s="3" t="s">
        <v>51</v>
      </c>
      <c r="U754" s="7" t="n">
        <f aca="false">IF(T754="Valid",S754,0)</f>
        <v>0.05</v>
      </c>
      <c r="V754" s="6" t="n">
        <v>11709.79</v>
      </c>
      <c r="W754" s="6" t="n">
        <v>8372.29</v>
      </c>
      <c r="X754" s="6" t="n">
        <v>3337.5</v>
      </c>
      <c r="Y754" s="6" t="n">
        <f aca="false">P754*Q754*(1-U754)</f>
        <v>11709.795</v>
      </c>
      <c r="Z754" s="6" t="n">
        <f aca="false">Y754-W754</f>
        <v>3337.505</v>
      </c>
      <c r="AA754" s="8" t="n">
        <f aca="false">IF(Y754=0,0,Z754/Y754)</f>
        <v>0.285018226194395</v>
      </c>
      <c r="AB754" s="3" t="str">
        <f aca="false">IF(ABS(V754-Y754)&gt;1,"Mismatch","OK")</f>
        <v>OK</v>
      </c>
      <c r="AC754" s="3" t="str">
        <f aca="false">IF(ABS(X754-Z754)&gt;1,"Mismatch","OK")</f>
        <v>OK</v>
      </c>
      <c r="AD754" s="5" t="n">
        <f aca="false">IF(OR(B754="",C754=""),"",C754-B754)</f>
        <v>3</v>
      </c>
      <c r="AE754" s="3" t="str">
        <f aca="false">IF(AD754="","Unknown",IF(AD754&lt;0,"Invalid - Ship Before Order","OK"))</f>
        <v>OK</v>
      </c>
      <c r="AF754" s="5" t="n">
        <f aca="false">IF(B754="","",MONTH(B754))</f>
        <v>3</v>
      </c>
      <c r="AG754" s="5" t="n">
        <f aca="false">IF(B754="","",YEAR(B754))</f>
        <v>2024</v>
      </c>
      <c r="AH754" s="3" t="s">
        <v>52</v>
      </c>
      <c r="AI754" s="3" t="s">
        <v>53</v>
      </c>
      <c r="AJ754" s="3" t="str">
        <f aca="false">IF(AND(AI754="Completed",AH754="Failed"),"Inconsistent - Completed Order with Failed Payment","OK")</f>
        <v>OK</v>
      </c>
      <c r="AK754" s="3" t="s">
        <v>54</v>
      </c>
      <c r="AL754" s="3" t="str">
        <f aca="false">IF(OR(T754="Negative - Invalid",T754="Above Allowed Range - Invalid",AE754="Invalid - Ship Before Order",AK754&lt;&gt;"Unique",AB754="Mismatch",AC754="Mismatch",AJ754&lt;&gt;"OK"),"Invalid",IF(OR(H754="Yes",O754="Yes",T754="Missing"),"Warning","Clean"))</f>
        <v>Clean</v>
      </c>
    </row>
    <row r="755" customFormat="false" ht="15" hidden="false" customHeight="true" outlineLevel="0" collapsed="false">
      <c r="A755" s="3" t="s">
        <v>2382</v>
      </c>
      <c r="B755" s="4" t="n">
        <v>45515</v>
      </c>
      <c r="C755" s="4" t="n">
        <v>45514</v>
      </c>
      <c r="D755" s="3" t="s">
        <v>2383</v>
      </c>
      <c r="E755" s="3" t="s">
        <v>115</v>
      </c>
      <c r="F755" s="3" t="s">
        <v>116</v>
      </c>
      <c r="G755" s="3" t="s">
        <v>42</v>
      </c>
      <c r="H755" s="3" t="s">
        <v>43</v>
      </c>
      <c r="I755" s="3" t="s">
        <v>384</v>
      </c>
      <c r="J755" s="3" t="s">
        <v>385</v>
      </c>
      <c r="K755" s="3" t="s">
        <v>62</v>
      </c>
      <c r="L755" s="3" t="s">
        <v>81</v>
      </c>
      <c r="M755" s="3" t="s">
        <v>2384</v>
      </c>
      <c r="N755" s="3" t="s">
        <v>49</v>
      </c>
      <c r="O755" s="3" t="s">
        <v>43</v>
      </c>
      <c r="P755" s="5" t="n">
        <v>3</v>
      </c>
      <c r="Q755" s="6" t="n">
        <v>1017.22</v>
      </c>
      <c r="R755" s="3" t="s">
        <v>107</v>
      </c>
      <c r="S755" s="7" t="n">
        <v>0.15</v>
      </c>
      <c r="T755" s="3" t="s">
        <v>51</v>
      </c>
      <c r="U755" s="7" t="n">
        <f aca="false">IF(T755="Valid",S755,0)</f>
        <v>0.15</v>
      </c>
      <c r="V755" s="6" t="n">
        <v>2593.91</v>
      </c>
      <c r="W755" s="6" t="n">
        <v>1848.48</v>
      </c>
      <c r="X755" s="6" t="n">
        <v>745.43</v>
      </c>
      <c r="Y755" s="6" t="n">
        <f aca="false">P755*Q755*(1-U755)</f>
        <v>2593.911</v>
      </c>
      <c r="Z755" s="6" t="n">
        <f aca="false">Y755-W755</f>
        <v>745.431</v>
      </c>
      <c r="AA755" s="8" t="n">
        <f aca="false">IF(Y755=0,0,Z755/Y755)</f>
        <v>0.287377246173828</v>
      </c>
      <c r="AB755" s="3" t="str">
        <f aca="false">IF(ABS(V755-Y755)&gt;1,"Mismatch","OK")</f>
        <v>OK</v>
      </c>
      <c r="AC755" s="3" t="str">
        <f aca="false">IF(ABS(X755-Z755)&gt;1,"Mismatch","OK")</f>
        <v>OK</v>
      </c>
      <c r="AD755" s="5" t="n">
        <f aca="false">IF(OR(B755="",C755=""),"",C755-B755)</f>
        <v>-1</v>
      </c>
      <c r="AE755" s="3" t="str">
        <f aca="false">IF(AD755="","Unknown",IF(AD755&lt;0,"Invalid - Ship Before Order","OK"))</f>
        <v>Invalid - Ship Before Order</v>
      </c>
      <c r="AF755" s="5" t="n">
        <f aca="false">IF(B755="","",MONTH(B755))</f>
        <v>8</v>
      </c>
      <c r="AG755" s="5" t="n">
        <f aca="false">IF(B755="","",YEAR(B755))</f>
        <v>2024</v>
      </c>
      <c r="AH755" s="3" t="s">
        <v>185</v>
      </c>
      <c r="AI755" s="3" t="s">
        <v>130</v>
      </c>
      <c r="AJ755" s="3" t="str">
        <f aca="false">IF(AND(AI755="Completed",AH755="Failed"),"Inconsistent - Completed Order with Failed Payment","OK")</f>
        <v>OK</v>
      </c>
      <c r="AK755" s="3" t="s">
        <v>54</v>
      </c>
      <c r="AL755" s="3" t="str">
        <f aca="false">IF(OR(T755="Negative - Invalid",T755="Above Allowed Range - Invalid",AE755="Invalid - Ship Before Order",AK755&lt;&gt;"Unique",AB755="Mismatch",AC755="Mismatch",AJ755&lt;&gt;"OK"),"Invalid",IF(OR(H755="Yes",O755="Yes",T755="Missing"),"Warning","Clean"))</f>
        <v>Invalid</v>
      </c>
    </row>
    <row r="756" customFormat="false" ht="15" hidden="false" customHeight="true" outlineLevel="0" collapsed="false">
      <c r="A756" s="3" t="s">
        <v>2385</v>
      </c>
      <c r="B756" s="4" t="n">
        <v>45812</v>
      </c>
      <c r="C756" s="4" t="n">
        <v>45812</v>
      </c>
      <c r="D756" s="3" t="s">
        <v>2386</v>
      </c>
      <c r="E756" s="3" t="s">
        <v>104</v>
      </c>
      <c r="F756" s="3" t="s">
        <v>116</v>
      </c>
      <c r="G756" s="3" t="s">
        <v>78</v>
      </c>
      <c r="H756" s="3" t="s">
        <v>43</v>
      </c>
      <c r="I756" s="3" t="s">
        <v>216</v>
      </c>
      <c r="J756" s="3" t="s">
        <v>217</v>
      </c>
      <c r="K756" s="3" t="s">
        <v>46</v>
      </c>
      <c r="L756" s="3" t="s">
        <v>151</v>
      </c>
      <c r="M756" s="3" t="s">
        <v>2387</v>
      </c>
      <c r="N756" s="3" t="s">
        <v>83</v>
      </c>
      <c r="O756" s="3" t="s">
        <v>43</v>
      </c>
      <c r="P756" s="5" t="n">
        <v>4</v>
      </c>
      <c r="Q756" s="6" t="n">
        <v>891.34</v>
      </c>
      <c r="R756" s="3" t="s">
        <v>84</v>
      </c>
      <c r="S756" s="7" t="n">
        <v>0.25</v>
      </c>
      <c r="T756" s="3" t="s">
        <v>51</v>
      </c>
      <c r="U756" s="7" t="n">
        <f aca="false">IF(T756="Valid",S756,0)</f>
        <v>0.25</v>
      </c>
      <c r="V756" s="6" t="n">
        <v>2674.02</v>
      </c>
      <c r="W756" s="6" t="n">
        <v>2207.57</v>
      </c>
      <c r="X756" s="6" t="n">
        <v>466.45</v>
      </c>
      <c r="Y756" s="6" t="n">
        <f aca="false">P756*Q756*(1-U756)</f>
        <v>2674.02</v>
      </c>
      <c r="Z756" s="6" t="n">
        <f aca="false">Y756-W756</f>
        <v>466.45</v>
      </c>
      <c r="AA756" s="8" t="n">
        <f aca="false">IF(Y756=0,0,Z756/Y756)</f>
        <v>0.174437737937637</v>
      </c>
      <c r="AB756" s="3" t="str">
        <f aca="false">IF(ABS(V756-Y756)&gt;1,"Mismatch","OK")</f>
        <v>OK</v>
      </c>
      <c r="AC756" s="3" t="str">
        <f aca="false">IF(ABS(X756-Z756)&gt;1,"Mismatch","OK")</f>
        <v>OK</v>
      </c>
      <c r="AD756" s="5" t="n">
        <f aca="false">IF(OR(B756="",C756=""),"",C756-B756)</f>
        <v>0</v>
      </c>
      <c r="AE756" s="3" t="str">
        <f aca="false">IF(AD756="","Unknown",IF(AD756&lt;0,"Invalid - Ship Before Order","OK"))</f>
        <v>OK</v>
      </c>
      <c r="AF756" s="5" t="n">
        <f aca="false">IF(B756="","",MONTH(B756))</f>
        <v>6</v>
      </c>
      <c r="AG756" s="5" t="n">
        <f aca="false">IF(B756="","",YEAR(B756))</f>
        <v>2025</v>
      </c>
      <c r="AH756" s="3" t="s">
        <v>52</v>
      </c>
      <c r="AI756" s="3" t="s">
        <v>53</v>
      </c>
      <c r="AJ756" s="3" t="str">
        <f aca="false">IF(AND(AI756="Completed",AH756="Failed"),"Inconsistent - Completed Order with Failed Payment","OK")</f>
        <v>OK</v>
      </c>
      <c r="AK756" s="3" t="s">
        <v>54</v>
      </c>
      <c r="AL756" s="3" t="str">
        <f aca="false">IF(OR(T756="Negative - Invalid",T756="Above Allowed Range - Invalid",AE756="Invalid - Ship Before Order",AK756&lt;&gt;"Unique",AB756="Mismatch",AC756="Mismatch",AJ756&lt;&gt;"OK"),"Invalid",IF(OR(H756="Yes",O756="Yes",T756="Missing"),"Warning","Clean"))</f>
        <v>Clean</v>
      </c>
    </row>
    <row r="757" customFormat="false" ht="15" hidden="false" customHeight="true" outlineLevel="0" collapsed="false">
      <c r="A757" s="3" t="s">
        <v>2388</v>
      </c>
      <c r="B757" s="4" t="n">
        <v>45858</v>
      </c>
      <c r="C757" s="4" t="n">
        <v>45862</v>
      </c>
      <c r="D757" s="3" t="s">
        <v>2389</v>
      </c>
      <c r="E757" s="3" t="s">
        <v>141</v>
      </c>
      <c r="F757" s="3" t="s">
        <v>121</v>
      </c>
      <c r="G757" s="3" t="s">
        <v>88</v>
      </c>
      <c r="H757" s="3" t="s">
        <v>43</v>
      </c>
      <c r="I757" s="3" t="s">
        <v>97</v>
      </c>
      <c r="J757" s="3" t="s">
        <v>98</v>
      </c>
      <c r="K757" s="3" t="s">
        <v>46</v>
      </c>
      <c r="L757" s="3" t="s">
        <v>151</v>
      </c>
      <c r="M757" s="3" t="s">
        <v>2390</v>
      </c>
      <c r="N757" s="3" t="s">
        <v>49</v>
      </c>
      <c r="O757" s="3" t="s">
        <v>43</v>
      </c>
      <c r="P757" s="5" t="n">
        <v>5</v>
      </c>
      <c r="Q757" s="6" t="n">
        <v>2481.74</v>
      </c>
      <c r="R757" s="3" t="s">
        <v>50</v>
      </c>
      <c r="S757" s="7" t="n">
        <v>0.2</v>
      </c>
      <c r="T757" s="3" t="s">
        <v>51</v>
      </c>
      <c r="U757" s="7" t="n">
        <f aca="false">IF(T757="Valid",S757,0)</f>
        <v>0.2</v>
      </c>
      <c r="V757" s="6" t="n">
        <v>9926.96</v>
      </c>
      <c r="W757" s="6" t="n">
        <v>7994.98</v>
      </c>
      <c r="X757" s="6" t="n">
        <v>1931.98</v>
      </c>
      <c r="Y757" s="6" t="n">
        <f aca="false">P757*Q757*(1-U757)</f>
        <v>9926.96</v>
      </c>
      <c r="Z757" s="6" t="n">
        <f aca="false">Y757-W757</f>
        <v>1931.98</v>
      </c>
      <c r="AA757" s="8" t="n">
        <f aca="false">IF(Y757=0,0,Z757/Y757)</f>
        <v>0.194619500834092</v>
      </c>
      <c r="AB757" s="3" t="str">
        <f aca="false">IF(ABS(V757-Y757)&gt;1,"Mismatch","OK")</f>
        <v>OK</v>
      </c>
      <c r="AC757" s="3" t="str">
        <f aca="false">IF(ABS(X757-Z757)&gt;1,"Mismatch","OK")</f>
        <v>OK</v>
      </c>
      <c r="AD757" s="5" t="n">
        <f aca="false">IF(OR(B757="",C757=""),"",C757-B757)</f>
        <v>4</v>
      </c>
      <c r="AE757" s="3" t="str">
        <f aca="false">IF(AD757="","Unknown",IF(AD757&lt;0,"Invalid - Ship Before Order","OK"))</f>
        <v>OK</v>
      </c>
      <c r="AF757" s="5" t="n">
        <f aca="false">IF(B757="","",MONTH(B757))</f>
        <v>7</v>
      </c>
      <c r="AG757" s="5" t="n">
        <f aca="false">IF(B757="","",YEAR(B757))</f>
        <v>2025</v>
      </c>
      <c r="AH757" s="3" t="s">
        <v>52</v>
      </c>
      <c r="AI757" s="3" t="s">
        <v>53</v>
      </c>
      <c r="AJ757" s="3" t="str">
        <f aca="false">IF(AND(AI757="Completed",AH757="Failed"),"Inconsistent - Completed Order with Failed Payment","OK")</f>
        <v>OK</v>
      </c>
      <c r="AK757" s="3" t="s">
        <v>54</v>
      </c>
      <c r="AL757" s="3" t="str">
        <f aca="false">IF(OR(T757="Negative - Invalid",T757="Above Allowed Range - Invalid",AE757="Invalid - Ship Before Order",AK757&lt;&gt;"Unique",AB757="Mismatch",AC757="Mismatch",AJ757&lt;&gt;"OK"),"Invalid",IF(OR(H757="Yes",O757="Yes",T757="Missing"),"Warning","Clean"))</f>
        <v>Clean</v>
      </c>
    </row>
    <row r="758" customFormat="false" ht="15" hidden="false" customHeight="true" outlineLevel="0" collapsed="false">
      <c r="A758" s="3" t="s">
        <v>2391</v>
      </c>
      <c r="B758" s="4" t="n">
        <v>45592</v>
      </c>
      <c r="C758" s="4" t="n">
        <v>45597</v>
      </c>
      <c r="D758" s="3" t="s">
        <v>2392</v>
      </c>
      <c r="E758" s="3" t="s">
        <v>168</v>
      </c>
      <c r="F758" s="3" t="s">
        <v>41</v>
      </c>
      <c r="G758" s="3" t="s">
        <v>42</v>
      </c>
      <c r="H758" s="3" t="s">
        <v>43</v>
      </c>
      <c r="I758" s="3" t="s">
        <v>44</v>
      </c>
      <c r="J758" s="3" t="s">
        <v>45</v>
      </c>
      <c r="K758" s="3" t="s">
        <v>99</v>
      </c>
      <c r="L758" s="3" t="s">
        <v>100</v>
      </c>
      <c r="M758" s="3" t="s">
        <v>2393</v>
      </c>
      <c r="N758" s="3" t="s">
        <v>65</v>
      </c>
      <c r="O758" s="3" t="s">
        <v>43</v>
      </c>
      <c r="P758" s="5" t="n">
        <v>7</v>
      </c>
      <c r="Q758" s="6" t="n">
        <v>2177.1</v>
      </c>
      <c r="R758" s="3" t="s">
        <v>50</v>
      </c>
      <c r="S758" s="7" t="n">
        <v>0.2</v>
      </c>
      <c r="T758" s="3" t="s">
        <v>51</v>
      </c>
      <c r="U758" s="7" t="n">
        <f aca="false">IF(T758="Valid",S758,0)</f>
        <v>0.2</v>
      </c>
      <c r="V758" s="6" t="n">
        <v>12191.76</v>
      </c>
      <c r="W758" s="6" t="n">
        <v>10457.49</v>
      </c>
      <c r="X758" s="6" t="n">
        <v>1734.27</v>
      </c>
      <c r="Y758" s="6" t="n">
        <f aca="false">P758*Q758*(1-U758)</f>
        <v>12191.76</v>
      </c>
      <c r="Z758" s="6" t="n">
        <f aca="false">Y758-W758</f>
        <v>1734.27</v>
      </c>
      <c r="AA758" s="8" t="n">
        <f aca="false">IF(Y758=0,0,Z758/Y758)</f>
        <v>0.14224935530227</v>
      </c>
      <c r="AB758" s="3" t="str">
        <f aca="false">IF(ABS(V758-Y758)&gt;1,"Mismatch","OK")</f>
        <v>OK</v>
      </c>
      <c r="AC758" s="3" t="str">
        <f aca="false">IF(ABS(X758-Z758)&gt;1,"Mismatch","OK")</f>
        <v>OK</v>
      </c>
      <c r="AD758" s="5" t="n">
        <f aca="false">IF(OR(B758="",C758=""),"",C758-B758)</f>
        <v>5</v>
      </c>
      <c r="AE758" s="3" t="str">
        <f aca="false">IF(AD758="","Unknown",IF(AD758&lt;0,"Invalid - Ship Before Order","OK"))</f>
        <v>OK</v>
      </c>
      <c r="AF758" s="5" t="n">
        <f aca="false">IF(B758="","",MONTH(B758))</f>
        <v>10</v>
      </c>
      <c r="AG758" s="5" t="n">
        <f aca="false">IF(B758="","",YEAR(B758))</f>
        <v>2024</v>
      </c>
      <c r="AH758" s="3" t="s">
        <v>52</v>
      </c>
      <c r="AI758" s="3" t="s">
        <v>130</v>
      </c>
      <c r="AJ758" s="3" t="str">
        <f aca="false">IF(AND(AI758="Completed",AH758="Failed"),"Inconsistent - Completed Order with Failed Payment","OK")</f>
        <v>OK</v>
      </c>
      <c r="AK758" s="3" t="s">
        <v>54</v>
      </c>
      <c r="AL758" s="3" t="str">
        <f aca="false">IF(OR(T758="Negative - Invalid",T758="Above Allowed Range - Invalid",AE758="Invalid - Ship Before Order",AK758&lt;&gt;"Unique",AB758="Mismatch",AC758="Mismatch",AJ758&lt;&gt;"OK"),"Invalid",IF(OR(H758="Yes",O758="Yes",T758="Missing"),"Warning","Clean"))</f>
        <v>Clean</v>
      </c>
    </row>
    <row r="759" customFormat="false" ht="15" hidden="false" customHeight="true" outlineLevel="0" collapsed="false">
      <c r="A759" s="3" t="s">
        <v>2394</v>
      </c>
      <c r="B759" s="4" t="n">
        <v>45870</v>
      </c>
      <c r="C759" s="4" t="n">
        <v>45872</v>
      </c>
      <c r="D759" s="3" t="s">
        <v>2395</v>
      </c>
      <c r="E759" s="3" t="s">
        <v>115</v>
      </c>
      <c r="F759" s="3" t="s">
        <v>58</v>
      </c>
      <c r="G759" s="3" t="s">
        <v>78</v>
      </c>
      <c r="H759" s="3" t="s">
        <v>43</v>
      </c>
      <c r="I759" s="3" t="s">
        <v>216</v>
      </c>
      <c r="J759" s="3" t="s">
        <v>217</v>
      </c>
      <c r="K759" s="3" t="s">
        <v>62</v>
      </c>
      <c r="L759" s="3" t="s">
        <v>188</v>
      </c>
      <c r="M759" s="3" t="s">
        <v>2396</v>
      </c>
      <c r="N759" s="3" t="s">
        <v>83</v>
      </c>
      <c r="O759" s="3" t="s">
        <v>43</v>
      </c>
      <c r="P759" s="5" t="n">
        <v>3</v>
      </c>
      <c r="Q759" s="6" t="n">
        <v>1904.78</v>
      </c>
      <c r="R759" s="3" t="s">
        <v>84</v>
      </c>
      <c r="S759" s="7" t="n">
        <v>0.25</v>
      </c>
      <c r="T759" s="3" t="s">
        <v>51</v>
      </c>
      <c r="U759" s="7" t="n">
        <f aca="false">IF(T759="Valid",S759,0)</f>
        <v>0.25</v>
      </c>
      <c r="V759" s="6" t="n">
        <v>4285.76</v>
      </c>
      <c r="W759" s="6" t="n">
        <v>2386.33</v>
      </c>
      <c r="X759" s="6" t="n">
        <v>1899.43</v>
      </c>
      <c r="Y759" s="6" t="n">
        <f aca="false">P759*Q759*(1-U759)</f>
        <v>4285.755</v>
      </c>
      <c r="Z759" s="6" t="n">
        <f aca="false">Y759-W759</f>
        <v>1899.425</v>
      </c>
      <c r="AA759" s="8" t="n">
        <f aca="false">IF(Y759=0,0,Z759/Y759)</f>
        <v>0.443194956314582</v>
      </c>
      <c r="AB759" s="3" t="str">
        <f aca="false">IF(ABS(V759-Y759)&gt;1,"Mismatch","OK")</f>
        <v>OK</v>
      </c>
      <c r="AC759" s="3" t="str">
        <f aca="false">IF(ABS(X759-Z759)&gt;1,"Mismatch","OK")</f>
        <v>OK</v>
      </c>
      <c r="AD759" s="5" t="n">
        <f aca="false">IF(OR(B759="",C759=""),"",C759-B759)</f>
        <v>2</v>
      </c>
      <c r="AE759" s="3" t="str">
        <f aca="false">IF(AD759="","Unknown",IF(AD759&lt;0,"Invalid - Ship Before Order","OK"))</f>
        <v>OK</v>
      </c>
      <c r="AF759" s="5" t="n">
        <f aca="false">IF(B759="","",MONTH(B759))</f>
        <v>8</v>
      </c>
      <c r="AG759" s="5" t="n">
        <f aca="false">IF(B759="","",YEAR(B759))</f>
        <v>2025</v>
      </c>
      <c r="AH759" s="3" t="s">
        <v>185</v>
      </c>
      <c r="AI759" s="3" t="s">
        <v>93</v>
      </c>
      <c r="AJ759" s="3" t="str">
        <f aca="false">IF(AND(AI759="Completed",AH759="Failed"),"Inconsistent - Completed Order with Failed Payment","OK")</f>
        <v>OK</v>
      </c>
      <c r="AK759" s="3" t="s">
        <v>54</v>
      </c>
      <c r="AL759" s="3" t="str">
        <f aca="false">IF(OR(T759="Negative - Invalid",T759="Above Allowed Range - Invalid",AE759="Invalid - Ship Before Order",AK759&lt;&gt;"Unique",AB759="Mismatch",AC759="Mismatch",AJ759&lt;&gt;"OK"),"Invalid",IF(OR(H759="Yes",O759="Yes",T759="Missing"),"Warning","Clean"))</f>
        <v>Clean</v>
      </c>
    </row>
    <row r="760" customFormat="false" ht="15" hidden="false" customHeight="true" outlineLevel="0" collapsed="false">
      <c r="A760" s="3" t="s">
        <v>2397</v>
      </c>
      <c r="B760" s="4" t="n">
        <v>45414</v>
      </c>
      <c r="C760" s="4" t="n">
        <v>45422</v>
      </c>
      <c r="D760" s="3" t="s">
        <v>2398</v>
      </c>
      <c r="E760" s="3" t="s">
        <v>155</v>
      </c>
      <c r="F760" s="3" t="s">
        <v>58</v>
      </c>
      <c r="G760" s="3" t="s">
        <v>78</v>
      </c>
      <c r="H760" s="3" t="s">
        <v>43</v>
      </c>
      <c r="I760" s="3" t="s">
        <v>206</v>
      </c>
      <c r="J760" s="3" t="s">
        <v>207</v>
      </c>
      <c r="K760" s="3" t="s">
        <v>62</v>
      </c>
      <c r="L760" s="3" t="s">
        <v>91</v>
      </c>
      <c r="M760" s="3" t="s">
        <v>2399</v>
      </c>
      <c r="N760" s="3" t="s">
        <v>83</v>
      </c>
      <c r="O760" s="3" t="s">
        <v>43</v>
      </c>
      <c r="P760" s="5" t="n">
        <v>1</v>
      </c>
      <c r="Q760" s="6" t="n">
        <v>4166.91</v>
      </c>
      <c r="R760" s="3" t="s">
        <v>66</v>
      </c>
      <c r="S760" s="7" t="n">
        <v>0</v>
      </c>
      <c r="T760" s="3" t="s">
        <v>51</v>
      </c>
      <c r="U760" s="7" t="n">
        <f aca="false">IF(T760="Valid",S760,0)</f>
        <v>0</v>
      </c>
      <c r="V760" s="6" t="n">
        <v>4166.91</v>
      </c>
      <c r="W760" s="6" t="n">
        <v>3412.63</v>
      </c>
      <c r="X760" s="6" t="n">
        <v>754.28</v>
      </c>
      <c r="Y760" s="6" t="n">
        <f aca="false">P760*Q760*(1-U760)</f>
        <v>4166.91</v>
      </c>
      <c r="Z760" s="6" t="n">
        <f aca="false">Y760-W760</f>
        <v>754.28</v>
      </c>
      <c r="AA760" s="8" t="n">
        <f aca="false">IF(Y760=0,0,Z760/Y760)</f>
        <v>0.181016628628888</v>
      </c>
      <c r="AB760" s="3" t="str">
        <f aca="false">IF(ABS(V760-Y760)&gt;1,"Mismatch","OK")</f>
        <v>OK</v>
      </c>
      <c r="AC760" s="3" t="str">
        <f aca="false">IF(ABS(X760-Z760)&gt;1,"Mismatch","OK")</f>
        <v>OK</v>
      </c>
      <c r="AD760" s="5" t="n">
        <f aca="false">IF(OR(B760="",C760=""),"",C760-B760)</f>
        <v>8</v>
      </c>
      <c r="AE760" s="3" t="str">
        <f aca="false">IF(AD760="","Unknown",IF(AD760&lt;0,"Invalid - Ship Before Order","OK"))</f>
        <v>OK</v>
      </c>
      <c r="AF760" s="5" t="n">
        <f aca="false">IF(B760="","",MONTH(B760))</f>
        <v>5</v>
      </c>
      <c r="AG760" s="5" t="n">
        <f aca="false">IF(B760="","",YEAR(B760))</f>
        <v>2024</v>
      </c>
      <c r="AH760" s="3" t="s">
        <v>52</v>
      </c>
      <c r="AI760" s="3" t="s">
        <v>53</v>
      </c>
      <c r="AJ760" s="3" t="str">
        <f aca="false">IF(AND(AI760="Completed",AH760="Failed"),"Inconsistent - Completed Order with Failed Payment","OK")</f>
        <v>OK</v>
      </c>
      <c r="AK760" s="3" t="s">
        <v>54</v>
      </c>
      <c r="AL760" s="3" t="str">
        <f aca="false">IF(OR(T760="Negative - Invalid",T760="Above Allowed Range - Invalid",AE760="Invalid - Ship Before Order",AK760&lt;&gt;"Unique",AB760="Mismatch",AC760="Mismatch",AJ760&lt;&gt;"OK"),"Invalid",IF(OR(H760="Yes",O760="Yes",T760="Missing"),"Warning","Clean"))</f>
        <v>Clean</v>
      </c>
    </row>
    <row r="761" customFormat="false" ht="15" hidden="false" customHeight="true" outlineLevel="0" collapsed="false">
      <c r="A761" s="3" t="s">
        <v>2400</v>
      </c>
      <c r="B761" s="4" t="n">
        <v>45492</v>
      </c>
      <c r="C761" s="4" t="n">
        <v>45499</v>
      </c>
      <c r="D761" s="3" t="s">
        <v>2401</v>
      </c>
      <c r="E761" s="3" t="s">
        <v>77</v>
      </c>
      <c r="F761" s="3" t="s">
        <v>121</v>
      </c>
      <c r="G761" s="3" t="s">
        <v>78</v>
      </c>
      <c r="H761" s="3" t="s">
        <v>43</v>
      </c>
      <c r="I761" s="3" t="s">
        <v>206</v>
      </c>
      <c r="J761" s="3" t="s">
        <v>207</v>
      </c>
      <c r="K761" s="3" t="s">
        <v>62</v>
      </c>
      <c r="L761" s="3" t="s">
        <v>63</v>
      </c>
      <c r="M761" s="3" t="s">
        <v>2402</v>
      </c>
      <c r="N761" s="3" t="s">
        <v>49</v>
      </c>
      <c r="O761" s="3" t="s">
        <v>43</v>
      </c>
      <c r="P761" s="5" t="n">
        <v>5</v>
      </c>
      <c r="Q761" s="6" t="n">
        <v>3986.01</v>
      </c>
      <c r="R761" s="3" t="s">
        <v>84</v>
      </c>
      <c r="S761" s="7" t="n">
        <v>0.25</v>
      </c>
      <c r="T761" s="3" t="s">
        <v>51</v>
      </c>
      <c r="U761" s="7" t="n">
        <f aca="false">IF(T761="Valid",S761,0)</f>
        <v>0.25</v>
      </c>
      <c r="V761" s="6" t="n">
        <v>14947.54</v>
      </c>
      <c r="W761" s="6" t="n">
        <v>9438.46</v>
      </c>
      <c r="X761" s="6" t="n">
        <v>5509.08</v>
      </c>
      <c r="Y761" s="6" t="n">
        <f aca="false">P761*Q761*(1-U761)</f>
        <v>14947.5375</v>
      </c>
      <c r="Z761" s="6" t="n">
        <f aca="false">Y761-W761</f>
        <v>5509.0775</v>
      </c>
      <c r="AA761" s="8" t="n">
        <f aca="false">IF(Y761=0,0,Z761/Y761)</f>
        <v>0.368560874993624</v>
      </c>
      <c r="AB761" s="3" t="str">
        <f aca="false">IF(ABS(V761-Y761)&gt;1,"Mismatch","OK")</f>
        <v>OK</v>
      </c>
      <c r="AC761" s="3" t="str">
        <f aca="false">IF(ABS(X761-Z761)&gt;1,"Mismatch","OK")</f>
        <v>OK</v>
      </c>
      <c r="AD761" s="5" t="n">
        <f aca="false">IF(OR(B761="",C761=""),"",C761-B761)</f>
        <v>7</v>
      </c>
      <c r="AE761" s="3" t="str">
        <f aca="false">IF(AD761="","Unknown",IF(AD761&lt;0,"Invalid - Ship Before Order","OK"))</f>
        <v>OK</v>
      </c>
      <c r="AF761" s="5" t="n">
        <f aca="false">IF(B761="","",MONTH(B761))</f>
        <v>7</v>
      </c>
      <c r="AG761" s="5" t="n">
        <f aca="false">IF(B761="","",YEAR(B761))</f>
        <v>2024</v>
      </c>
      <c r="AH761" s="3" t="s">
        <v>52</v>
      </c>
      <c r="AI761" s="3" t="s">
        <v>53</v>
      </c>
      <c r="AJ761" s="3" t="str">
        <f aca="false">IF(AND(AI761="Completed",AH761="Failed"),"Inconsistent - Completed Order with Failed Payment","OK")</f>
        <v>OK</v>
      </c>
      <c r="AK761" s="3" t="s">
        <v>54</v>
      </c>
      <c r="AL761" s="3" t="str">
        <f aca="false">IF(OR(T761="Negative - Invalid",T761="Above Allowed Range - Invalid",AE761="Invalid - Ship Before Order",AK761&lt;&gt;"Unique",AB761="Mismatch",AC761="Mismatch",AJ761&lt;&gt;"OK"),"Invalid",IF(OR(H761="Yes",O761="Yes",T761="Missing"),"Warning","Clean"))</f>
        <v>Clean</v>
      </c>
    </row>
    <row r="762" customFormat="false" ht="15" hidden="false" customHeight="true" outlineLevel="0" collapsed="false">
      <c r="A762" s="3" t="s">
        <v>2403</v>
      </c>
      <c r="B762" s="4" t="n">
        <v>45532</v>
      </c>
      <c r="C762" s="4" t="n">
        <v>45537</v>
      </c>
      <c r="D762" s="3" t="s">
        <v>2404</v>
      </c>
      <c r="E762" s="3" t="s">
        <v>115</v>
      </c>
      <c r="F762" s="3" t="s">
        <v>121</v>
      </c>
      <c r="G762" s="3" t="s">
        <v>59</v>
      </c>
      <c r="H762" s="3" t="s">
        <v>43</v>
      </c>
      <c r="I762" s="3" t="s">
        <v>196</v>
      </c>
      <c r="J762" s="3" t="s">
        <v>197</v>
      </c>
      <c r="K762" s="3" t="s">
        <v>46</v>
      </c>
      <c r="L762" s="3" t="s">
        <v>70</v>
      </c>
      <c r="M762" s="3" t="s">
        <v>2405</v>
      </c>
      <c r="N762" s="3" t="s">
        <v>49</v>
      </c>
      <c r="O762" s="3" t="s">
        <v>43</v>
      </c>
      <c r="P762" s="5" t="n">
        <v>4</v>
      </c>
      <c r="Q762" s="6" t="n">
        <v>3365.53</v>
      </c>
      <c r="R762" s="3" t="s">
        <v>66</v>
      </c>
      <c r="S762" s="7" t="n">
        <v>0</v>
      </c>
      <c r="T762" s="3" t="s">
        <v>51</v>
      </c>
      <c r="U762" s="7" t="n">
        <f aca="false">IF(T762="Valid",S762,0)</f>
        <v>0</v>
      </c>
      <c r="V762" s="6" t="n">
        <v>13462.12</v>
      </c>
      <c r="W762" s="6" t="n">
        <v>7600.63</v>
      </c>
      <c r="X762" s="6" t="n">
        <v>5861.49</v>
      </c>
      <c r="Y762" s="6" t="n">
        <f aca="false">P762*Q762*(1-U762)</f>
        <v>13462.12</v>
      </c>
      <c r="Z762" s="6" t="n">
        <f aca="false">Y762-W762</f>
        <v>5861.49</v>
      </c>
      <c r="AA762" s="8" t="n">
        <f aca="false">IF(Y762=0,0,Z762/Y762)</f>
        <v>0.435406161882378</v>
      </c>
      <c r="AB762" s="3" t="str">
        <f aca="false">IF(ABS(V762-Y762)&gt;1,"Mismatch","OK")</f>
        <v>OK</v>
      </c>
      <c r="AC762" s="3" t="str">
        <f aca="false">IF(ABS(X762-Z762)&gt;1,"Mismatch","OK")</f>
        <v>OK</v>
      </c>
      <c r="AD762" s="5" t="n">
        <f aca="false">IF(OR(B762="",C762=""),"",C762-B762)</f>
        <v>5</v>
      </c>
      <c r="AE762" s="3" t="str">
        <f aca="false">IF(AD762="","Unknown",IF(AD762&lt;0,"Invalid - Ship Before Order","OK"))</f>
        <v>OK</v>
      </c>
      <c r="AF762" s="5" t="n">
        <f aca="false">IF(B762="","",MONTH(B762))</f>
        <v>8</v>
      </c>
      <c r="AG762" s="5" t="n">
        <f aca="false">IF(B762="","",YEAR(B762))</f>
        <v>2024</v>
      </c>
      <c r="AH762" s="3" t="s">
        <v>138</v>
      </c>
      <c r="AI762" s="3" t="s">
        <v>130</v>
      </c>
      <c r="AJ762" s="3" t="str">
        <f aca="false">IF(AND(AI762="Completed",AH762="Failed"),"Inconsistent - Completed Order with Failed Payment","OK")</f>
        <v>OK</v>
      </c>
      <c r="AK762" s="3" t="s">
        <v>54</v>
      </c>
      <c r="AL762" s="3" t="str">
        <f aca="false">IF(OR(T762="Negative - Invalid",T762="Above Allowed Range - Invalid",AE762="Invalid - Ship Before Order",AK762&lt;&gt;"Unique",AB762="Mismatch",AC762="Mismatch",AJ762&lt;&gt;"OK"),"Invalid",IF(OR(H762="Yes",O762="Yes",T762="Missing"),"Warning","Clean"))</f>
        <v>Clean</v>
      </c>
    </row>
    <row r="763" customFormat="false" ht="15" hidden="false" customHeight="true" outlineLevel="0" collapsed="false">
      <c r="A763" s="3" t="s">
        <v>2406</v>
      </c>
      <c r="B763" s="4" t="n">
        <v>45896</v>
      </c>
      <c r="C763" s="4" t="n">
        <v>45900</v>
      </c>
      <c r="D763" s="3" t="s">
        <v>2407</v>
      </c>
      <c r="E763" s="3" t="s">
        <v>69</v>
      </c>
      <c r="F763" s="3" t="s">
        <v>41</v>
      </c>
      <c r="G763" s="3" t="s">
        <v>78</v>
      </c>
      <c r="H763" s="3" t="s">
        <v>43</v>
      </c>
      <c r="I763" s="3" t="s">
        <v>206</v>
      </c>
      <c r="J763" s="3" t="s">
        <v>207</v>
      </c>
      <c r="K763" s="3" t="s">
        <v>99</v>
      </c>
      <c r="L763" s="3" t="s">
        <v>308</v>
      </c>
      <c r="M763" s="3" t="s">
        <v>2408</v>
      </c>
      <c r="N763" s="3" t="s">
        <v>72</v>
      </c>
      <c r="O763" s="3" t="s">
        <v>43</v>
      </c>
      <c r="P763" s="5" t="n">
        <v>3</v>
      </c>
      <c r="Q763" s="6" t="n">
        <v>2489.12</v>
      </c>
      <c r="R763" s="3" t="s">
        <v>66</v>
      </c>
      <c r="S763" s="7" t="n">
        <v>0</v>
      </c>
      <c r="T763" s="3" t="s">
        <v>51</v>
      </c>
      <c r="U763" s="7" t="n">
        <f aca="false">IF(T763="Valid",S763,0)</f>
        <v>0</v>
      </c>
      <c r="V763" s="6" t="n">
        <v>7467.36</v>
      </c>
      <c r="W763" s="6" t="n">
        <v>5010.61</v>
      </c>
      <c r="X763" s="6" t="n">
        <v>2456.75</v>
      </c>
      <c r="Y763" s="6" t="n">
        <f aca="false">P763*Q763*(1-U763)</f>
        <v>7467.36</v>
      </c>
      <c r="Z763" s="6" t="n">
        <f aca="false">Y763-W763</f>
        <v>2456.75</v>
      </c>
      <c r="AA763" s="8" t="n">
        <f aca="false">IF(Y763=0,0,Z763/Y763)</f>
        <v>0.3289984679994</v>
      </c>
      <c r="AB763" s="3" t="str">
        <f aca="false">IF(ABS(V763-Y763)&gt;1,"Mismatch","OK")</f>
        <v>OK</v>
      </c>
      <c r="AC763" s="3" t="str">
        <f aca="false">IF(ABS(X763-Z763)&gt;1,"Mismatch","OK")</f>
        <v>OK</v>
      </c>
      <c r="AD763" s="5" t="n">
        <f aca="false">IF(OR(B763="",C763=""),"",C763-B763)</f>
        <v>4</v>
      </c>
      <c r="AE763" s="3" t="str">
        <f aca="false">IF(AD763="","Unknown",IF(AD763&lt;0,"Invalid - Ship Before Order","OK"))</f>
        <v>OK</v>
      </c>
      <c r="AF763" s="5" t="n">
        <f aca="false">IF(B763="","",MONTH(B763))</f>
        <v>8</v>
      </c>
      <c r="AG763" s="5" t="n">
        <f aca="false">IF(B763="","",YEAR(B763))</f>
        <v>2025</v>
      </c>
      <c r="AH763" s="3" t="s">
        <v>52</v>
      </c>
      <c r="AI763" s="3" t="s">
        <v>53</v>
      </c>
      <c r="AJ763" s="3" t="str">
        <f aca="false">IF(AND(AI763="Completed",AH763="Failed"),"Inconsistent - Completed Order with Failed Payment","OK")</f>
        <v>OK</v>
      </c>
      <c r="AK763" s="3" t="s">
        <v>54</v>
      </c>
      <c r="AL763" s="3" t="str">
        <f aca="false">IF(OR(T763="Negative - Invalid",T763="Above Allowed Range - Invalid",AE763="Invalid - Ship Before Order",AK763&lt;&gt;"Unique",AB763="Mismatch",AC763="Mismatch",AJ763&lt;&gt;"OK"),"Invalid",IF(OR(H763="Yes",O763="Yes",T763="Missing"),"Warning","Clean"))</f>
        <v>Clean</v>
      </c>
    </row>
    <row r="764" customFormat="false" ht="15" hidden="false" customHeight="true" outlineLevel="0" collapsed="false">
      <c r="A764" s="3" t="s">
        <v>2409</v>
      </c>
      <c r="B764" s="4" t="n">
        <v>45292</v>
      </c>
      <c r="C764" s="4" t="n">
        <v>45296</v>
      </c>
      <c r="D764" s="3" t="s">
        <v>2410</v>
      </c>
      <c r="E764" s="3" t="s">
        <v>192</v>
      </c>
      <c r="F764" s="3" t="s">
        <v>116</v>
      </c>
      <c r="G764" s="3" t="s">
        <v>88</v>
      </c>
      <c r="H764" s="3" t="s">
        <v>43</v>
      </c>
      <c r="I764" s="3" t="s">
        <v>97</v>
      </c>
      <c r="J764" s="3" t="s">
        <v>98</v>
      </c>
      <c r="K764" s="3" t="s">
        <v>99</v>
      </c>
      <c r="L764" s="3" t="s">
        <v>308</v>
      </c>
      <c r="M764" s="3" t="s">
        <v>2411</v>
      </c>
      <c r="N764" s="3" t="s">
        <v>49</v>
      </c>
      <c r="O764" s="3" t="s">
        <v>43</v>
      </c>
      <c r="P764" s="5" t="n">
        <v>2</v>
      </c>
      <c r="Q764" s="6" t="n">
        <v>3694.12</v>
      </c>
      <c r="R764" s="3" t="s">
        <v>50</v>
      </c>
      <c r="S764" s="7" t="n">
        <v>0.2</v>
      </c>
      <c r="T764" s="3" t="s">
        <v>51</v>
      </c>
      <c r="U764" s="7" t="n">
        <f aca="false">IF(T764="Valid",S764,0)</f>
        <v>0.2</v>
      </c>
      <c r="V764" s="6" t="n">
        <v>5910.59</v>
      </c>
      <c r="W764" s="6" t="n">
        <v>4775.44</v>
      </c>
      <c r="X764" s="6" t="n">
        <v>1135.15</v>
      </c>
      <c r="Y764" s="6" t="n">
        <f aca="false">P764*Q764*(1-U764)</f>
        <v>5910.592</v>
      </c>
      <c r="Z764" s="6" t="n">
        <f aca="false">Y764-W764</f>
        <v>1135.152</v>
      </c>
      <c r="AA764" s="8" t="n">
        <f aca="false">IF(Y764=0,0,Z764/Y764)</f>
        <v>0.192053858564421</v>
      </c>
      <c r="AB764" s="3" t="str">
        <f aca="false">IF(ABS(V764-Y764)&gt;1,"Mismatch","OK")</f>
        <v>OK</v>
      </c>
      <c r="AC764" s="3" t="str">
        <f aca="false">IF(ABS(X764-Z764)&gt;1,"Mismatch","OK")</f>
        <v>OK</v>
      </c>
      <c r="AD764" s="5" t="n">
        <f aca="false">IF(OR(B764="",C764=""),"",C764-B764)</f>
        <v>4</v>
      </c>
      <c r="AE764" s="3" t="str">
        <f aca="false">IF(AD764="","Unknown",IF(AD764&lt;0,"Invalid - Ship Before Order","OK"))</f>
        <v>OK</v>
      </c>
      <c r="AF764" s="5" t="n">
        <f aca="false">IF(B764="","",MONTH(B764))</f>
        <v>1</v>
      </c>
      <c r="AG764" s="5" t="n">
        <f aca="false">IF(B764="","",YEAR(B764))</f>
        <v>2024</v>
      </c>
      <c r="AH764" s="3" t="s">
        <v>129</v>
      </c>
      <c r="AI764" s="3" t="s">
        <v>130</v>
      </c>
      <c r="AJ764" s="3" t="str">
        <f aca="false">IF(AND(AI764="Completed",AH764="Failed"),"Inconsistent - Completed Order with Failed Payment","OK")</f>
        <v>OK</v>
      </c>
      <c r="AK764" s="3" t="s">
        <v>54</v>
      </c>
      <c r="AL764" s="3" t="str">
        <f aca="false">IF(OR(T764="Negative - Invalid",T764="Above Allowed Range - Invalid",AE764="Invalid - Ship Before Order",AK764&lt;&gt;"Unique",AB764="Mismatch",AC764="Mismatch",AJ764&lt;&gt;"OK"),"Invalid",IF(OR(H764="Yes",O764="Yes",T764="Missing"),"Warning","Clean"))</f>
        <v>Clean</v>
      </c>
    </row>
    <row r="765" customFormat="false" ht="15" hidden="false" customHeight="true" outlineLevel="0" collapsed="false">
      <c r="A765" s="3" t="s">
        <v>2412</v>
      </c>
      <c r="B765" s="4" t="n">
        <v>45892</v>
      </c>
      <c r="C765" s="4" t="n">
        <v>45894</v>
      </c>
      <c r="D765" s="3" t="s">
        <v>2413</v>
      </c>
      <c r="E765" s="3" t="s">
        <v>192</v>
      </c>
      <c r="F765" s="3" t="s">
        <v>41</v>
      </c>
      <c r="G765" s="3" t="s">
        <v>42</v>
      </c>
      <c r="H765" s="3" t="s">
        <v>43</v>
      </c>
      <c r="I765" s="3" t="s">
        <v>44</v>
      </c>
      <c r="J765" s="3" t="s">
        <v>45</v>
      </c>
      <c r="K765" s="3" t="s">
        <v>62</v>
      </c>
      <c r="L765" s="3" t="s">
        <v>81</v>
      </c>
      <c r="M765" s="3" t="s">
        <v>2414</v>
      </c>
      <c r="N765" s="3" t="s">
        <v>65</v>
      </c>
      <c r="O765" s="3" t="s">
        <v>43</v>
      </c>
      <c r="P765" s="5" t="n">
        <v>6</v>
      </c>
      <c r="Q765" s="6" t="n">
        <v>2742.48</v>
      </c>
      <c r="R765" s="3" t="s">
        <v>66</v>
      </c>
      <c r="S765" s="7" t="n">
        <v>0</v>
      </c>
      <c r="T765" s="3" t="s">
        <v>51</v>
      </c>
      <c r="U765" s="7" t="n">
        <f aca="false">IF(T765="Valid",S765,0)</f>
        <v>0</v>
      </c>
      <c r="V765" s="6" t="n">
        <v>16454.88</v>
      </c>
      <c r="W765" s="6" t="n">
        <v>12081.54</v>
      </c>
      <c r="X765" s="6" t="n">
        <v>4373.34</v>
      </c>
      <c r="Y765" s="6" t="n">
        <f aca="false">P765*Q765*(1-U765)</f>
        <v>16454.88</v>
      </c>
      <c r="Z765" s="6" t="n">
        <f aca="false">Y765-W765</f>
        <v>4373.34</v>
      </c>
      <c r="AA765" s="8" t="n">
        <f aca="false">IF(Y765=0,0,Z765/Y765)</f>
        <v>0.265777690265745</v>
      </c>
      <c r="AB765" s="3" t="str">
        <f aca="false">IF(ABS(V765-Y765)&gt;1,"Mismatch","OK")</f>
        <v>OK</v>
      </c>
      <c r="AC765" s="3" t="str">
        <f aca="false">IF(ABS(X765-Z765)&gt;1,"Mismatch","OK")</f>
        <v>OK</v>
      </c>
      <c r="AD765" s="5" t="n">
        <f aca="false">IF(OR(B765="",C765=""),"",C765-B765)</f>
        <v>2</v>
      </c>
      <c r="AE765" s="3" t="str">
        <f aca="false">IF(AD765="","Unknown",IF(AD765&lt;0,"Invalid - Ship Before Order","OK"))</f>
        <v>OK</v>
      </c>
      <c r="AF765" s="5" t="n">
        <f aca="false">IF(B765="","",MONTH(B765))</f>
        <v>8</v>
      </c>
      <c r="AG765" s="5" t="n">
        <f aca="false">IF(B765="","",YEAR(B765))</f>
        <v>2025</v>
      </c>
      <c r="AH765" s="3" t="s">
        <v>52</v>
      </c>
      <c r="AI765" s="3" t="s">
        <v>53</v>
      </c>
      <c r="AJ765" s="3" t="str">
        <f aca="false">IF(AND(AI765="Completed",AH765="Failed"),"Inconsistent - Completed Order with Failed Payment","OK")</f>
        <v>OK</v>
      </c>
      <c r="AK765" s="3" t="s">
        <v>54</v>
      </c>
      <c r="AL765" s="3" t="str">
        <f aca="false">IF(OR(T765="Negative - Invalid",T765="Above Allowed Range - Invalid",AE765="Invalid - Ship Before Order",AK765&lt;&gt;"Unique",AB765="Mismatch",AC765="Mismatch",AJ765&lt;&gt;"OK"),"Invalid",IF(OR(H765="Yes",O765="Yes",T765="Missing"),"Warning","Clean"))</f>
        <v>Clean</v>
      </c>
    </row>
    <row r="766" customFormat="false" ht="15" hidden="false" customHeight="true" outlineLevel="0" collapsed="false">
      <c r="A766" s="3" t="s">
        <v>2415</v>
      </c>
      <c r="B766" s="4" t="n">
        <v>45760</v>
      </c>
      <c r="C766" s="4" t="n">
        <v>45760</v>
      </c>
      <c r="D766" s="3" t="s">
        <v>925</v>
      </c>
      <c r="E766" s="3" t="s">
        <v>141</v>
      </c>
      <c r="F766" s="3" t="s">
        <v>116</v>
      </c>
      <c r="G766" s="3" t="s">
        <v>78</v>
      </c>
      <c r="H766" s="3" t="s">
        <v>43</v>
      </c>
      <c r="I766" s="3" t="s">
        <v>216</v>
      </c>
      <c r="J766" s="3" t="s">
        <v>217</v>
      </c>
      <c r="K766" s="3" t="s">
        <v>62</v>
      </c>
      <c r="L766" s="3" t="s">
        <v>188</v>
      </c>
      <c r="M766" s="3" t="s">
        <v>2416</v>
      </c>
      <c r="N766" s="3" t="s">
        <v>72</v>
      </c>
      <c r="O766" s="3" t="s">
        <v>43</v>
      </c>
      <c r="P766" s="5" t="n">
        <v>6</v>
      </c>
      <c r="Q766" s="6" t="n">
        <v>4414</v>
      </c>
      <c r="R766" s="3" t="s">
        <v>128</v>
      </c>
      <c r="S766" s="7" t="n">
        <v>0.05</v>
      </c>
      <c r="T766" s="3" t="s">
        <v>51</v>
      </c>
      <c r="U766" s="7" t="n">
        <f aca="false">IF(T766="Valid",S766,0)</f>
        <v>0.05</v>
      </c>
      <c r="V766" s="6" t="n">
        <v>25159.8</v>
      </c>
      <c r="W766" s="6" t="n">
        <v>21606.83</v>
      </c>
      <c r="X766" s="6" t="n">
        <v>3552.97</v>
      </c>
      <c r="Y766" s="6" t="n">
        <f aca="false">P766*Q766*(1-U766)</f>
        <v>25159.8</v>
      </c>
      <c r="Z766" s="6" t="n">
        <f aca="false">Y766-W766</f>
        <v>3552.97</v>
      </c>
      <c r="AA766" s="8" t="n">
        <f aca="false">IF(Y766=0,0,Z766/Y766)</f>
        <v>0.141216146392261</v>
      </c>
      <c r="AB766" s="3" t="str">
        <f aca="false">IF(ABS(V766-Y766)&gt;1,"Mismatch","OK")</f>
        <v>OK</v>
      </c>
      <c r="AC766" s="3" t="str">
        <f aca="false">IF(ABS(X766-Z766)&gt;1,"Mismatch","OK")</f>
        <v>OK</v>
      </c>
      <c r="AD766" s="5" t="n">
        <f aca="false">IF(OR(B766="",C766=""),"",C766-B766)</f>
        <v>0</v>
      </c>
      <c r="AE766" s="3" t="str">
        <f aca="false">IF(AD766="","Unknown",IF(AD766&lt;0,"Invalid - Ship Before Order","OK"))</f>
        <v>OK</v>
      </c>
      <c r="AF766" s="5" t="n">
        <f aca="false">IF(B766="","",MONTH(B766))</f>
        <v>4</v>
      </c>
      <c r="AG766" s="5" t="n">
        <f aca="false">IF(B766="","",YEAR(B766))</f>
        <v>2025</v>
      </c>
      <c r="AH766" s="3" t="s">
        <v>52</v>
      </c>
      <c r="AI766" s="3" t="s">
        <v>53</v>
      </c>
      <c r="AJ766" s="3" t="str">
        <f aca="false">IF(AND(AI766="Completed",AH766="Failed"),"Inconsistent - Completed Order with Failed Payment","OK")</f>
        <v>OK</v>
      </c>
      <c r="AK766" s="3" t="s">
        <v>54</v>
      </c>
      <c r="AL766" s="3" t="str">
        <f aca="false">IF(OR(T766="Negative - Invalid",T766="Above Allowed Range - Invalid",AE766="Invalid - Ship Before Order",AK766&lt;&gt;"Unique",AB766="Mismatch",AC766="Mismatch",AJ766&lt;&gt;"OK"),"Invalid",IF(OR(H766="Yes",O766="Yes",T766="Missing"),"Warning","Clean"))</f>
        <v>Clean</v>
      </c>
    </row>
    <row r="767" customFormat="false" ht="15" hidden="false" customHeight="true" outlineLevel="0" collapsed="false">
      <c r="A767" s="3" t="s">
        <v>2417</v>
      </c>
      <c r="B767" s="4" t="n">
        <v>45837</v>
      </c>
      <c r="C767" s="4" t="n">
        <v>45841</v>
      </c>
      <c r="D767" s="3" t="s">
        <v>2418</v>
      </c>
      <c r="E767" s="3" t="s">
        <v>96</v>
      </c>
      <c r="F767" s="3" t="s">
        <v>116</v>
      </c>
      <c r="G767" s="3" t="s">
        <v>59</v>
      </c>
      <c r="H767" s="3" t="s">
        <v>43</v>
      </c>
      <c r="I767" s="3" t="s">
        <v>262</v>
      </c>
      <c r="J767" s="3" t="s">
        <v>263</v>
      </c>
      <c r="K767" s="3" t="s">
        <v>46</v>
      </c>
      <c r="L767" s="3" t="s">
        <v>117</v>
      </c>
      <c r="M767" s="3" t="s">
        <v>2419</v>
      </c>
      <c r="N767" s="3" t="s">
        <v>72</v>
      </c>
      <c r="O767" s="3" t="s">
        <v>43</v>
      </c>
      <c r="P767" s="5" t="n">
        <v>3</v>
      </c>
      <c r="Q767" s="6" t="n">
        <v>608.14</v>
      </c>
      <c r="R767" s="3" t="s">
        <v>66</v>
      </c>
      <c r="S767" s="7" t="n">
        <v>0</v>
      </c>
      <c r="T767" s="3" t="s">
        <v>51</v>
      </c>
      <c r="U767" s="7" t="n">
        <f aca="false">IF(T767="Valid",S767,0)</f>
        <v>0</v>
      </c>
      <c r="V767" s="6" t="n">
        <v>1824.42</v>
      </c>
      <c r="W767" s="6" t="n">
        <v>1214.87</v>
      </c>
      <c r="X767" s="6" t="n">
        <v>609.55</v>
      </c>
      <c r="Y767" s="6" t="n">
        <f aca="false">P767*Q767*(1-U767)</f>
        <v>1824.42</v>
      </c>
      <c r="Z767" s="6" t="n">
        <f aca="false">Y767-W767</f>
        <v>609.55</v>
      </c>
      <c r="AA767" s="8" t="n">
        <f aca="false">IF(Y767=0,0,Z767/Y767)</f>
        <v>0.33410618169062</v>
      </c>
      <c r="AB767" s="3" t="str">
        <f aca="false">IF(ABS(V767-Y767)&gt;1,"Mismatch","OK")</f>
        <v>OK</v>
      </c>
      <c r="AC767" s="3" t="str">
        <f aca="false">IF(ABS(X767-Z767)&gt;1,"Mismatch","OK")</f>
        <v>OK</v>
      </c>
      <c r="AD767" s="5" t="n">
        <f aca="false">IF(OR(B767="",C767=""),"",C767-B767)</f>
        <v>4</v>
      </c>
      <c r="AE767" s="3" t="str">
        <f aca="false">IF(AD767="","Unknown",IF(AD767&lt;0,"Invalid - Ship Before Order","OK"))</f>
        <v>OK</v>
      </c>
      <c r="AF767" s="5" t="n">
        <f aca="false">IF(B767="","",MONTH(B767))</f>
        <v>6</v>
      </c>
      <c r="AG767" s="5" t="n">
        <f aca="false">IF(B767="","",YEAR(B767))</f>
        <v>2025</v>
      </c>
      <c r="AH767" s="3" t="s">
        <v>52</v>
      </c>
      <c r="AI767" s="3" t="s">
        <v>53</v>
      </c>
      <c r="AJ767" s="3" t="str">
        <f aca="false">IF(AND(AI767="Completed",AH767="Failed"),"Inconsistent - Completed Order with Failed Payment","OK")</f>
        <v>OK</v>
      </c>
      <c r="AK767" s="3" t="s">
        <v>54</v>
      </c>
      <c r="AL767" s="3" t="str">
        <f aca="false">IF(OR(T767="Negative - Invalid",T767="Above Allowed Range - Invalid",AE767="Invalid - Ship Before Order",AK767&lt;&gt;"Unique",AB767="Mismatch",AC767="Mismatch",AJ767&lt;&gt;"OK"),"Invalid",IF(OR(H767="Yes",O767="Yes",T767="Missing"),"Warning","Clean"))</f>
        <v>Clean</v>
      </c>
    </row>
    <row r="768" customFormat="false" ht="15" hidden="false" customHeight="true" outlineLevel="0" collapsed="false">
      <c r="A768" s="3" t="s">
        <v>2420</v>
      </c>
      <c r="B768" s="4" t="n">
        <v>45552</v>
      </c>
      <c r="C768" s="4" t="n">
        <v>45559</v>
      </c>
      <c r="D768" s="3" t="s">
        <v>2421</v>
      </c>
      <c r="E768" s="3" t="s">
        <v>57</v>
      </c>
      <c r="F768" s="3" t="s">
        <v>116</v>
      </c>
      <c r="G768" s="3" t="s">
        <v>88</v>
      </c>
      <c r="H768" s="3" t="s">
        <v>43</v>
      </c>
      <c r="I768" s="3" t="s">
        <v>211</v>
      </c>
      <c r="J768" s="3" t="s">
        <v>212</v>
      </c>
      <c r="K768" s="3" t="s">
        <v>46</v>
      </c>
      <c r="L768" s="3" t="s">
        <v>70</v>
      </c>
      <c r="M768" s="3" t="s">
        <v>2422</v>
      </c>
      <c r="N768" s="3" t="s">
        <v>49</v>
      </c>
      <c r="O768" s="3" t="s">
        <v>43</v>
      </c>
      <c r="P768" s="5" t="n">
        <v>9</v>
      </c>
      <c r="Q768" s="6" t="n">
        <v>2307.96</v>
      </c>
      <c r="R768" s="3" t="s">
        <v>50</v>
      </c>
      <c r="S768" s="7" t="n">
        <v>0.2</v>
      </c>
      <c r="T768" s="3" t="s">
        <v>51</v>
      </c>
      <c r="U768" s="7" t="n">
        <f aca="false">IF(T768="Valid",S768,0)</f>
        <v>0.2</v>
      </c>
      <c r="V768" s="6" t="n">
        <v>16617.31</v>
      </c>
      <c r="W768" s="6" t="n">
        <v>9195.73</v>
      </c>
      <c r="X768" s="6" t="n">
        <v>7421.58</v>
      </c>
      <c r="Y768" s="6" t="n">
        <f aca="false">P768*Q768*(1-U768)</f>
        <v>16617.312</v>
      </c>
      <c r="Z768" s="6" t="n">
        <f aca="false">Y768-W768</f>
        <v>7421.582</v>
      </c>
      <c r="AA768" s="8" t="n">
        <f aca="false">IF(Y768=0,0,Z768/Y768)</f>
        <v>0.446617479409426</v>
      </c>
      <c r="AB768" s="3" t="str">
        <f aca="false">IF(ABS(V768-Y768)&gt;1,"Mismatch","OK")</f>
        <v>OK</v>
      </c>
      <c r="AC768" s="3" t="str">
        <f aca="false">IF(ABS(X768-Z768)&gt;1,"Mismatch","OK")</f>
        <v>OK</v>
      </c>
      <c r="AD768" s="5" t="n">
        <f aca="false">IF(OR(B768="",C768=""),"",C768-B768)</f>
        <v>7</v>
      </c>
      <c r="AE768" s="3" t="str">
        <f aca="false">IF(AD768="","Unknown",IF(AD768&lt;0,"Invalid - Ship Before Order","OK"))</f>
        <v>OK</v>
      </c>
      <c r="AF768" s="5" t="n">
        <f aca="false">IF(B768="","",MONTH(B768))</f>
        <v>9</v>
      </c>
      <c r="AG768" s="5" t="n">
        <f aca="false">IF(B768="","",YEAR(B768))</f>
        <v>2024</v>
      </c>
      <c r="AH768" s="3" t="s">
        <v>52</v>
      </c>
      <c r="AI768" s="3" t="s">
        <v>93</v>
      </c>
      <c r="AJ768" s="3" t="str">
        <f aca="false">IF(AND(AI768="Completed",AH768="Failed"),"Inconsistent - Completed Order with Failed Payment","OK")</f>
        <v>OK</v>
      </c>
      <c r="AK768" s="3" t="s">
        <v>54</v>
      </c>
      <c r="AL768" s="3" t="str">
        <f aca="false">IF(OR(T768="Negative - Invalid",T768="Above Allowed Range - Invalid",AE768="Invalid - Ship Before Order",AK768&lt;&gt;"Unique",AB768="Mismatch",AC768="Mismatch",AJ768&lt;&gt;"OK"),"Invalid",IF(OR(H768="Yes",O768="Yes",T768="Missing"),"Warning","Clean"))</f>
        <v>Clean</v>
      </c>
    </row>
    <row r="769" customFormat="false" ht="15" hidden="false" customHeight="true" outlineLevel="0" collapsed="false">
      <c r="A769" s="3" t="s">
        <v>2423</v>
      </c>
      <c r="B769" s="4" t="n">
        <v>45415</v>
      </c>
      <c r="C769" s="4" t="n">
        <v>45418</v>
      </c>
      <c r="D769" s="3" t="s">
        <v>2424</v>
      </c>
      <c r="E769" s="3" t="s">
        <v>87</v>
      </c>
      <c r="F769" s="3" t="s">
        <v>121</v>
      </c>
      <c r="G769" s="3" t="s">
        <v>42</v>
      </c>
      <c r="H769" s="3" t="s">
        <v>43</v>
      </c>
      <c r="I769" s="3" t="s">
        <v>163</v>
      </c>
      <c r="J769" s="3" t="s">
        <v>164</v>
      </c>
      <c r="K769" s="3" t="s">
        <v>46</v>
      </c>
      <c r="L769" s="3" t="s">
        <v>183</v>
      </c>
      <c r="M769" s="3" t="s">
        <v>2425</v>
      </c>
      <c r="N769" s="3" t="s">
        <v>83</v>
      </c>
      <c r="O769" s="3" t="s">
        <v>43</v>
      </c>
      <c r="P769" s="5" t="n">
        <v>1</v>
      </c>
      <c r="Q769" s="6" t="n">
        <v>1244.58</v>
      </c>
      <c r="R769" s="3" t="s">
        <v>84</v>
      </c>
      <c r="S769" s="7" t="n">
        <v>0.25</v>
      </c>
      <c r="T769" s="3" t="s">
        <v>51</v>
      </c>
      <c r="U769" s="7" t="n">
        <f aca="false">IF(T769="Valid",S769,0)</f>
        <v>0.25</v>
      </c>
      <c r="V769" s="6" t="n">
        <v>933.43</v>
      </c>
      <c r="W769" s="6" t="n">
        <v>583.09</v>
      </c>
      <c r="X769" s="6" t="n">
        <v>350.34</v>
      </c>
      <c r="Y769" s="6" t="n">
        <f aca="false">P769*Q769*(1-U769)</f>
        <v>933.435</v>
      </c>
      <c r="Z769" s="6" t="n">
        <f aca="false">Y769-W769</f>
        <v>350.345</v>
      </c>
      <c r="AA769" s="8" t="n">
        <f aca="false">IF(Y769=0,0,Z769/Y769)</f>
        <v>0.375328758831627</v>
      </c>
      <c r="AB769" s="3" t="str">
        <f aca="false">IF(ABS(V769-Y769)&gt;1,"Mismatch","OK")</f>
        <v>OK</v>
      </c>
      <c r="AC769" s="3" t="str">
        <f aca="false">IF(ABS(X769-Z769)&gt;1,"Mismatch","OK")</f>
        <v>OK</v>
      </c>
      <c r="AD769" s="5" t="n">
        <f aca="false">IF(OR(B769="",C769=""),"",C769-B769)</f>
        <v>3</v>
      </c>
      <c r="AE769" s="3" t="str">
        <f aca="false">IF(AD769="","Unknown",IF(AD769&lt;0,"Invalid - Ship Before Order","OK"))</f>
        <v>OK</v>
      </c>
      <c r="AF769" s="5" t="n">
        <f aca="false">IF(B769="","",MONTH(B769))</f>
        <v>5</v>
      </c>
      <c r="AG769" s="5" t="n">
        <f aca="false">IF(B769="","",YEAR(B769))</f>
        <v>2024</v>
      </c>
      <c r="AH769" s="3" t="s">
        <v>52</v>
      </c>
      <c r="AI769" s="3" t="s">
        <v>53</v>
      </c>
      <c r="AJ769" s="3" t="str">
        <f aca="false">IF(AND(AI769="Completed",AH769="Failed"),"Inconsistent - Completed Order with Failed Payment","OK")</f>
        <v>OK</v>
      </c>
      <c r="AK769" s="3" t="s">
        <v>54</v>
      </c>
      <c r="AL769" s="3" t="str">
        <f aca="false">IF(OR(T769="Negative - Invalid",T769="Above Allowed Range - Invalid",AE769="Invalid - Ship Before Order",AK769&lt;&gt;"Unique",AB769="Mismatch",AC769="Mismatch",AJ769&lt;&gt;"OK"),"Invalid",IF(OR(H769="Yes",O769="Yes",T769="Missing"),"Warning","Clean"))</f>
        <v>Clean</v>
      </c>
    </row>
    <row r="770" customFormat="false" ht="15" hidden="false" customHeight="true" outlineLevel="0" collapsed="false">
      <c r="A770" s="3" t="s">
        <v>2426</v>
      </c>
      <c r="B770" s="4" t="n">
        <v>45749</v>
      </c>
      <c r="C770" s="4" t="n">
        <v>45751</v>
      </c>
      <c r="D770" s="3" t="s">
        <v>2427</v>
      </c>
      <c r="E770" s="3" t="s">
        <v>159</v>
      </c>
      <c r="F770" s="3" t="s">
        <v>121</v>
      </c>
      <c r="G770" s="3" t="s">
        <v>59</v>
      </c>
      <c r="H770" s="3" t="s">
        <v>43</v>
      </c>
      <c r="I770" s="3" t="s">
        <v>262</v>
      </c>
      <c r="J770" s="3" t="s">
        <v>263</v>
      </c>
      <c r="K770" s="3" t="s">
        <v>46</v>
      </c>
      <c r="L770" s="3" t="s">
        <v>47</v>
      </c>
      <c r="M770" s="3" t="s">
        <v>2428</v>
      </c>
      <c r="N770" s="3" t="s">
        <v>65</v>
      </c>
      <c r="O770" s="3" t="s">
        <v>43</v>
      </c>
      <c r="P770" s="5" t="n">
        <v>5</v>
      </c>
      <c r="Q770" s="6" t="n">
        <v>3234.24</v>
      </c>
      <c r="R770" s="3" t="s">
        <v>203</v>
      </c>
      <c r="S770" s="7" t="n">
        <v>0.1</v>
      </c>
      <c r="T770" s="3" t="s">
        <v>51</v>
      </c>
      <c r="U770" s="7" t="n">
        <f aca="false">IF(T770="Valid",S770,0)</f>
        <v>0.1</v>
      </c>
      <c r="V770" s="6" t="n">
        <v>14554.08</v>
      </c>
      <c r="W770" s="6" t="n">
        <v>11166.84</v>
      </c>
      <c r="X770" s="6" t="n">
        <v>3387.24</v>
      </c>
      <c r="Y770" s="6" t="n">
        <f aca="false">P770*Q770*(1-U770)</f>
        <v>14554.08</v>
      </c>
      <c r="Z770" s="6" t="n">
        <f aca="false">Y770-W770</f>
        <v>3387.24</v>
      </c>
      <c r="AA770" s="8" t="n">
        <f aca="false">IF(Y770=0,0,Z770/Y770)</f>
        <v>0.232734738300188</v>
      </c>
      <c r="AB770" s="3" t="str">
        <f aca="false">IF(ABS(V770-Y770)&gt;1,"Mismatch","OK")</f>
        <v>OK</v>
      </c>
      <c r="AC770" s="3" t="str">
        <f aca="false">IF(ABS(X770-Z770)&gt;1,"Mismatch","OK")</f>
        <v>OK</v>
      </c>
      <c r="AD770" s="5" t="n">
        <f aca="false">IF(OR(B770="",C770=""),"",C770-B770)</f>
        <v>2</v>
      </c>
      <c r="AE770" s="3" t="str">
        <f aca="false">IF(AD770="","Unknown",IF(AD770&lt;0,"Invalid - Ship Before Order","OK"))</f>
        <v>OK</v>
      </c>
      <c r="AF770" s="5" t="n">
        <f aca="false">IF(B770="","",MONTH(B770))</f>
        <v>4</v>
      </c>
      <c r="AG770" s="5" t="n">
        <f aca="false">IF(B770="","",YEAR(B770))</f>
        <v>2025</v>
      </c>
      <c r="AH770" s="3" t="s">
        <v>52</v>
      </c>
      <c r="AI770" s="3" t="s">
        <v>53</v>
      </c>
      <c r="AJ770" s="3" t="str">
        <f aca="false">IF(AND(AI770="Completed",AH770="Failed"),"Inconsistent - Completed Order with Failed Payment","OK")</f>
        <v>OK</v>
      </c>
      <c r="AK770" s="3" t="s">
        <v>54</v>
      </c>
      <c r="AL770" s="3" t="str">
        <f aca="false">IF(OR(T770="Negative - Invalid",T770="Above Allowed Range - Invalid",AE770="Invalid - Ship Before Order",AK770&lt;&gt;"Unique",AB770="Mismatch",AC770="Mismatch",AJ770&lt;&gt;"OK"),"Invalid",IF(OR(H770="Yes",O770="Yes",T770="Missing"),"Warning","Clean"))</f>
        <v>Clean</v>
      </c>
    </row>
    <row r="771" customFormat="false" ht="15" hidden="false" customHeight="true" outlineLevel="0" collapsed="false">
      <c r="A771" s="3" t="s">
        <v>2429</v>
      </c>
      <c r="B771" s="4" t="n">
        <v>45423</v>
      </c>
      <c r="C771" s="4" t="n">
        <v>45425</v>
      </c>
      <c r="D771" s="3" t="s">
        <v>2430</v>
      </c>
      <c r="E771" s="3" t="s">
        <v>141</v>
      </c>
      <c r="F771" s="3" t="s">
        <v>121</v>
      </c>
      <c r="G771" s="3" t="s">
        <v>88</v>
      </c>
      <c r="H771" s="3" t="s">
        <v>43</v>
      </c>
      <c r="I771" s="3" t="s">
        <v>221</v>
      </c>
      <c r="J771" s="3" t="s">
        <v>222</v>
      </c>
      <c r="K771" s="3" t="s">
        <v>62</v>
      </c>
      <c r="L771" s="3" t="s">
        <v>188</v>
      </c>
      <c r="M771" s="3" t="s">
        <v>2431</v>
      </c>
      <c r="N771" s="3" t="s">
        <v>65</v>
      </c>
      <c r="O771" s="3" t="s">
        <v>43</v>
      </c>
      <c r="P771" s="5" t="n">
        <v>3</v>
      </c>
      <c r="Q771" s="6" t="n">
        <v>3612.75</v>
      </c>
      <c r="R771" s="3" t="s">
        <v>84</v>
      </c>
      <c r="S771" s="7" t="n">
        <v>0.25</v>
      </c>
      <c r="T771" s="3" t="s">
        <v>51</v>
      </c>
      <c r="U771" s="7" t="n">
        <f aca="false">IF(T771="Valid",S771,0)</f>
        <v>0.25</v>
      </c>
      <c r="V771" s="6" t="n">
        <v>8128.69</v>
      </c>
      <c r="W771" s="6" t="n">
        <v>5071.66</v>
      </c>
      <c r="X771" s="6" t="n">
        <v>3057.03</v>
      </c>
      <c r="Y771" s="6" t="n">
        <f aca="false">P771*Q771*(1-U771)</f>
        <v>8128.6875</v>
      </c>
      <c r="Z771" s="6" t="n">
        <f aca="false">Y771-W771</f>
        <v>3057.0275</v>
      </c>
      <c r="AA771" s="8" t="n">
        <f aca="false">IF(Y771=0,0,Z771/Y771)</f>
        <v>0.376078856518965</v>
      </c>
      <c r="AB771" s="3" t="str">
        <f aca="false">IF(ABS(V771-Y771)&gt;1,"Mismatch","OK")</f>
        <v>OK</v>
      </c>
      <c r="AC771" s="3" t="str">
        <f aca="false">IF(ABS(X771-Z771)&gt;1,"Mismatch","OK")</f>
        <v>OK</v>
      </c>
      <c r="AD771" s="5" t="n">
        <f aca="false">IF(OR(B771="",C771=""),"",C771-B771)</f>
        <v>2</v>
      </c>
      <c r="AE771" s="3" t="str">
        <f aca="false">IF(AD771="","Unknown",IF(AD771&lt;0,"Invalid - Ship Before Order","OK"))</f>
        <v>OK</v>
      </c>
      <c r="AF771" s="5" t="n">
        <f aca="false">IF(B771="","",MONTH(B771))</f>
        <v>5</v>
      </c>
      <c r="AG771" s="5" t="n">
        <f aca="false">IF(B771="","",YEAR(B771))</f>
        <v>2024</v>
      </c>
      <c r="AH771" s="3" t="s">
        <v>52</v>
      </c>
      <c r="AI771" s="3" t="s">
        <v>53</v>
      </c>
      <c r="AJ771" s="3" t="str">
        <f aca="false">IF(AND(AI771="Completed",AH771="Failed"),"Inconsistent - Completed Order with Failed Payment","OK")</f>
        <v>OK</v>
      </c>
      <c r="AK771" s="3" t="s">
        <v>54</v>
      </c>
      <c r="AL771" s="3" t="str">
        <f aca="false">IF(OR(T771="Negative - Invalid",T771="Above Allowed Range - Invalid",AE771="Invalid - Ship Before Order",AK771&lt;&gt;"Unique",AB771="Mismatch",AC771="Mismatch",AJ771&lt;&gt;"OK"),"Invalid",IF(OR(H771="Yes",O771="Yes",T771="Missing"),"Warning","Clean"))</f>
        <v>Clean</v>
      </c>
    </row>
    <row r="772" customFormat="false" ht="15" hidden="false" customHeight="true" outlineLevel="0" collapsed="false">
      <c r="A772" s="3" t="s">
        <v>2432</v>
      </c>
      <c r="B772" s="4" t="n">
        <v>45337</v>
      </c>
      <c r="C772" s="4" t="n">
        <v>45339</v>
      </c>
      <c r="D772" s="3" t="s">
        <v>2433</v>
      </c>
      <c r="E772" s="3" t="s">
        <v>104</v>
      </c>
      <c r="F772" s="3" t="s">
        <v>41</v>
      </c>
      <c r="G772" s="3" t="s">
        <v>42</v>
      </c>
      <c r="H772" s="3" t="s">
        <v>43</v>
      </c>
      <c r="I772" s="3" t="s">
        <v>163</v>
      </c>
      <c r="J772" s="3" t="s">
        <v>164</v>
      </c>
      <c r="K772" s="3" t="s">
        <v>99</v>
      </c>
      <c r="L772" s="3" t="s">
        <v>105</v>
      </c>
      <c r="M772" s="3" t="s">
        <v>2434</v>
      </c>
      <c r="N772" s="3" t="s">
        <v>72</v>
      </c>
      <c r="O772" s="3" t="s">
        <v>43</v>
      </c>
      <c r="P772" s="5" t="n">
        <v>4</v>
      </c>
      <c r="Q772" s="6" t="n">
        <v>863</v>
      </c>
      <c r="R772" s="3"/>
      <c r="S772" s="7"/>
      <c r="T772" s="3" t="s">
        <v>230</v>
      </c>
      <c r="U772" s="7" t="n">
        <f aca="false">IF(T772="Valid",S772,0)</f>
        <v>0</v>
      </c>
      <c r="V772" s="6" t="n">
        <v>3106.8</v>
      </c>
      <c r="W772" s="6" t="n">
        <v>2376.62</v>
      </c>
      <c r="X772" s="6" t="n">
        <v>730.18</v>
      </c>
      <c r="Y772" s="6" t="n">
        <f aca="false">P772*Q772*(1-U772)</f>
        <v>3452</v>
      </c>
      <c r="Z772" s="6" t="n">
        <f aca="false">Y772-W772</f>
        <v>1075.38</v>
      </c>
      <c r="AA772" s="8" t="n">
        <f aca="false">IF(Y772=0,0,Z772/Y772)</f>
        <v>0.311523754345307</v>
      </c>
      <c r="AB772" s="3" t="str">
        <f aca="false">IF(ABS(V772-Y772)&gt;1,"Mismatch","OK")</f>
        <v>Mismatch</v>
      </c>
      <c r="AC772" s="3" t="str">
        <f aca="false">IF(ABS(X772-Z772)&gt;1,"Mismatch","OK")</f>
        <v>Mismatch</v>
      </c>
      <c r="AD772" s="5" t="n">
        <f aca="false">IF(OR(B772="",C772=""),"",C772-B772)</f>
        <v>2</v>
      </c>
      <c r="AE772" s="3" t="str">
        <f aca="false">IF(AD772="","Unknown",IF(AD772&lt;0,"Invalid - Ship Before Order","OK"))</f>
        <v>OK</v>
      </c>
      <c r="AF772" s="5" t="n">
        <f aca="false">IF(B772="","",MONTH(B772))</f>
        <v>2</v>
      </c>
      <c r="AG772" s="5" t="n">
        <f aca="false">IF(B772="","",YEAR(B772))</f>
        <v>2024</v>
      </c>
      <c r="AH772" s="3" t="s">
        <v>52</v>
      </c>
      <c r="AI772" s="3" t="s">
        <v>53</v>
      </c>
      <c r="AJ772" s="3" t="str">
        <f aca="false">IF(AND(AI772="Completed",AH772="Failed"),"Inconsistent - Completed Order with Failed Payment","OK")</f>
        <v>OK</v>
      </c>
      <c r="AK772" s="3" t="s">
        <v>54</v>
      </c>
      <c r="AL772" s="3" t="str">
        <f aca="false">IF(OR(T772="Negative - Invalid",T772="Above Allowed Range - Invalid",AE772="Invalid - Ship Before Order",AK772&lt;&gt;"Unique",AB772="Mismatch",AC772="Mismatch",AJ772&lt;&gt;"OK"),"Invalid",IF(OR(H772="Yes",O772="Yes",T772="Missing"),"Warning","Clean"))</f>
        <v>Invalid</v>
      </c>
    </row>
    <row r="773" customFormat="false" ht="15" hidden="false" customHeight="true" outlineLevel="0" collapsed="false">
      <c r="A773" s="3" t="s">
        <v>2435</v>
      </c>
      <c r="B773" s="4" t="n">
        <v>45485</v>
      </c>
      <c r="C773" s="4" t="n">
        <v>45487</v>
      </c>
      <c r="D773" s="3" t="s">
        <v>504</v>
      </c>
      <c r="E773" s="3" t="s">
        <v>87</v>
      </c>
      <c r="F773" s="3" t="s">
        <v>41</v>
      </c>
      <c r="G773" s="3" t="s">
        <v>42</v>
      </c>
      <c r="H773" s="3" t="s">
        <v>43</v>
      </c>
      <c r="I773" s="3" t="s">
        <v>270</v>
      </c>
      <c r="J773" s="3" t="s">
        <v>271</v>
      </c>
      <c r="K773" s="3" t="s">
        <v>99</v>
      </c>
      <c r="L773" s="3" t="s">
        <v>308</v>
      </c>
      <c r="M773" s="3" t="s">
        <v>2436</v>
      </c>
      <c r="N773" s="3" t="s">
        <v>49</v>
      </c>
      <c r="O773" s="3" t="s">
        <v>43</v>
      </c>
      <c r="P773" s="5" t="n">
        <v>4</v>
      </c>
      <c r="Q773" s="6" t="n">
        <v>2131.41</v>
      </c>
      <c r="R773" s="3"/>
      <c r="S773" s="7"/>
      <c r="T773" s="3" t="s">
        <v>230</v>
      </c>
      <c r="U773" s="7" t="n">
        <f aca="false">IF(T773="Valid",S773,0)</f>
        <v>0</v>
      </c>
      <c r="V773" s="6" t="n">
        <v>6394.23</v>
      </c>
      <c r="W773" s="6" t="n">
        <v>3520.69</v>
      </c>
      <c r="X773" s="6" t="n">
        <v>2873.54</v>
      </c>
      <c r="Y773" s="6" t="n">
        <f aca="false">P773*Q773*(1-U773)</f>
        <v>8525.64</v>
      </c>
      <c r="Z773" s="6" t="n">
        <f aca="false">Y773-W773</f>
        <v>5004.95</v>
      </c>
      <c r="AA773" s="8" t="n">
        <f aca="false">IF(Y773=0,0,Z773/Y773)</f>
        <v>0.587046837539469</v>
      </c>
      <c r="AB773" s="3" t="str">
        <f aca="false">IF(ABS(V773-Y773)&gt;1,"Mismatch","OK")</f>
        <v>Mismatch</v>
      </c>
      <c r="AC773" s="3" t="str">
        <f aca="false">IF(ABS(X773-Z773)&gt;1,"Mismatch","OK")</f>
        <v>Mismatch</v>
      </c>
      <c r="AD773" s="5" t="n">
        <f aca="false">IF(OR(B773="",C773=""),"",C773-B773)</f>
        <v>2</v>
      </c>
      <c r="AE773" s="3" t="str">
        <f aca="false">IF(AD773="","Unknown",IF(AD773&lt;0,"Invalid - Ship Before Order","OK"))</f>
        <v>OK</v>
      </c>
      <c r="AF773" s="5" t="n">
        <f aca="false">IF(B773="","",MONTH(B773))</f>
        <v>7</v>
      </c>
      <c r="AG773" s="5" t="n">
        <f aca="false">IF(B773="","",YEAR(B773))</f>
        <v>2024</v>
      </c>
      <c r="AH773" s="3" t="s">
        <v>52</v>
      </c>
      <c r="AI773" s="3" t="s">
        <v>53</v>
      </c>
      <c r="AJ773" s="3" t="str">
        <f aca="false">IF(AND(AI773="Completed",AH773="Failed"),"Inconsistent - Completed Order with Failed Payment","OK")</f>
        <v>OK</v>
      </c>
      <c r="AK773" s="3" t="s">
        <v>54</v>
      </c>
      <c r="AL773" s="3" t="str">
        <f aca="false">IF(OR(T773="Negative - Invalid",T773="Above Allowed Range - Invalid",AE773="Invalid - Ship Before Order",AK773&lt;&gt;"Unique",AB773="Mismatch",AC773="Mismatch",AJ773&lt;&gt;"OK"),"Invalid",IF(OR(H773="Yes",O773="Yes",T773="Missing"),"Warning","Clean"))</f>
        <v>Invalid</v>
      </c>
    </row>
    <row r="774" customFormat="false" ht="15" hidden="false" customHeight="true" outlineLevel="0" collapsed="false">
      <c r="A774" s="3" t="s">
        <v>2437</v>
      </c>
      <c r="B774" s="4" t="n">
        <v>45853</v>
      </c>
      <c r="C774" s="4" t="n">
        <v>45857</v>
      </c>
      <c r="D774" s="3" t="s">
        <v>2438</v>
      </c>
      <c r="E774" s="3" t="s">
        <v>192</v>
      </c>
      <c r="F774" s="3" t="s">
        <v>41</v>
      </c>
      <c r="G774" s="3" t="s">
        <v>78</v>
      </c>
      <c r="H774" s="3" t="s">
        <v>43</v>
      </c>
      <c r="I774" s="3" t="s">
        <v>281</v>
      </c>
      <c r="J774" s="3" t="s">
        <v>282</v>
      </c>
      <c r="K774" s="3" t="s">
        <v>62</v>
      </c>
      <c r="L774" s="3" t="s">
        <v>91</v>
      </c>
      <c r="M774" s="3" t="s">
        <v>2439</v>
      </c>
      <c r="N774" s="3" t="s">
        <v>65</v>
      </c>
      <c r="O774" s="3" t="s">
        <v>43</v>
      </c>
      <c r="P774" s="5" t="n">
        <v>1</v>
      </c>
      <c r="Q774" s="6" t="n">
        <v>3903.22</v>
      </c>
      <c r="R774" s="3" t="s">
        <v>128</v>
      </c>
      <c r="S774" s="7" t="n">
        <v>0.05</v>
      </c>
      <c r="T774" s="3" t="s">
        <v>51</v>
      </c>
      <c r="U774" s="7" t="n">
        <f aca="false">IF(T774="Valid",S774,0)</f>
        <v>0.05</v>
      </c>
      <c r="V774" s="6" t="n">
        <v>3708.06</v>
      </c>
      <c r="W774" s="6" t="n">
        <v>2760.29</v>
      </c>
      <c r="X774" s="6" t="n">
        <v>947.77</v>
      </c>
      <c r="Y774" s="6" t="n">
        <f aca="false">P774*Q774*(1-U774)</f>
        <v>3708.059</v>
      </c>
      <c r="Z774" s="6" t="n">
        <f aca="false">Y774-W774</f>
        <v>947.769</v>
      </c>
      <c r="AA774" s="8" t="n">
        <f aca="false">IF(Y774=0,0,Z774/Y774)</f>
        <v>0.255597065742481</v>
      </c>
      <c r="AB774" s="3" t="str">
        <f aca="false">IF(ABS(V774-Y774)&gt;1,"Mismatch","OK")</f>
        <v>OK</v>
      </c>
      <c r="AC774" s="3" t="str">
        <f aca="false">IF(ABS(X774-Z774)&gt;1,"Mismatch","OK")</f>
        <v>OK</v>
      </c>
      <c r="AD774" s="5" t="n">
        <f aca="false">IF(OR(B774="",C774=""),"",C774-B774)</f>
        <v>4</v>
      </c>
      <c r="AE774" s="3" t="str">
        <f aca="false">IF(AD774="","Unknown",IF(AD774&lt;0,"Invalid - Ship Before Order","OK"))</f>
        <v>OK</v>
      </c>
      <c r="AF774" s="5" t="n">
        <f aca="false">IF(B774="","",MONTH(B774))</f>
        <v>7</v>
      </c>
      <c r="AG774" s="5" t="n">
        <f aca="false">IF(B774="","",YEAR(B774))</f>
        <v>2025</v>
      </c>
      <c r="AH774" s="3" t="s">
        <v>138</v>
      </c>
      <c r="AI774" s="3" t="s">
        <v>93</v>
      </c>
      <c r="AJ774" s="3" t="str">
        <f aca="false">IF(AND(AI774="Completed",AH774="Failed"),"Inconsistent - Completed Order with Failed Payment","OK")</f>
        <v>OK</v>
      </c>
      <c r="AK774" s="3" t="s">
        <v>54</v>
      </c>
      <c r="AL774" s="3" t="str">
        <f aca="false">IF(OR(T774="Negative - Invalid",T774="Above Allowed Range - Invalid",AE774="Invalid - Ship Before Order",AK774&lt;&gt;"Unique",AB774="Mismatch",AC774="Mismatch",AJ774&lt;&gt;"OK"),"Invalid",IF(OR(H774="Yes",O774="Yes",T774="Missing"),"Warning","Clean"))</f>
        <v>Clean</v>
      </c>
    </row>
    <row r="775" customFormat="false" ht="15" hidden="false" customHeight="true" outlineLevel="0" collapsed="false">
      <c r="A775" s="3" t="s">
        <v>2440</v>
      </c>
      <c r="B775" s="4" t="n">
        <v>45709</v>
      </c>
      <c r="C775" s="4" t="n">
        <v>45709</v>
      </c>
      <c r="D775" s="3" t="s">
        <v>2441</v>
      </c>
      <c r="E775" s="3" t="s">
        <v>40</v>
      </c>
      <c r="F775" s="3" t="s">
        <v>121</v>
      </c>
      <c r="G775" s="3" t="s">
        <v>88</v>
      </c>
      <c r="H775" s="3" t="s">
        <v>43</v>
      </c>
      <c r="I775" s="3" t="s">
        <v>211</v>
      </c>
      <c r="J775" s="3" t="s">
        <v>212</v>
      </c>
      <c r="K775" s="3" t="s">
        <v>99</v>
      </c>
      <c r="L775" s="3" t="s">
        <v>201</v>
      </c>
      <c r="M775" s="3" t="s">
        <v>2442</v>
      </c>
      <c r="N775" s="3" t="s">
        <v>237</v>
      </c>
      <c r="O775" s="3" t="s">
        <v>238</v>
      </c>
      <c r="P775" s="5" t="n">
        <v>4</v>
      </c>
      <c r="Q775" s="6" t="n">
        <v>2945.07</v>
      </c>
      <c r="R775" s="3" t="s">
        <v>50</v>
      </c>
      <c r="S775" s="7" t="n">
        <v>0.2</v>
      </c>
      <c r="T775" s="3" t="s">
        <v>51</v>
      </c>
      <c r="U775" s="7" t="n">
        <f aca="false">IF(T775="Valid",S775,0)</f>
        <v>0.2</v>
      </c>
      <c r="V775" s="6" t="n">
        <v>9424.22</v>
      </c>
      <c r="W775" s="6" t="n">
        <v>6178.92</v>
      </c>
      <c r="X775" s="6" t="n">
        <v>3245.3</v>
      </c>
      <c r="Y775" s="6" t="n">
        <f aca="false">P775*Q775*(1-U775)</f>
        <v>9424.224</v>
      </c>
      <c r="Z775" s="6" t="n">
        <f aca="false">Y775-W775</f>
        <v>3245.304</v>
      </c>
      <c r="AA775" s="8" t="n">
        <f aca="false">IF(Y775=0,0,Z775/Y775)</f>
        <v>0.344357689290917</v>
      </c>
      <c r="AB775" s="3" t="str">
        <f aca="false">IF(ABS(V775-Y775)&gt;1,"Mismatch","OK")</f>
        <v>OK</v>
      </c>
      <c r="AC775" s="3" t="str">
        <f aca="false">IF(ABS(X775-Z775)&gt;1,"Mismatch","OK")</f>
        <v>OK</v>
      </c>
      <c r="AD775" s="5" t="n">
        <f aca="false">IF(OR(B775="",C775=""),"",C775-B775)</f>
        <v>0</v>
      </c>
      <c r="AE775" s="3" t="str">
        <f aca="false">IF(AD775="","Unknown",IF(AD775&lt;0,"Invalid - Ship Before Order","OK"))</f>
        <v>OK</v>
      </c>
      <c r="AF775" s="5" t="n">
        <f aca="false">IF(B775="","",MONTH(B775))</f>
        <v>2</v>
      </c>
      <c r="AG775" s="5" t="n">
        <f aca="false">IF(B775="","",YEAR(B775))</f>
        <v>2025</v>
      </c>
      <c r="AH775" s="3" t="s">
        <v>52</v>
      </c>
      <c r="AI775" s="3" t="s">
        <v>53</v>
      </c>
      <c r="AJ775" s="3" t="str">
        <f aca="false">IF(AND(AI775="Completed",AH775="Failed"),"Inconsistent - Completed Order with Failed Payment","OK")</f>
        <v>OK</v>
      </c>
      <c r="AK775" s="3" t="s">
        <v>54</v>
      </c>
      <c r="AL775" s="3" t="str">
        <f aca="false">IF(OR(T775="Negative - Invalid",T775="Above Allowed Range - Invalid",AE775="Invalid - Ship Before Order",AK775&lt;&gt;"Unique",AB775="Mismatch",AC775="Mismatch",AJ775&lt;&gt;"OK"),"Invalid",IF(OR(H775="Yes",O775="Yes",T775="Missing"),"Warning","Clean"))</f>
        <v>Warning</v>
      </c>
    </row>
    <row r="776" customFormat="false" ht="15" hidden="false" customHeight="true" outlineLevel="0" collapsed="false">
      <c r="A776" s="3" t="s">
        <v>2443</v>
      </c>
      <c r="B776" s="4" t="n">
        <v>45876</v>
      </c>
      <c r="C776" s="4" t="n">
        <v>45876</v>
      </c>
      <c r="D776" s="3" t="s">
        <v>2444</v>
      </c>
      <c r="E776" s="3" t="s">
        <v>298</v>
      </c>
      <c r="F776" s="3" t="s">
        <v>41</v>
      </c>
      <c r="G776" s="3" t="s">
        <v>88</v>
      </c>
      <c r="H776" s="3" t="s">
        <v>43</v>
      </c>
      <c r="I776" s="3" t="s">
        <v>44</v>
      </c>
      <c r="J776" s="3" t="s">
        <v>136</v>
      </c>
      <c r="K776" s="3" t="s">
        <v>99</v>
      </c>
      <c r="L776" s="3" t="s">
        <v>308</v>
      </c>
      <c r="M776" s="3" t="s">
        <v>2445</v>
      </c>
      <c r="N776" s="3" t="s">
        <v>237</v>
      </c>
      <c r="O776" s="3" t="s">
        <v>238</v>
      </c>
      <c r="P776" s="5" t="n">
        <v>9</v>
      </c>
      <c r="Q776" s="6" t="n">
        <v>1076.75</v>
      </c>
      <c r="R776" s="3" t="s">
        <v>50</v>
      </c>
      <c r="S776" s="7" t="n">
        <v>0.2</v>
      </c>
      <c r="T776" s="3" t="s">
        <v>51</v>
      </c>
      <c r="U776" s="7" t="n">
        <f aca="false">IF(T776="Valid",S776,0)</f>
        <v>0.2</v>
      </c>
      <c r="V776" s="6" t="n">
        <v>7752.6</v>
      </c>
      <c r="W776" s="6" t="n">
        <v>4689.3</v>
      </c>
      <c r="X776" s="6" t="n">
        <v>3063.3</v>
      </c>
      <c r="Y776" s="6" t="n">
        <f aca="false">P776*Q776*(1-U776)</f>
        <v>7752.6</v>
      </c>
      <c r="Z776" s="6" t="n">
        <f aca="false">Y776-W776</f>
        <v>3063.3</v>
      </c>
      <c r="AA776" s="8" t="n">
        <f aca="false">IF(Y776=0,0,Z776/Y776)</f>
        <v>0.395131955730981</v>
      </c>
      <c r="AB776" s="3" t="str">
        <f aca="false">IF(ABS(V776-Y776)&gt;1,"Mismatch","OK")</f>
        <v>OK</v>
      </c>
      <c r="AC776" s="3" t="str">
        <f aca="false">IF(ABS(X776-Z776)&gt;1,"Mismatch","OK")</f>
        <v>OK</v>
      </c>
      <c r="AD776" s="5" t="n">
        <f aca="false">IF(OR(B776="",C776=""),"",C776-B776)</f>
        <v>0</v>
      </c>
      <c r="AE776" s="3" t="str">
        <f aca="false">IF(AD776="","Unknown",IF(AD776&lt;0,"Invalid - Ship Before Order","OK"))</f>
        <v>OK</v>
      </c>
      <c r="AF776" s="5" t="n">
        <f aca="false">IF(B776="","",MONTH(B776))</f>
        <v>8</v>
      </c>
      <c r="AG776" s="5" t="n">
        <f aca="false">IF(B776="","",YEAR(B776))</f>
        <v>2025</v>
      </c>
      <c r="AH776" s="3" t="s">
        <v>52</v>
      </c>
      <c r="AI776" s="3" t="s">
        <v>53</v>
      </c>
      <c r="AJ776" s="3" t="str">
        <f aca="false">IF(AND(AI776="Completed",AH776="Failed"),"Inconsistent - Completed Order with Failed Payment","OK")</f>
        <v>OK</v>
      </c>
      <c r="AK776" s="3" t="s">
        <v>54</v>
      </c>
      <c r="AL776" s="3" t="str">
        <f aca="false">IF(OR(T776="Negative - Invalid",T776="Above Allowed Range - Invalid",AE776="Invalid - Ship Before Order",AK776&lt;&gt;"Unique",AB776="Mismatch",AC776="Mismatch",AJ776&lt;&gt;"OK"),"Invalid",IF(OR(H776="Yes",O776="Yes",T776="Missing"),"Warning","Clean"))</f>
        <v>Warning</v>
      </c>
    </row>
    <row r="777" customFormat="false" ht="15" hidden="false" customHeight="true" outlineLevel="0" collapsed="false">
      <c r="A777" s="3" t="s">
        <v>2446</v>
      </c>
      <c r="B777" s="4" t="n">
        <v>45396</v>
      </c>
      <c r="C777" s="4" t="n">
        <v>45404</v>
      </c>
      <c r="D777" s="3" t="s">
        <v>2447</v>
      </c>
      <c r="E777" s="3" t="s">
        <v>77</v>
      </c>
      <c r="F777" s="3" t="s">
        <v>41</v>
      </c>
      <c r="G777" s="3" t="s">
        <v>42</v>
      </c>
      <c r="H777" s="3" t="s">
        <v>43</v>
      </c>
      <c r="I777" s="3" t="s">
        <v>270</v>
      </c>
      <c r="J777" s="3" t="s">
        <v>271</v>
      </c>
      <c r="K777" s="3" t="s">
        <v>99</v>
      </c>
      <c r="L777" s="3" t="s">
        <v>100</v>
      </c>
      <c r="M777" s="3" t="s">
        <v>2448</v>
      </c>
      <c r="N777" s="3" t="s">
        <v>83</v>
      </c>
      <c r="O777" s="3" t="s">
        <v>43</v>
      </c>
      <c r="P777" s="5" t="n">
        <v>8</v>
      </c>
      <c r="Q777" s="6" t="n">
        <v>3956.12</v>
      </c>
      <c r="R777" s="3" t="s">
        <v>84</v>
      </c>
      <c r="S777" s="7" t="n">
        <v>0.25</v>
      </c>
      <c r="T777" s="3" t="s">
        <v>51</v>
      </c>
      <c r="U777" s="7" t="n">
        <f aca="false">IF(T777="Valid",S777,0)</f>
        <v>0.25</v>
      </c>
      <c r="V777" s="6" t="n">
        <v>23736.72</v>
      </c>
      <c r="W777" s="6" t="n">
        <v>13890.9</v>
      </c>
      <c r="X777" s="6" t="n">
        <v>9845.82</v>
      </c>
      <c r="Y777" s="6" t="n">
        <f aca="false">P777*Q777*(1-U777)</f>
        <v>23736.72</v>
      </c>
      <c r="Z777" s="6" t="n">
        <f aca="false">Y777-W777</f>
        <v>9845.82</v>
      </c>
      <c r="AA777" s="8" t="n">
        <f aca="false">IF(Y777=0,0,Z777/Y777)</f>
        <v>0.414792776761069</v>
      </c>
      <c r="AB777" s="3" t="str">
        <f aca="false">IF(ABS(V777-Y777)&gt;1,"Mismatch","OK")</f>
        <v>OK</v>
      </c>
      <c r="AC777" s="3" t="str">
        <f aca="false">IF(ABS(X777-Z777)&gt;1,"Mismatch","OK")</f>
        <v>OK</v>
      </c>
      <c r="AD777" s="5" t="n">
        <f aca="false">IF(OR(B777="",C777=""),"",C777-B777)</f>
        <v>8</v>
      </c>
      <c r="AE777" s="3" t="str">
        <f aca="false">IF(AD777="","Unknown",IF(AD777&lt;0,"Invalid - Ship Before Order","OK"))</f>
        <v>OK</v>
      </c>
      <c r="AF777" s="5" t="n">
        <f aca="false">IF(B777="","",MONTH(B777))</f>
        <v>4</v>
      </c>
      <c r="AG777" s="5" t="n">
        <f aca="false">IF(B777="","",YEAR(B777))</f>
        <v>2024</v>
      </c>
      <c r="AH777" s="3" t="s">
        <v>52</v>
      </c>
      <c r="AI777" s="3" t="s">
        <v>53</v>
      </c>
      <c r="AJ777" s="3" t="str">
        <f aca="false">IF(AND(AI777="Completed",AH777="Failed"),"Inconsistent - Completed Order with Failed Payment","OK")</f>
        <v>OK</v>
      </c>
      <c r="AK777" s="3" t="s">
        <v>54</v>
      </c>
      <c r="AL777" s="3" t="str">
        <f aca="false">IF(OR(T777="Negative - Invalid",T777="Above Allowed Range - Invalid",AE777="Invalid - Ship Before Order",AK777&lt;&gt;"Unique",AB777="Mismatch",AC777="Mismatch",AJ777&lt;&gt;"OK"),"Invalid",IF(OR(H777="Yes",O777="Yes",T777="Missing"),"Warning","Clean"))</f>
        <v>Clean</v>
      </c>
    </row>
    <row r="778" customFormat="false" ht="15" hidden="false" customHeight="true" outlineLevel="0" collapsed="false">
      <c r="A778" s="3" t="s">
        <v>2449</v>
      </c>
      <c r="B778" s="4" t="n">
        <v>45816</v>
      </c>
      <c r="C778" s="4" t="n">
        <v>45821</v>
      </c>
      <c r="D778" s="3" t="s">
        <v>2450</v>
      </c>
      <c r="E778" s="3" t="s">
        <v>115</v>
      </c>
      <c r="F778" s="3" t="s">
        <v>58</v>
      </c>
      <c r="G778" s="3" t="s">
        <v>42</v>
      </c>
      <c r="H778" s="3" t="s">
        <v>43</v>
      </c>
      <c r="I778" s="3" t="s">
        <v>44</v>
      </c>
      <c r="J778" s="3" t="s">
        <v>45</v>
      </c>
      <c r="K778" s="3" t="s">
        <v>99</v>
      </c>
      <c r="L778" s="3" t="s">
        <v>105</v>
      </c>
      <c r="M778" s="3" t="s">
        <v>2451</v>
      </c>
      <c r="N778" s="3" t="s">
        <v>49</v>
      </c>
      <c r="O778" s="3" t="s">
        <v>43</v>
      </c>
      <c r="P778" s="5" t="n">
        <v>7</v>
      </c>
      <c r="Q778" s="6" t="n">
        <v>3857.13</v>
      </c>
      <c r="R778" s="3" t="s">
        <v>66</v>
      </c>
      <c r="S778" s="7" t="n">
        <v>0</v>
      </c>
      <c r="T778" s="3" t="s">
        <v>51</v>
      </c>
      <c r="U778" s="7" t="n">
        <f aca="false">IF(T778="Valid",S778,0)</f>
        <v>0</v>
      </c>
      <c r="V778" s="6" t="n">
        <v>26999.91</v>
      </c>
      <c r="W778" s="6" t="n">
        <v>17815.98</v>
      </c>
      <c r="X778" s="6" t="n">
        <v>9183.93</v>
      </c>
      <c r="Y778" s="6" t="n">
        <f aca="false">P778*Q778*(1-U778)</f>
        <v>26999.91</v>
      </c>
      <c r="Z778" s="6" t="n">
        <f aca="false">Y778-W778</f>
        <v>9183.93</v>
      </c>
      <c r="AA778" s="8" t="n">
        <f aca="false">IF(Y778=0,0,Z778/Y778)</f>
        <v>0.340146689377854</v>
      </c>
      <c r="AB778" s="3" t="str">
        <f aca="false">IF(ABS(V778-Y778)&gt;1,"Mismatch","OK")</f>
        <v>OK</v>
      </c>
      <c r="AC778" s="3" t="str">
        <f aca="false">IF(ABS(X778-Z778)&gt;1,"Mismatch","OK")</f>
        <v>OK</v>
      </c>
      <c r="AD778" s="5" t="n">
        <f aca="false">IF(OR(B778="",C778=""),"",C778-B778)</f>
        <v>5</v>
      </c>
      <c r="AE778" s="3" t="str">
        <f aca="false">IF(AD778="","Unknown",IF(AD778&lt;0,"Invalid - Ship Before Order","OK"))</f>
        <v>OK</v>
      </c>
      <c r="AF778" s="5" t="n">
        <f aca="false">IF(B778="","",MONTH(B778))</f>
        <v>6</v>
      </c>
      <c r="AG778" s="5" t="n">
        <f aca="false">IF(B778="","",YEAR(B778))</f>
        <v>2025</v>
      </c>
      <c r="AH778" s="3" t="s">
        <v>52</v>
      </c>
      <c r="AI778" s="3" t="s">
        <v>53</v>
      </c>
      <c r="AJ778" s="3" t="str">
        <f aca="false">IF(AND(AI778="Completed",AH778="Failed"),"Inconsistent - Completed Order with Failed Payment","OK")</f>
        <v>OK</v>
      </c>
      <c r="AK778" s="3" t="s">
        <v>54</v>
      </c>
      <c r="AL778" s="3" t="str">
        <f aca="false">IF(OR(T778="Negative - Invalid",T778="Above Allowed Range - Invalid",AE778="Invalid - Ship Before Order",AK778&lt;&gt;"Unique",AB778="Mismatch",AC778="Mismatch",AJ778&lt;&gt;"OK"),"Invalid",IF(OR(H778="Yes",O778="Yes",T778="Missing"),"Warning","Clean"))</f>
        <v>Clean</v>
      </c>
    </row>
    <row r="779" customFormat="false" ht="15" hidden="false" customHeight="true" outlineLevel="0" collapsed="false">
      <c r="A779" s="3" t="s">
        <v>2452</v>
      </c>
      <c r="B779" s="4" t="n">
        <v>45326</v>
      </c>
      <c r="C779" s="4" t="n">
        <v>45328</v>
      </c>
      <c r="D779" s="3" t="s">
        <v>2453</v>
      </c>
      <c r="E779" s="3" t="s">
        <v>298</v>
      </c>
      <c r="F779" s="3" t="s">
        <v>58</v>
      </c>
      <c r="G779" s="3" t="s">
        <v>88</v>
      </c>
      <c r="H779" s="3" t="s">
        <v>43</v>
      </c>
      <c r="I779" s="3" t="s">
        <v>97</v>
      </c>
      <c r="J779" s="3" t="s">
        <v>98</v>
      </c>
      <c r="K779" s="3" t="s">
        <v>99</v>
      </c>
      <c r="L779" s="3" t="s">
        <v>100</v>
      </c>
      <c r="M779" s="3" t="s">
        <v>2454</v>
      </c>
      <c r="N779" s="3" t="s">
        <v>49</v>
      </c>
      <c r="O779" s="3" t="s">
        <v>43</v>
      </c>
      <c r="P779" s="5" t="n">
        <v>4</v>
      </c>
      <c r="Q779" s="6" t="n">
        <v>1489.74</v>
      </c>
      <c r="R779" s="3" t="s">
        <v>107</v>
      </c>
      <c r="S779" s="7" t="n">
        <v>0.15</v>
      </c>
      <c r="T779" s="3" t="s">
        <v>51</v>
      </c>
      <c r="U779" s="7" t="n">
        <f aca="false">IF(T779="Valid",S779,0)</f>
        <v>0.15</v>
      </c>
      <c r="V779" s="6" t="n">
        <v>5065.12</v>
      </c>
      <c r="W779" s="6" t="n">
        <v>3530.12</v>
      </c>
      <c r="X779" s="6" t="n">
        <v>1535</v>
      </c>
      <c r="Y779" s="6" t="n">
        <f aca="false">P779*Q779*(1-U779)</f>
        <v>5065.116</v>
      </c>
      <c r="Z779" s="6" t="n">
        <f aca="false">Y779-W779</f>
        <v>1534.996</v>
      </c>
      <c r="AA779" s="8" t="n">
        <f aca="false">IF(Y779=0,0,Z779/Y779)</f>
        <v>0.303052486853213</v>
      </c>
      <c r="AB779" s="3" t="str">
        <f aca="false">IF(ABS(V779-Y779)&gt;1,"Mismatch","OK")</f>
        <v>OK</v>
      </c>
      <c r="AC779" s="3" t="str">
        <f aca="false">IF(ABS(X779-Z779)&gt;1,"Mismatch","OK")</f>
        <v>OK</v>
      </c>
      <c r="AD779" s="5" t="n">
        <f aca="false">IF(OR(B779="",C779=""),"",C779-B779)</f>
        <v>2</v>
      </c>
      <c r="AE779" s="3" t="str">
        <f aca="false">IF(AD779="","Unknown",IF(AD779&lt;0,"Invalid - Ship Before Order","OK"))</f>
        <v>OK</v>
      </c>
      <c r="AF779" s="5" t="n">
        <f aca="false">IF(B779="","",MONTH(B779))</f>
        <v>2</v>
      </c>
      <c r="AG779" s="5" t="n">
        <f aca="false">IF(B779="","",YEAR(B779))</f>
        <v>2024</v>
      </c>
      <c r="AH779" s="3" t="s">
        <v>185</v>
      </c>
      <c r="AI779" s="3" t="s">
        <v>93</v>
      </c>
      <c r="AJ779" s="3" t="str">
        <f aca="false">IF(AND(AI779="Completed",AH779="Failed"),"Inconsistent - Completed Order with Failed Payment","OK")</f>
        <v>OK</v>
      </c>
      <c r="AK779" s="3" t="s">
        <v>54</v>
      </c>
      <c r="AL779" s="3" t="str">
        <f aca="false">IF(OR(T779="Negative - Invalid",T779="Above Allowed Range - Invalid",AE779="Invalid - Ship Before Order",AK779&lt;&gt;"Unique",AB779="Mismatch",AC779="Mismatch",AJ779&lt;&gt;"OK"),"Invalid",IF(OR(H779="Yes",O779="Yes",T779="Missing"),"Warning","Clean"))</f>
        <v>Clean</v>
      </c>
    </row>
    <row r="780" customFormat="false" ht="15" hidden="false" customHeight="true" outlineLevel="0" collapsed="false">
      <c r="A780" s="3" t="s">
        <v>2455</v>
      </c>
      <c r="B780" s="4" t="n">
        <v>45497</v>
      </c>
      <c r="C780" s="4" t="n">
        <v>45497</v>
      </c>
      <c r="D780" s="3" t="s">
        <v>2456</v>
      </c>
      <c r="E780" s="3" t="s">
        <v>40</v>
      </c>
      <c r="F780" s="3" t="s">
        <v>58</v>
      </c>
      <c r="G780" s="3" t="s">
        <v>42</v>
      </c>
      <c r="H780" s="3" t="s">
        <v>43</v>
      </c>
      <c r="I780" s="3" t="s">
        <v>270</v>
      </c>
      <c r="J780" s="3" t="s">
        <v>271</v>
      </c>
      <c r="K780" s="3" t="s">
        <v>99</v>
      </c>
      <c r="L780" s="3" t="s">
        <v>105</v>
      </c>
      <c r="M780" s="3" t="s">
        <v>2457</v>
      </c>
      <c r="N780" s="3" t="s">
        <v>49</v>
      </c>
      <c r="O780" s="3" t="s">
        <v>43</v>
      </c>
      <c r="P780" s="5" t="n">
        <v>4</v>
      </c>
      <c r="Q780" s="6" t="n">
        <v>1676.88</v>
      </c>
      <c r="R780" s="3" t="s">
        <v>66</v>
      </c>
      <c r="S780" s="7" t="n">
        <v>0</v>
      </c>
      <c r="T780" s="3" t="s">
        <v>51</v>
      </c>
      <c r="U780" s="7" t="n">
        <f aca="false">IF(T780="Valid",S780,0)</f>
        <v>0</v>
      </c>
      <c r="V780" s="6" t="n">
        <v>6707.52</v>
      </c>
      <c r="W780" s="6" t="n">
        <v>5672.57</v>
      </c>
      <c r="X780" s="6" t="n">
        <v>1034.95</v>
      </c>
      <c r="Y780" s="6" t="n">
        <f aca="false">P780*Q780*(1-U780)</f>
        <v>6707.52</v>
      </c>
      <c r="Z780" s="6" t="n">
        <f aca="false">Y780-W780</f>
        <v>1034.95</v>
      </c>
      <c r="AA780" s="8" t="n">
        <f aca="false">IF(Y780=0,0,Z780/Y780)</f>
        <v>0.154296968178999</v>
      </c>
      <c r="AB780" s="3" t="str">
        <f aca="false">IF(ABS(V780-Y780)&gt;1,"Mismatch","OK")</f>
        <v>OK</v>
      </c>
      <c r="AC780" s="3" t="str">
        <f aca="false">IF(ABS(X780-Z780)&gt;1,"Mismatch","OK")</f>
        <v>OK</v>
      </c>
      <c r="AD780" s="5" t="n">
        <f aca="false">IF(OR(B780="",C780=""),"",C780-B780)</f>
        <v>0</v>
      </c>
      <c r="AE780" s="3" t="str">
        <f aca="false">IF(AD780="","Unknown",IF(AD780&lt;0,"Invalid - Ship Before Order","OK"))</f>
        <v>OK</v>
      </c>
      <c r="AF780" s="5" t="n">
        <f aca="false">IF(B780="","",MONTH(B780))</f>
        <v>7</v>
      </c>
      <c r="AG780" s="5" t="n">
        <f aca="false">IF(B780="","",YEAR(B780))</f>
        <v>2024</v>
      </c>
      <c r="AH780" s="3" t="s">
        <v>52</v>
      </c>
      <c r="AI780" s="3" t="s">
        <v>53</v>
      </c>
      <c r="AJ780" s="3" t="str">
        <f aca="false">IF(AND(AI780="Completed",AH780="Failed"),"Inconsistent - Completed Order with Failed Payment","OK")</f>
        <v>OK</v>
      </c>
      <c r="AK780" s="3" t="s">
        <v>54</v>
      </c>
      <c r="AL780" s="3" t="str">
        <f aca="false">IF(OR(T780="Negative - Invalid",T780="Above Allowed Range - Invalid",AE780="Invalid - Ship Before Order",AK780&lt;&gt;"Unique",AB780="Mismatch",AC780="Mismatch",AJ780&lt;&gt;"OK"),"Invalid",IF(OR(H780="Yes",O780="Yes",T780="Missing"),"Warning","Clean"))</f>
        <v>Clean</v>
      </c>
    </row>
    <row r="781" customFormat="false" ht="15" hidden="false" customHeight="true" outlineLevel="0" collapsed="false">
      <c r="A781" s="3" t="s">
        <v>2458</v>
      </c>
      <c r="B781" s="4" t="n">
        <v>45306</v>
      </c>
      <c r="C781" s="4" t="n">
        <v>45311</v>
      </c>
      <c r="D781" s="3" t="s">
        <v>2459</v>
      </c>
      <c r="E781" s="3" t="s">
        <v>141</v>
      </c>
      <c r="F781" s="3" t="s">
        <v>58</v>
      </c>
      <c r="G781" s="3" t="s">
        <v>78</v>
      </c>
      <c r="H781" s="3" t="s">
        <v>43</v>
      </c>
      <c r="I781" s="3" t="s">
        <v>110</v>
      </c>
      <c r="J781" s="3" t="s">
        <v>111</v>
      </c>
      <c r="K781" s="3" t="s">
        <v>62</v>
      </c>
      <c r="L781" s="3" t="s">
        <v>91</v>
      </c>
      <c r="M781" s="3" t="s">
        <v>2460</v>
      </c>
      <c r="N781" s="3" t="s">
        <v>83</v>
      </c>
      <c r="O781" s="3" t="s">
        <v>43</v>
      </c>
      <c r="P781" s="5" t="n">
        <v>4</v>
      </c>
      <c r="Q781" s="6" t="n">
        <v>3153.54</v>
      </c>
      <c r="R781" s="3" t="s">
        <v>128</v>
      </c>
      <c r="S781" s="7" t="n">
        <v>0.05</v>
      </c>
      <c r="T781" s="3" t="s">
        <v>51</v>
      </c>
      <c r="U781" s="7" t="n">
        <f aca="false">IF(T781="Valid",S781,0)</f>
        <v>0.05</v>
      </c>
      <c r="V781" s="6" t="n">
        <v>11983.45</v>
      </c>
      <c r="W781" s="6" t="n">
        <v>8572.9</v>
      </c>
      <c r="X781" s="6" t="n">
        <v>3410.55</v>
      </c>
      <c r="Y781" s="6" t="n">
        <f aca="false">P781*Q781*(1-U781)</f>
        <v>11983.452</v>
      </c>
      <c r="Z781" s="6" t="n">
        <f aca="false">Y781-W781</f>
        <v>3410.552</v>
      </c>
      <c r="AA781" s="8" t="n">
        <f aca="false">IF(Y781=0,0,Z781/Y781)</f>
        <v>0.284605137150798</v>
      </c>
      <c r="AB781" s="3" t="str">
        <f aca="false">IF(ABS(V781-Y781)&gt;1,"Mismatch","OK")</f>
        <v>OK</v>
      </c>
      <c r="AC781" s="3" t="str">
        <f aca="false">IF(ABS(X781-Z781)&gt;1,"Mismatch","OK")</f>
        <v>OK</v>
      </c>
      <c r="AD781" s="5" t="n">
        <f aca="false">IF(OR(B781="",C781=""),"",C781-B781)</f>
        <v>5</v>
      </c>
      <c r="AE781" s="3" t="str">
        <f aca="false">IF(AD781="","Unknown",IF(AD781&lt;0,"Invalid - Ship Before Order","OK"))</f>
        <v>OK</v>
      </c>
      <c r="AF781" s="5" t="n">
        <f aca="false">IF(B781="","",MONTH(B781))</f>
        <v>1</v>
      </c>
      <c r="AG781" s="5" t="n">
        <f aca="false">IF(B781="","",YEAR(B781))</f>
        <v>2024</v>
      </c>
      <c r="AH781" s="3" t="s">
        <v>52</v>
      </c>
      <c r="AI781" s="3" t="s">
        <v>53</v>
      </c>
      <c r="AJ781" s="3" t="str">
        <f aca="false">IF(AND(AI781="Completed",AH781="Failed"),"Inconsistent - Completed Order with Failed Payment","OK")</f>
        <v>OK</v>
      </c>
      <c r="AK781" s="3" t="s">
        <v>54</v>
      </c>
      <c r="AL781" s="3" t="str">
        <f aca="false">IF(OR(T781="Negative - Invalid",T781="Above Allowed Range - Invalid",AE781="Invalid - Ship Before Order",AK781&lt;&gt;"Unique",AB781="Mismatch",AC781="Mismatch",AJ781&lt;&gt;"OK"),"Invalid",IF(OR(H781="Yes",O781="Yes",T781="Missing"),"Warning","Clean"))</f>
        <v>Clean</v>
      </c>
    </row>
    <row r="782" customFormat="false" ht="15" hidden="false" customHeight="true" outlineLevel="0" collapsed="false">
      <c r="A782" s="3" t="s">
        <v>2461</v>
      </c>
      <c r="B782" s="4" t="n">
        <v>45508</v>
      </c>
      <c r="C782" s="4" t="n">
        <v>45514</v>
      </c>
      <c r="D782" s="3" t="s">
        <v>2462</v>
      </c>
      <c r="E782" s="3" t="s">
        <v>192</v>
      </c>
      <c r="F782" s="3" t="s">
        <v>58</v>
      </c>
      <c r="G782" s="3" t="s">
        <v>88</v>
      </c>
      <c r="H782" s="3" t="s">
        <v>43</v>
      </c>
      <c r="I782" s="3" t="s">
        <v>44</v>
      </c>
      <c r="J782" s="3" t="s">
        <v>136</v>
      </c>
      <c r="K782" s="3" t="s">
        <v>62</v>
      </c>
      <c r="L782" s="3" t="s">
        <v>91</v>
      </c>
      <c r="M782" s="3" t="s">
        <v>2463</v>
      </c>
      <c r="N782" s="3" t="s">
        <v>65</v>
      </c>
      <c r="O782" s="3" t="s">
        <v>43</v>
      </c>
      <c r="P782" s="5" t="n">
        <v>4</v>
      </c>
      <c r="Q782" s="6" t="n">
        <v>426.43</v>
      </c>
      <c r="R782" s="3" t="s">
        <v>50</v>
      </c>
      <c r="S782" s="7" t="n">
        <v>0.2</v>
      </c>
      <c r="T782" s="3" t="s">
        <v>51</v>
      </c>
      <c r="U782" s="7" t="n">
        <f aca="false">IF(T782="Valid",S782,0)</f>
        <v>0.2</v>
      </c>
      <c r="V782" s="6" t="n">
        <v>1364.58</v>
      </c>
      <c r="W782" s="6" t="n">
        <v>978.16</v>
      </c>
      <c r="X782" s="6" t="n">
        <v>386.42</v>
      </c>
      <c r="Y782" s="6" t="n">
        <f aca="false">P782*Q782*(1-U782)</f>
        <v>1364.576</v>
      </c>
      <c r="Z782" s="6" t="n">
        <f aca="false">Y782-W782</f>
        <v>386.416</v>
      </c>
      <c r="AA782" s="8" t="n">
        <f aca="false">IF(Y782=0,0,Z782/Y782)</f>
        <v>0.283176605773515</v>
      </c>
      <c r="AB782" s="3" t="str">
        <f aca="false">IF(ABS(V782-Y782)&gt;1,"Mismatch","OK")</f>
        <v>OK</v>
      </c>
      <c r="AC782" s="3" t="str">
        <f aca="false">IF(ABS(X782-Z782)&gt;1,"Mismatch","OK")</f>
        <v>OK</v>
      </c>
      <c r="AD782" s="5" t="n">
        <f aca="false">IF(OR(B782="",C782=""),"",C782-B782)</f>
        <v>6</v>
      </c>
      <c r="AE782" s="3" t="str">
        <f aca="false">IF(AD782="","Unknown",IF(AD782&lt;0,"Invalid - Ship Before Order","OK"))</f>
        <v>OK</v>
      </c>
      <c r="AF782" s="5" t="n">
        <f aca="false">IF(B782="","",MONTH(B782))</f>
        <v>8</v>
      </c>
      <c r="AG782" s="5" t="n">
        <f aca="false">IF(B782="","",YEAR(B782))</f>
        <v>2024</v>
      </c>
      <c r="AH782" s="3" t="s">
        <v>52</v>
      </c>
      <c r="AI782" s="3" t="s">
        <v>53</v>
      </c>
      <c r="AJ782" s="3" t="str">
        <f aca="false">IF(AND(AI782="Completed",AH782="Failed"),"Inconsistent - Completed Order with Failed Payment","OK")</f>
        <v>OK</v>
      </c>
      <c r="AK782" s="3" t="s">
        <v>54</v>
      </c>
      <c r="AL782" s="3" t="str">
        <f aca="false">IF(OR(T782="Negative - Invalid",T782="Above Allowed Range - Invalid",AE782="Invalid - Ship Before Order",AK782&lt;&gt;"Unique",AB782="Mismatch",AC782="Mismatch",AJ782&lt;&gt;"OK"),"Invalid",IF(OR(H782="Yes",O782="Yes",T782="Missing"),"Warning","Clean"))</f>
        <v>Clean</v>
      </c>
    </row>
    <row r="783" customFormat="false" ht="15" hidden="false" customHeight="true" outlineLevel="0" collapsed="false">
      <c r="A783" s="3" t="s">
        <v>2464</v>
      </c>
      <c r="B783" s="4" t="n">
        <v>45324</v>
      </c>
      <c r="C783" s="4" t="n">
        <v>45332</v>
      </c>
      <c r="D783" s="3" t="s">
        <v>2465</v>
      </c>
      <c r="E783" s="3" t="s">
        <v>40</v>
      </c>
      <c r="F783" s="3" t="s">
        <v>121</v>
      </c>
      <c r="G783" s="3" t="s">
        <v>88</v>
      </c>
      <c r="H783" s="3" t="s">
        <v>43</v>
      </c>
      <c r="I783" s="3" t="s">
        <v>44</v>
      </c>
      <c r="J783" s="3" t="s">
        <v>136</v>
      </c>
      <c r="K783" s="3" t="s">
        <v>46</v>
      </c>
      <c r="L783" s="3" t="s">
        <v>117</v>
      </c>
      <c r="M783" s="3" t="s">
        <v>2466</v>
      </c>
      <c r="N783" s="3" t="s">
        <v>72</v>
      </c>
      <c r="O783" s="3" t="s">
        <v>43</v>
      </c>
      <c r="P783" s="5" t="n">
        <v>3</v>
      </c>
      <c r="Q783" s="6" t="n">
        <v>383.4</v>
      </c>
      <c r="R783" s="3" t="s">
        <v>84</v>
      </c>
      <c r="S783" s="7" t="n">
        <v>0.25</v>
      </c>
      <c r="T783" s="3" t="s">
        <v>51</v>
      </c>
      <c r="U783" s="7" t="n">
        <f aca="false">IF(T783="Valid",S783,0)</f>
        <v>0.25</v>
      </c>
      <c r="V783" s="6" t="n">
        <v>862.65</v>
      </c>
      <c r="W783" s="6" t="n">
        <v>603.73</v>
      </c>
      <c r="X783" s="6" t="n">
        <v>258.92</v>
      </c>
      <c r="Y783" s="6" t="n">
        <f aca="false">P783*Q783*(1-U783)</f>
        <v>862.65</v>
      </c>
      <c r="Z783" s="6" t="n">
        <f aca="false">Y783-W783</f>
        <v>258.92</v>
      </c>
      <c r="AA783" s="8" t="n">
        <f aca="false">IF(Y783=0,0,Z783/Y783)</f>
        <v>0.300144902335826</v>
      </c>
      <c r="AB783" s="3" t="str">
        <f aca="false">IF(ABS(V783-Y783)&gt;1,"Mismatch","OK")</f>
        <v>OK</v>
      </c>
      <c r="AC783" s="3" t="str">
        <f aca="false">IF(ABS(X783-Z783)&gt;1,"Mismatch","OK")</f>
        <v>OK</v>
      </c>
      <c r="AD783" s="5" t="n">
        <f aca="false">IF(OR(B783="",C783=""),"",C783-B783)</f>
        <v>8</v>
      </c>
      <c r="AE783" s="3" t="str">
        <f aca="false">IF(AD783="","Unknown",IF(AD783&lt;0,"Invalid - Ship Before Order","OK"))</f>
        <v>OK</v>
      </c>
      <c r="AF783" s="5" t="n">
        <f aca="false">IF(B783="","",MONTH(B783))</f>
        <v>2</v>
      </c>
      <c r="AG783" s="5" t="n">
        <f aca="false">IF(B783="","",YEAR(B783))</f>
        <v>2024</v>
      </c>
      <c r="AH783" s="3" t="s">
        <v>138</v>
      </c>
      <c r="AI783" s="3" t="s">
        <v>130</v>
      </c>
      <c r="AJ783" s="3" t="str">
        <f aca="false">IF(AND(AI783="Completed",AH783="Failed"),"Inconsistent - Completed Order with Failed Payment","OK")</f>
        <v>OK</v>
      </c>
      <c r="AK783" s="3" t="s">
        <v>54</v>
      </c>
      <c r="AL783" s="3" t="str">
        <f aca="false">IF(OR(T783="Negative - Invalid",T783="Above Allowed Range - Invalid",AE783="Invalid - Ship Before Order",AK783&lt;&gt;"Unique",AB783="Mismatch",AC783="Mismatch",AJ783&lt;&gt;"OK"),"Invalid",IF(OR(H783="Yes",O783="Yes",T783="Missing"),"Warning","Clean"))</f>
        <v>Clean</v>
      </c>
    </row>
    <row r="784" customFormat="false" ht="15" hidden="false" customHeight="true" outlineLevel="0" collapsed="false">
      <c r="A784" s="3" t="s">
        <v>2467</v>
      </c>
      <c r="B784" s="4" t="n">
        <v>45730</v>
      </c>
      <c r="C784" s="4" t="n">
        <v>45738</v>
      </c>
      <c r="D784" s="3" t="s">
        <v>2468</v>
      </c>
      <c r="E784" s="3" t="s">
        <v>57</v>
      </c>
      <c r="F784" s="3" t="s">
        <v>116</v>
      </c>
      <c r="G784" s="3" t="s">
        <v>59</v>
      </c>
      <c r="H784" s="3" t="s">
        <v>43</v>
      </c>
      <c r="I784" s="3" t="s">
        <v>125</v>
      </c>
      <c r="J784" s="3" t="s">
        <v>126</v>
      </c>
      <c r="K784" s="3" t="s">
        <v>99</v>
      </c>
      <c r="L784" s="3" t="s">
        <v>105</v>
      </c>
      <c r="M784" s="3" t="s">
        <v>2469</v>
      </c>
      <c r="N784" s="3" t="s">
        <v>83</v>
      </c>
      <c r="O784" s="3" t="s">
        <v>43</v>
      </c>
      <c r="P784" s="5" t="n">
        <v>2</v>
      </c>
      <c r="Q784" s="6" t="n">
        <v>669.63</v>
      </c>
      <c r="R784" s="3" t="s">
        <v>107</v>
      </c>
      <c r="S784" s="7" t="n">
        <v>0.15</v>
      </c>
      <c r="T784" s="3" t="s">
        <v>51</v>
      </c>
      <c r="U784" s="7" t="n">
        <f aca="false">IF(T784="Valid",S784,0)</f>
        <v>0.15</v>
      </c>
      <c r="V784" s="6" t="n">
        <v>1138.37</v>
      </c>
      <c r="W784" s="6" t="n">
        <v>797.34</v>
      </c>
      <c r="X784" s="6" t="n">
        <v>341.03</v>
      </c>
      <c r="Y784" s="6" t="n">
        <f aca="false">P784*Q784*(1-U784)</f>
        <v>1138.371</v>
      </c>
      <c r="Z784" s="6" t="n">
        <f aca="false">Y784-W784</f>
        <v>341.031</v>
      </c>
      <c r="AA784" s="8" t="n">
        <f aca="false">IF(Y784=0,0,Z784/Y784)</f>
        <v>0.299578081310926</v>
      </c>
      <c r="AB784" s="3" t="str">
        <f aca="false">IF(ABS(V784-Y784)&gt;1,"Mismatch","OK")</f>
        <v>OK</v>
      </c>
      <c r="AC784" s="3" t="str">
        <f aca="false">IF(ABS(X784-Z784)&gt;1,"Mismatch","OK")</f>
        <v>OK</v>
      </c>
      <c r="AD784" s="5" t="n">
        <f aca="false">IF(OR(B784="",C784=""),"",C784-B784)</f>
        <v>8</v>
      </c>
      <c r="AE784" s="3" t="str">
        <f aca="false">IF(AD784="","Unknown",IF(AD784&lt;0,"Invalid - Ship Before Order","OK"))</f>
        <v>OK</v>
      </c>
      <c r="AF784" s="5" t="n">
        <f aca="false">IF(B784="","",MONTH(B784))</f>
        <v>3</v>
      </c>
      <c r="AG784" s="5" t="n">
        <f aca="false">IF(B784="","",YEAR(B784))</f>
        <v>2025</v>
      </c>
      <c r="AH784" s="3" t="s">
        <v>52</v>
      </c>
      <c r="AI784" s="3" t="s">
        <v>53</v>
      </c>
      <c r="AJ784" s="3" t="str">
        <f aca="false">IF(AND(AI784="Completed",AH784="Failed"),"Inconsistent - Completed Order with Failed Payment","OK")</f>
        <v>OK</v>
      </c>
      <c r="AK784" s="3" t="s">
        <v>54</v>
      </c>
      <c r="AL784" s="3" t="str">
        <f aca="false">IF(OR(T784="Negative - Invalid",T784="Above Allowed Range - Invalid",AE784="Invalid - Ship Before Order",AK784&lt;&gt;"Unique",AB784="Mismatch",AC784="Mismatch",AJ784&lt;&gt;"OK"),"Invalid",IF(OR(H784="Yes",O784="Yes",T784="Missing"),"Warning","Clean"))</f>
        <v>Clean</v>
      </c>
    </row>
    <row r="785" customFormat="false" ht="15" hidden="false" customHeight="true" outlineLevel="0" collapsed="false">
      <c r="A785" s="3" t="s">
        <v>2470</v>
      </c>
      <c r="B785" s="4" t="n">
        <v>45450</v>
      </c>
      <c r="C785" s="4" t="n">
        <v>45450</v>
      </c>
      <c r="D785" s="3" t="s">
        <v>2471</v>
      </c>
      <c r="E785" s="3" t="s">
        <v>155</v>
      </c>
      <c r="F785" s="3" t="s">
        <v>58</v>
      </c>
      <c r="G785" s="3" t="s">
        <v>59</v>
      </c>
      <c r="H785" s="3" t="s">
        <v>43</v>
      </c>
      <c r="I785" s="3" t="s">
        <v>174</v>
      </c>
      <c r="J785" s="3" t="s">
        <v>175</v>
      </c>
      <c r="K785" s="3" t="s">
        <v>46</v>
      </c>
      <c r="L785" s="3" t="s">
        <v>70</v>
      </c>
      <c r="M785" s="3" t="s">
        <v>2472</v>
      </c>
      <c r="N785" s="3" t="s">
        <v>49</v>
      </c>
      <c r="O785" s="3" t="s">
        <v>43</v>
      </c>
      <c r="P785" s="5" t="n">
        <v>1</v>
      </c>
      <c r="Q785" s="6" t="n">
        <v>2581.93</v>
      </c>
      <c r="R785" s="3" t="s">
        <v>128</v>
      </c>
      <c r="S785" s="7" t="n">
        <v>0.05</v>
      </c>
      <c r="T785" s="3" t="s">
        <v>51</v>
      </c>
      <c r="U785" s="7" t="n">
        <f aca="false">IF(T785="Valid",S785,0)</f>
        <v>0.05</v>
      </c>
      <c r="V785" s="6" t="n">
        <v>2452.83</v>
      </c>
      <c r="W785" s="6" t="n">
        <v>1906.7</v>
      </c>
      <c r="X785" s="6" t="n">
        <v>546.13</v>
      </c>
      <c r="Y785" s="6" t="n">
        <f aca="false">P785*Q785*(1-U785)</f>
        <v>2452.8335</v>
      </c>
      <c r="Z785" s="6" t="n">
        <f aca="false">Y785-W785</f>
        <v>546.1335</v>
      </c>
      <c r="AA785" s="8" t="n">
        <f aca="false">IF(Y785=0,0,Z785/Y785)</f>
        <v>0.222654126340006</v>
      </c>
      <c r="AB785" s="3" t="str">
        <f aca="false">IF(ABS(V785-Y785)&gt;1,"Mismatch","OK")</f>
        <v>OK</v>
      </c>
      <c r="AC785" s="3" t="str">
        <f aca="false">IF(ABS(X785-Z785)&gt;1,"Mismatch","OK")</f>
        <v>OK</v>
      </c>
      <c r="AD785" s="5" t="n">
        <f aca="false">IF(OR(B785="",C785=""),"",C785-B785)</f>
        <v>0</v>
      </c>
      <c r="AE785" s="3" t="str">
        <f aca="false">IF(AD785="","Unknown",IF(AD785&lt;0,"Invalid - Ship Before Order","OK"))</f>
        <v>OK</v>
      </c>
      <c r="AF785" s="5" t="n">
        <f aca="false">IF(B785="","",MONTH(B785))</f>
        <v>6</v>
      </c>
      <c r="AG785" s="5" t="n">
        <f aca="false">IF(B785="","",YEAR(B785))</f>
        <v>2024</v>
      </c>
      <c r="AH785" s="3" t="s">
        <v>52</v>
      </c>
      <c r="AI785" s="3" t="s">
        <v>53</v>
      </c>
      <c r="AJ785" s="3" t="str">
        <f aca="false">IF(AND(AI785="Completed",AH785="Failed"),"Inconsistent - Completed Order with Failed Payment","OK")</f>
        <v>OK</v>
      </c>
      <c r="AK785" s="3" t="s">
        <v>54</v>
      </c>
      <c r="AL785" s="3" t="str">
        <f aca="false">IF(OR(T785="Negative - Invalid",T785="Above Allowed Range - Invalid",AE785="Invalid - Ship Before Order",AK785&lt;&gt;"Unique",AB785="Mismatch",AC785="Mismatch",AJ785&lt;&gt;"OK"),"Invalid",IF(OR(H785="Yes",O785="Yes",T785="Missing"),"Warning","Clean"))</f>
        <v>Clean</v>
      </c>
    </row>
    <row r="786" customFormat="false" ht="15" hidden="false" customHeight="true" outlineLevel="0" collapsed="false">
      <c r="A786" s="3" t="s">
        <v>2473</v>
      </c>
      <c r="B786" s="4" t="n">
        <v>45934</v>
      </c>
      <c r="C786" s="4" t="n">
        <v>45935</v>
      </c>
      <c r="D786" s="3" t="s">
        <v>2474</v>
      </c>
      <c r="E786" s="3" t="s">
        <v>141</v>
      </c>
      <c r="F786" s="3" t="s">
        <v>116</v>
      </c>
      <c r="G786" s="3" t="s">
        <v>42</v>
      </c>
      <c r="H786" s="3" t="s">
        <v>43</v>
      </c>
      <c r="I786" s="3" t="s">
        <v>149</v>
      </c>
      <c r="J786" s="3" t="s">
        <v>150</v>
      </c>
      <c r="K786" s="3" t="s">
        <v>99</v>
      </c>
      <c r="L786" s="3" t="s">
        <v>105</v>
      </c>
      <c r="M786" s="3" t="s">
        <v>2475</v>
      </c>
      <c r="N786" s="3" t="s">
        <v>72</v>
      </c>
      <c r="O786" s="3" t="s">
        <v>43</v>
      </c>
      <c r="P786" s="5" t="n">
        <v>4</v>
      </c>
      <c r="Q786" s="6" t="n">
        <v>418.18</v>
      </c>
      <c r="R786" s="3" t="s">
        <v>128</v>
      </c>
      <c r="S786" s="7" t="n">
        <v>0.05</v>
      </c>
      <c r="T786" s="3" t="s">
        <v>51</v>
      </c>
      <c r="U786" s="7" t="n">
        <f aca="false">IF(T786="Valid",S786,0)</f>
        <v>0.05</v>
      </c>
      <c r="V786" s="6" t="n">
        <v>1589.08</v>
      </c>
      <c r="W786" s="6" t="n">
        <v>1084.66</v>
      </c>
      <c r="X786" s="6" t="n">
        <v>504.42</v>
      </c>
      <c r="Y786" s="6" t="n">
        <f aca="false">P786*Q786*(1-U786)</f>
        <v>1589.084</v>
      </c>
      <c r="Z786" s="6" t="n">
        <f aca="false">Y786-W786</f>
        <v>504.424</v>
      </c>
      <c r="AA786" s="8" t="n">
        <f aca="false">IF(Y786=0,0,Z786/Y786)</f>
        <v>0.3174306707512</v>
      </c>
      <c r="AB786" s="3" t="str">
        <f aca="false">IF(ABS(V786-Y786)&gt;1,"Mismatch","OK")</f>
        <v>OK</v>
      </c>
      <c r="AC786" s="3" t="str">
        <f aca="false">IF(ABS(X786-Z786)&gt;1,"Mismatch","OK")</f>
        <v>OK</v>
      </c>
      <c r="AD786" s="5" t="n">
        <f aca="false">IF(OR(B786="",C786=""),"",C786-B786)</f>
        <v>1</v>
      </c>
      <c r="AE786" s="3" t="str">
        <f aca="false">IF(AD786="","Unknown",IF(AD786&lt;0,"Invalid - Ship Before Order","OK"))</f>
        <v>OK</v>
      </c>
      <c r="AF786" s="5" t="n">
        <f aca="false">IF(B786="","",MONTH(B786))</f>
        <v>10</v>
      </c>
      <c r="AG786" s="5" t="n">
        <f aca="false">IF(B786="","",YEAR(B786))</f>
        <v>2025</v>
      </c>
      <c r="AH786" s="3" t="s">
        <v>52</v>
      </c>
      <c r="AI786" s="3" t="s">
        <v>53</v>
      </c>
      <c r="AJ786" s="3" t="str">
        <f aca="false">IF(AND(AI786="Completed",AH786="Failed"),"Inconsistent - Completed Order with Failed Payment","OK")</f>
        <v>OK</v>
      </c>
      <c r="AK786" s="3" t="s">
        <v>54</v>
      </c>
      <c r="AL786" s="3" t="str">
        <f aca="false">IF(OR(T786="Negative - Invalid",T786="Above Allowed Range - Invalid",AE786="Invalid - Ship Before Order",AK786&lt;&gt;"Unique",AB786="Mismatch",AC786="Mismatch",AJ786&lt;&gt;"OK"),"Invalid",IF(OR(H786="Yes",O786="Yes",T786="Missing"),"Warning","Clean"))</f>
        <v>Clean</v>
      </c>
    </row>
    <row r="787" customFormat="false" ht="15" hidden="false" customHeight="true" outlineLevel="0" collapsed="false">
      <c r="A787" s="3" t="s">
        <v>2476</v>
      </c>
      <c r="B787" s="4" t="n">
        <v>45435</v>
      </c>
      <c r="C787" s="4" t="n">
        <v>45441</v>
      </c>
      <c r="D787" s="3" t="s">
        <v>2477</v>
      </c>
      <c r="E787" s="3" t="s">
        <v>192</v>
      </c>
      <c r="F787" s="3" t="s">
        <v>58</v>
      </c>
      <c r="G787" s="3" t="s">
        <v>42</v>
      </c>
      <c r="H787" s="3" t="s">
        <v>43</v>
      </c>
      <c r="I787" s="3" t="s">
        <v>270</v>
      </c>
      <c r="J787" s="3" t="s">
        <v>271</v>
      </c>
      <c r="K787" s="3" t="s">
        <v>46</v>
      </c>
      <c r="L787" s="3" t="s">
        <v>151</v>
      </c>
      <c r="M787" s="3" t="s">
        <v>2478</v>
      </c>
      <c r="N787" s="3" t="s">
        <v>65</v>
      </c>
      <c r="O787" s="3" t="s">
        <v>43</v>
      </c>
      <c r="P787" s="5" t="n">
        <v>2</v>
      </c>
      <c r="Q787" s="6" t="n">
        <v>3012.94</v>
      </c>
      <c r="R787" s="3" t="s">
        <v>84</v>
      </c>
      <c r="S787" s="7" t="n">
        <v>0.25</v>
      </c>
      <c r="T787" s="3" t="s">
        <v>51</v>
      </c>
      <c r="U787" s="7" t="n">
        <f aca="false">IF(T787="Valid",S787,0)</f>
        <v>0.25</v>
      </c>
      <c r="V787" s="6" t="n">
        <v>4519.41</v>
      </c>
      <c r="W787" s="6" t="n">
        <v>3504.16</v>
      </c>
      <c r="X787" s="6" t="n">
        <v>1275.55</v>
      </c>
      <c r="Y787" s="6" t="n">
        <f aca="false">P787*Q787*(1-U787)</f>
        <v>4519.41</v>
      </c>
      <c r="Z787" s="6" t="n">
        <f aca="false">Y787-W787</f>
        <v>1015.25</v>
      </c>
      <c r="AA787" s="8" t="n">
        <f aca="false">IF(Y787=0,0,Z787/Y787)</f>
        <v>0.224642154617528</v>
      </c>
      <c r="AB787" s="3" t="str">
        <f aca="false">IF(ABS(V787-Y787)&gt;1,"Mismatch","OK")</f>
        <v>OK</v>
      </c>
      <c r="AC787" s="3" t="str">
        <f aca="false">IF(ABS(X787-Z787)&gt;1,"Mismatch","OK")</f>
        <v>Mismatch</v>
      </c>
      <c r="AD787" s="5" t="n">
        <f aca="false">IF(OR(B787="",C787=""),"",C787-B787)</f>
        <v>6</v>
      </c>
      <c r="AE787" s="3" t="str">
        <f aca="false">IF(AD787="","Unknown",IF(AD787&lt;0,"Invalid - Ship Before Order","OK"))</f>
        <v>OK</v>
      </c>
      <c r="AF787" s="5" t="n">
        <f aca="false">IF(B787="","",MONTH(B787))</f>
        <v>5</v>
      </c>
      <c r="AG787" s="5" t="n">
        <f aca="false">IF(B787="","",YEAR(B787))</f>
        <v>2024</v>
      </c>
      <c r="AH787" s="3" t="s">
        <v>185</v>
      </c>
      <c r="AI787" s="3" t="s">
        <v>93</v>
      </c>
      <c r="AJ787" s="3" t="str">
        <f aca="false">IF(AND(AI787="Completed",AH787="Failed"),"Inconsistent - Completed Order with Failed Payment","OK")</f>
        <v>OK</v>
      </c>
      <c r="AK787" s="3" t="s">
        <v>54</v>
      </c>
      <c r="AL787" s="3" t="str">
        <f aca="false">IF(OR(T787="Negative - Invalid",T787="Above Allowed Range - Invalid",AE787="Invalid - Ship Before Order",AK787&lt;&gt;"Unique",AB787="Mismatch",AC787="Mismatch",AJ787&lt;&gt;"OK"),"Invalid",IF(OR(H787="Yes",O787="Yes",T787="Missing"),"Warning","Clean"))</f>
        <v>Invalid</v>
      </c>
    </row>
    <row r="788" customFormat="false" ht="15" hidden="false" customHeight="true" outlineLevel="0" collapsed="false">
      <c r="A788" s="3" t="s">
        <v>2479</v>
      </c>
      <c r="B788" s="4" t="n">
        <v>45844</v>
      </c>
      <c r="C788" s="4" t="n">
        <v>45846</v>
      </c>
      <c r="D788" s="3" t="s">
        <v>2480</v>
      </c>
      <c r="E788" s="3" t="s">
        <v>87</v>
      </c>
      <c r="F788" s="3" t="s">
        <v>116</v>
      </c>
      <c r="G788" s="3" t="s">
        <v>42</v>
      </c>
      <c r="H788" s="3" t="s">
        <v>43</v>
      </c>
      <c r="I788" s="3" t="s">
        <v>44</v>
      </c>
      <c r="J788" s="3" t="s">
        <v>45</v>
      </c>
      <c r="K788" s="3" t="s">
        <v>62</v>
      </c>
      <c r="L788" s="3" t="s">
        <v>81</v>
      </c>
      <c r="M788" s="3" t="s">
        <v>2481</v>
      </c>
      <c r="N788" s="3" t="s">
        <v>237</v>
      </c>
      <c r="O788" s="3" t="s">
        <v>238</v>
      </c>
      <c r="P788" s="5" t="n">
        <v>4</v>
      </c>
      <c r="Q788" s="6" t="n">
        <v>715.45</v>
      </c>
      <c r="R788" s="3" t="s">
        <v>128</v>
      </c>
      <c r="S788" s="7" t="n">
        <v>0.05</v>
      </c>
      <c r="T788" s="3" t="s">
        <v>51</v>
      </c>
      <c r="U788" s="7" t="n">
        <f aca="false">IF(T788="Valid",S788,0)</f>
        <v>0.05</v>
      </c>
      <c r="V788" s="6" t="n">
        <v>2718.71</v>
      </c>
      <c r="W788" s="6" t="n">
        <v>2065.05</v>
      </c>
      <c r="X788" s="6" t="n">
        <v>653.66</v>
      </c>
      <c r="Y788" s="6" t="n">
        <f aca="false">P788*Q788*(1-U788)</f>
        <v>2718.71</v>
      </c>
      <c r="Z788" s="6" t="n">
        <f aca="false">Y788-W788</f>
        <v>653.66</v>
      </c>
      <c r="AA788" s="8" t="n">
        <f aca="false">IF(Y788=0,0,Z788/Y788)</f>
        <v>0.240430204030588</v>
      </c>
      <c r="AB788" s="3" t="str">
        <f aca="false">IF(ABS(V788-Y788)&gt;1,"Mismatch","OK")</f>
        <v>OK</v>
      </c>
      <c r="AC788" s="3" t="str">
        <f aca="false">IF(ABS(X788-Z788)&gt;1,"Mismatch","OK")</f>
        <v>OK</v>
      </c>
      <c r="AD788" s="5" t="n">
        <f aca="false">IF(OR(B788="",C788=""),"",C788-B788)</f>
        <v>2</v>
      </c>
      <c r="AE788" s="3" t="str">
        <f aca="false">IF(AD788="","Unknown",IF(AD788&lt;0,"Invalid - Ship Before Order","OK"))</f>
        <v>OK</v>
      </c>
      <c r="AF788" s="5" t="n">
        <f aca="false">IF(B788="","",MONTH(B788))</f>
        <v>7</v>
      </c>
      <c r="AG788" s="5" t="n">
        <f aca="false">IF(B788="","",YEAR(B788))</f>
        <v>2025</v>
      </c>
      <c r="AH788" s="3" t="s">
        <v>129</v>
      </c>
      <c r="AI788" s="3" t="s">
        <v>130</v>
      </c>
      <c r="AJ788" s="3" t="str">
        <f aca="false">IF(AND(AI788="Completed",AH788="Failed"),"Inconsistent - Completed Order with Failed Payment","OK")</f>
        <v>OK</v>
      </c>
      <c r="AK788" s="3" t="s">
        <v>54</v>
      </c>
      <c r="AL788" s="3" t="str">
        <f aca="false">IF(OR(T788="Negative - Invalid",T788="Above Allowed Range - Invalid",AE788="Invalid - Ship Before Order",AK788&lt;&gt;"Unique",AB788="Mismatch",AC788="Mismatch",AJ788&lt;&gt;"OK"),"Invalid",IF(OR(H788="Yes",O788="Yes",T788="Missing"),"Warning","Clean"))</f>
        <v>Warning</v>
      </c>
    </row>
    <row r="789" customFormat="false" ht="15" hidden="false" customHeight="true" outlineLevel="0" collapsed="false">
      <c r="A789" s="3" t="s">
        <v>2482</v>
      </c>
      <c r="B789" s="4" t="n">
        <v>45547</v>
      </c>
      <c r="C789" s="4" t="n">
        <v>45553</v>
      </c>
      <c r="D789" s="3" t="s">
        <v>2483</v>
      </c>
      <c r="E789" s="3" t="s">
        <v>87</v>
      </c>
      <c r="F789" s="3" t="s">
        <v>121</v>
      </c>
      <c r="G789" s="3" t="s">
        <v>59</v>
      </c>
      <c r="H789" s="3" t="s">
        <v>43</v>
      </c>
      <c r="I789" s="3" t="s">
        <v>174</v>
      </c>
      <c r="J789" s="3" t="s">
        <v>175</v>
      </c>
      <c r="K789" s="3" t="s">
        <v>46</v>
      </c>
      <c r="L789" s="3" t="s">
        <v>47</v>
      </c>
      <c r="M789" s="3" t="s">
        <v>2484</v>
      </c>
      <c r="N789" s="3" t="s">
        <v>49</v>
      </c>
      <c r="O789" s="3" t="s">
        <v>43</v>
      </c>
      <c r="P789" s="5" t="n">
        <v>2</v>
      </c>
      <c r="Q789" s="6" t="n">
        <v>3718.77</v>
      </c>
      <c r="R789" s="3" t="s">
        <v>128</v>
      </c>
      <c r="S789" s="7" t="n">
        <v>0.05</v>
      </c>
      <c r="T789" s="3" t="s">
        <v>51</v>
      </c>
      <c r="U789" s="7" t="n">
        <f aca="false">IF(T789="Valid",S789,0)</f>
        <v>0.05</v>
      </c>
      <c r="V789" s="6" t="n">
        <v>7065.66</v>
      </c>
      <c r="W789" s="6" t="n">
        <v>4915.27</v>
      </c>
      <c r="X789" s="6" t="n">
        <v>2150.39</v>
      </c>
      <c r="Y789" s="6" t="n">
        <f aca="false">P789*Q789*(1-U789)</f>
        <v>7065.663</v>
      </c>
      <c r="Z789" s="6" t="n">
        <f aca="false">Y789-W789</f>
        <v>2150.393</v>
      </c>
      <c r="AA789" s="8" t="n">
        <f aca="false">IF(Y789=0,0,Z789/Y789)</f>
        <v>0.30434412170521</v>
      </c>
      <c r="AB789" s="3" t="str">
        <f aca="false">IF(ABS(V789-Y789)&gt;1,"Mismatch","OK")</f>
        <v>OK</v>
      </c>
      <c r="AC789" s="3" t="str">
        <f aca="false">IF(ABS(X789-Z789)&gt;1,"Mismatch","OK")</f>
        <v>OK</v>
      </c>
      <c r="AD789" s="5" t="n">
        <f aca="false">IF(OR(B789="",C789=""),"",C789-B789)</f>
        <v>6</v>
      </c>
      <c r="AE789" s="3" t="str">
        <f aca="false">IF(AD789="","Unknown",IF(AD789&lt;0,"Invalid - Ship Before Order","OK"))</f>
        <v>OK</v>
      </c>
      <c r="AF789" s="5" t="n">
        <f aca="false">IF(B789="","",MONTH(B789))</f>
        <v>9</v>
      </c>
      <c r="AG789" s="5" t="n">
        <f aca="false">IF(B789="","",YEAR(B789))</f>
        <v>2024</v>
      </c>
      <c r="AH789" s="3" t="s">
        <v>52</v>
      </c>
      <c r="AI789" s="3" t="s">
        <v>53</v>
      </c>
      <c r="AJ789" s="3" t="str">
        <f aca="false">IF(AND(AI789="Completed",AH789="Failed"),"Inconsistent - Completed Order with Failed Payment","OK")</f>
        <v>OK</v>
      </c>
      <c r="AK789" s="3" t="s">
        <v>54</v>
      </c>
      <c r="AL789" s="3" t="str">
        <f aca="false">IF(OR(T789="Negative - Invalid",T789="Above Allowed Range - Invalid",AE789="Invalid - Ship Before Order",AK789&lt;&gt;"Unique",AB789="Mismatch",AC789="Mismatch",AJ789&lt;&gt;"OK"),"Invalid",IF(OR(H789="Yes",O789="Yes",T789="Missing"),"Warning","Clean"))</f>
        <v>Clean</v>
      </c>
    </row>
    <row r="790" customFormat="false" ht="15" hidden="false" customHeight="true" outlineLevel="0" collapsed="false">
      <c r="A790" s="3" t="s">
        <v>2485</v>
      </c>
      <c r="B790" s="4" t="n">
        <v>45505</v>
      </c>
      <c r="C790" s="4" t="n">
        <v>45506</v>
      </c>
      <c r="D790" s="3" t="s">
        <v>2486</v>
      </c>
      <c r="E790" s="3" t="s">
        <v>69</v>
      </c>
      <c r="F790" s="3" t="s">
        <v>116</v>
      </c>
      <c r="G790" s="3" t="s">
        <v>42</v>
      </c>
      <c r="H790" s="3" t="s">
        <v>43</v>
      </c>
      <c r="I790" s="3" t="s">
        <v>163</v>
      </c>
      <c r="J790" s="3" t="s">
        <v>164</v>
      </c>
      <c r="K790" s="3" t="s">
        <v>62</v>
      </c>
      <c r="L790" s="3" t="s">
        <v>91</v>
      </c>
      <c r="M790" s="3" t="s">
        <v>2487</v>
      </c>
      <c r="N790" s="3" t="s">
        <v>83</v>
      </c>
      <c r="O790" s="3" t="s">
        <v>43</v>
      </c>
      <c r="P790" s="5" t="n">
        <v>8</v>
      </c>
      <c r="Q790" s="6" t="n">
        <v>2487.64</v>
      </c>
      <c r="R790" s="3" t="s">
        <v>203</v>
      </c>
      <c r="S790" s="7" t="n">
        <v>0.1</v>
      </c>
      <c r="T790" s="3" t="s">
        <v>51</v>
      </c>
      <c r="U790" s="7" t="n">
        <f aca="false">IF(T790="Valid",S790,0)</f>
        <v>0.1</v>
      </c>
      <c r="V790" s="6" t="n">
        <v>17911.01</v>
      </c>
      <c r="W790" s="6" t="n">
        <v>11546.05</v>
      </c>
      <c r="X790" s="6" t="n">
        <v>6364.96</v>
      </c>
      <c r="Y790" s="6" t="n">
        <f aca="false">P790*Q790*(1-U790)</f>
        <v>17911.008</v>
      </c>
      <c r="Z790" s="6" t="n">
        <f aca="false">Y790-W790</f>
        <v>6364.958</v>
      </c>
      <c r="AA790" s="8" t="n">
        <f aca="false">IF(Y790=0,0,Z790/Y790)</f>
        <v>0.355365705827388</v>
      </c>
      <c r="AB790" s="3" t="str">
        <f aca="false">IF(ABS(V790-Y790)&gt;1,"Mismatch","OK")</f>
        <v>OK</v>
      </c>
      <c r="AC790" s="3" t="str">
        <f aca="false">IF(ABS(X790-Z790)&gt;1,"Mismatch","OK")</f>
        <v>OK</v>
      </c>
      <c r="AD790" s="5" t="n">
        <f aca="false">IF(OR(B790="",C790=""),"",C790-B790)</f>
        <v>1</v>
      </c>
      <c r="AE790" s="3" t="str">
        <f aca="false">IF(AD790="","Unknown",IF(AD790&lt;0,"Invalid - Ship Before Order","OK"))</f>
        <v>OK</v>
      </c>
      <c r="AF790" s="5" t="n">
        <f aca="false">IF(B790="","",MONTH(B790))</f>
        <v>8</v>
      </c>
      <c r="AG790" s="5" t="n">
        <f aca="false">IF(B790="","",YEAR(B790))</f>
        <v>2024</v>
      </c>
      <c r="AH790" s="3" t="s">
        <v>185</v>
      </c>
      <c r="AI790" s="3" t="s">
        <v>130</v>
      </c>
      <c r="AJ790" s="3" t="str">
        <f aca="false">IF(AND(AI790="Completed",AH790="Failed"),"Inconsistent - Completed Order with Failed Payment","OK")</f>
        <v>OK</v>
      </c>
      <c r="AK790" s="3" t="s">
        <v>54</v>
      </c>
      <c r="AL790" s="3" t="str">
        <f aca="false">IF(OR(T790="Negative - Invalid",T790="Above Allowed Range - Invalid",AE790="Invalid - Ship Before Order",AK790&lt;&gt;"Unique",AB790="Mismatch",AC790="Mismatch",AJ790&lt;&gt;"OK"),"Invalid",IF(OR(H790="Yes",O790="Yes",T790="Missing"),"Warning","Clean"))</f>
        <v>Clean</v>
      </c>
    </row>
    <row r="791" customFormat="false" ht="15" hidden="false" customHeight="true" outlineLevel="0" collapsed="false">
      <c r="A791" s="3" t="s">
        <v>2488</v>
      </c>
      <c r="B791" s="4" t="n">
        <v>45723</v>
      </c>
      <c r="C791" s="4" t="n">
        <v>45724</v>
      </c>
      <c r="D791" s="3" t="s">
        <v>2489</v>
      </c>
      <c r="E791" s="3" t="s">
        <v>141</v>
      </c>
      <c r="F791" s="3" t="s">
        <v>121</v>
      </c>
      <c r="G791" s="3" t="s">
        <v>237</v>
      </c>
      <c r="H791" s="3" t="s">
        <v>238</v>
      </c>
      <c r="I791" s="3" t="s">
        <v>44</v>
      </c>
      <c r="J791" s="3" t="s">
        <v>136</v>
      </c>
      <c r="K791" s="3" t="s">
        <v>99</v>
      </c>
      <c r="L791" s="3" t="s">
        <v>105</v>
      </c>
      <c r="M791" s="3" t="s">
        <v>2490</v>
      </c>
      <c r="N791" s="3" t="s">
        <v>65</v>
      </c>
      <c r="O791" s="3" t="s">
        <v>43</v>
      </c>
      <c r="P791" s="5" t="n">
        <v>4</v>
      </c>
      <c r="Q791" s="6" t="n">
        <v>3537.48</v>
      </c>
      <c r="R791" s="3" t="s">
        <v>66</v>
      </c>
      <c r="S791" s="7" t="n">
        <v>0</v>
      </c>
      <c r="T791" s="3" t="s">
        <v>51</v>
      </c>
      <c r="U791" s="7" t="n">
        <f aca="false">IF(T791="Valid",S791,0)</f>
        <v>0</v>
      </c>
      <c r="V791" s="6" t="n">
        <v>14149.92</v>
      </c>
      <c r="W791" s="6" t="n">
        <v>9466.51</v>
      </c>
      <c r="X791" s="6" t="n">
        <v>4683.41</v>
      </c>
      <c r="Y791" s="6" t="n">
        <f aca="false">P791*Q791*(1-U791)</f>
        <v>14149.92</v>
      </c>
      <c r="Z791" s="6" t="n">
        <f aca="false">Y791-W791</f>
        <v>4683.41</v>
      </c>
      <c r="AA791" s="8" t="n">
        <f aca="false">IF(Y791=0,0,Z791/Y791)</f>
        <v>0.330984910162036</v>
      </c>
      <c r="AB791" s="3" t="str">
        <f aca="false">IF(ABS(V791-Y791)&gt;1,"Mismatch","OK")</f>
        <v>OK</v>
      </c>
      <c r="AC791" s="3" t="str">
        <f aca="false">IF(ABS(X791-Z791)&gt;1,"Mismatch","OK")</f>
        <v>OK</v>
      </c>
      <c r="AD791" s="5" t="n">
        <f aca="false">IF(OR(B791="",C791=""),"",C791-B791)</f>
        <v>1</v>
      </c>
      <c r="AE791" s="3" t="str">
        <f aca="false">IF(AD791="","Unknown",IF(AD791&lt;0,"Invalid - Ship Before Order","OK"))</f>
        <v>OK</v>
      </c>
      <c r="AF791" s="5" t="n">
        <f aca="false">IF(B791="","",MONTH(B791))</f>
        <v>3</v>
      </c>
      <c r="AG791" s="5" t="n">
        <f aca="false">IF(B791="","",YEAR(B791))</f>
        <v>2025</v>
      </c>
      <c r="AH791" s="3" t="s">
        <v>52</v>
      </c>
      <c r="AI791" s="3" t="s">
        <v>53</v>
      </c>
      <c r="AJ791" s="3" t="str">
        <f aca="false">IF(AND(AI791="Completed",AH791="Failed"),"Inconsistent - Completed Order with Failed Payment","OK")</f>
        <v>OK</v>
      </c>
      <c r="AK791" s="3" t="s">
        <v>54</v>
      </c>
      <c r="AL791" s="3" t="str">
        <f aca="false">IF(OR(T791="Negative - Invalid",T791="Above Allowed Range - Invalid",AE791="Invalid - Ship Before Order",AK791&lt;&gt;"Unique",AB791="Mismatch",AC791="Mismatch",AJ791&lt;&gt;"OK"),"Invalid",IF(OR(H791="Yes",O791="Yes",T791="Missing"),"Warning","Clean"))</f>
        <v>Warning</v>
      </c>
    </row>
    <row r="792" customFormat="false" ht="15" hidden="false" customHeight="true" outlineLevel="0" collapsed="false">
      <c r="A792" s="3" t="s">
        <v>2491</v>
      </c>
      <c r="B792" s="4" t="n">
        <v>45443</v>
      </c>
      <c r="C792" s="4" t="n">
        <v>45445</v>
      </c>
      <c r="D792" s="3" t="s">
        <v>2492</v>
      </c>
      <c r="E792" s="3" t="s">
        <v>145</v>
      </c>
      <c r="F792" s="3" t="s">
        <v>116</v>
      </c>
      <c r="G792" s="3" t="s">
        <v>78</v>
      </c>
      <c r="H792" s="3" t="s">
        <v>43</v>
      </c>
      <c r="I792" s="3" t="s">
        <v>110</v>
      </c>
      <c r="J792" s="3" t="s">
        <v>111</v>
      </c>
      <c r="K792" s="3" t="s">
        <v>46</v>
      </c>
      <c r="L792" s="3" t="s">
        <v>70</v>
      </c>
      <c r="M792" s="3" t="s">
        <v>2493</v>
      </c>
      <c r="N792" s="3" t="s">
        <v>83</v>
      </c>
      <c r="O792" s="3" t="s">
        <v>43</v>
      </c>
      <c r="P792" s="5" t="n">
        <v>8</v>
      </c>
      <c r="Q792" s="6" t="n">
        <v>667.59</v>
      </c>
      <c r="R792" s="3" t="s">
        <v>50</v>
      </c>
      <c r="S792" s="7" t="n">
        <v>0.2</v>
      </c>
      <c r="T792" s="3" t="s">
        <v>51</v>
      </c>
      <c r="U792" s="7" t="n">
        <f aca="false">IF(T792="Valid",S792,0)</f>
        <v>0.2</v>
      </c>
      <c r="V792" s="6" t="n">
        <v>4272.58</v>
      </c>
      <c r="W792" s="6" t="n">
        <v>3328.92</v>
      </c>
      <c r="X792" s="6" t="n">
        <v>943.66</v>
      </c>
      <c r="Y792" s="6" t="n">
        <f aca="false">P792*Q792*(1-U792)</f>
        <v>4272.576</v>
      </c>
      <c r="Z792" s="6" t="n">
        <f aca="false">Y792-W792</f>
        <v>943.656</v>
      </c>
      <c r="AA792" s="8" t="n">
        <f aca="false">IF(Y792=0,0,Z792/Y792)</f>
        <v>0.220863479081472</v>
      </c>
      <c r="AB792" s="3" t="str">
        <f aca="false">IF(ABS(V792-Y792)&gt;1,"Mismatch","OK")</f>
        <v>OK</v>
      </c>
      <c r="AC792" s="3" t="str">
        <f aca="false">IF(ABS(X792-Z792)&gt;1,"Mismatch","OK")</f>
        <v>OK</v>
      </c>
      <c r="AD792" s="5" t="n">
        <f aca="false">IF(OR(B792="",C792=""),"",C792-B792)</f>
        <v>2</v>
      </c>
      <c r="AE792" s="3" t="str">
        <f aca="false">IF(AD792="","Unknown",IF(AD792&lt;0,"Invalid - Ship Before Order","OK"))</f>
        <v>OK</v>
      </c>
      <c r="AF792" s="5" t="n">
        <f aca="false">IF(B792="","",MONTH(B792))</f>
        <v>5</v>
      </c>
      <c r="AG792" s="5" t="n">
        <f aca="false">IF(B792="","",YEAR(B792))</f>
        <v>2024</v>
      </c>
      <c r="AH792" s="3" t="s">
        <v>52</v>
      </c>
      <c r="AI792" s="3" t="s">
        <v>53</v>
      </c>
      <c r="AJ792" s="3" t="str">
        <f aca="false">IF(AND(AI792="Completed",AH792="Failed"),"Inconsistent - Completed Order with Failed Payment","OK")</f>
        <v>OK</v>
      </c>
      <c r="AK792" s="3" t="s">
        <v>54</v>
      </c>
      <c r="AL792" s="3" t="str">
        <f aca="false">IF(OR(T792="Negative - Invalid",T792="Above Allowed Range - Invalid",AE792="Invalid - Ship Before Order",AK792&lt;&gt;"Unique",AB792="Mismatch",AC792="Mismatch",AJ792&lt;&gt;"OK"),"Invalid",IF(OR(H792="Yes",O792="Yes",T792="Missing"),"Warning","Clean"))</f>
        <v>Clean</v>
      </c>
    </row>
    <row r="793" customFormat="false" ht="15" hidden="false" customHeight="true" outlineLevel="0" collapsed="false">
      <c r="A793" s="3" t="s">
        <v>2494</v>
      </c>
      <c r="B793" s="4" t="n">
        <v>45567</v>
      </c>
      <c r="C793" s="4" t="n">
        <v>45571</v>
      </c>
      <c r="D793" s="3" t="s">
        <v>2495</v>
      </c>
      <c r="E793" s="3" t="s">
        <v>145</v>
      </c>
      <c r="F793" s="3" t="s">
        <v>121</v>
      </c>
      <c r="G793" s="3" t="s">
        <v>78</v>
      </c>
      <c r="H793" s="3" t="s">
        <v>43</v>
      </c>
      <c r="I793" s="3" t="s">
        <v>206</v>
      </c>
      <c r="J793" s="3" t="s">
        <v>207</v>
      </c>
      <c r="K793" s="3" t="s">
        <v>62</v>
      </c>
      <c r="L793" s="3" t="s">
        <v>188</v>
      </c>
      <c r="M793" s="3" t="s">
        <v>2496</v>
      </c>
      <c r="N793" s="3" t="s">
        <v>65</v>
      </c>
      <c r="O793" s="3" t="s">
        <v>43</v>
      </c>
      <c r="P793" s="5" t="n">
        <v>8</v>
      </c>
      <c r="Q793" s="6" t="n">
        <v>1558.77</v>
      </c>
      <c r="R793" s="3" t="s">
        <v>84</v>
      </c>
      <c r="S793" s="7" t="n">
        <v>0.25</v>
      </c>
      <c r="T793" s="3" t="s">
        <v>51</v>
      </c>
      <c r="U793" s="7" t="n">
        <f aca="false">IF(T793="Valid",S793,0)</f>
        <v>0.25</v>
      </c>
      <c r="V793" s="6" t="n">
        <v>9352.62</v>
      </c>
      <c r="W793" s="6" t="n">
        <v>5269.41</v>
      </c>
      <c r="X793" s="6" t="n">
        <v>4083.21</v>
      </c>
      <c r="Y793" s="6" t="n">
        <f aca="false">P793*Q793*(1-U793)</f>
        <v>9352.62</v>
      </c>
      <c r="Z793" s="6" t="n">
        <f aca="false">Y793-W793</f>
        <v>4083.21</v>
      </c>
      <c r="AA793" s="8" t="n">
        <f aca="false">IF(Y793=0,0,Z793/Y793)</f>
        <v>0.436584614792432</v>
      </c>
      <c r="AB793" s="3" t="str">
        <f aca="false">IF(ABS(V793-Y793)&gt;1,"Mismatch","OK")</f>
        <v>OK</v>
      </c>
      <c r="AC793" s="3" t="str">
        <f aca="false">IF(ABS(X793-Z793)&gt;1,"Mismatch","OK")</f>
        <v>OK</v>
      </c>
      <c r="AD793" s="5" t="n">
        <f aca="false">IF(OR(B793="",C793=""),"",C793-B793)</f>
        <v>4</v>
      </c>
      <c r="AE793" s="3" t="str">
        <f aca="false">IF(AD793="","Unknown",IF(AD793&lt;0,"Invalid - Ship Before Order","OK"))</f>
        <v>OK</v>
      </c>
      <c r="AF793" s="5" t="n">
        <f aca="false">IF(B793="","",MONTH(B793))</f>
        <v>10</v>
      </c>
      <c r="AG793" s="5" t="n">
        <f aca="false">IF(B793="","",YEAR(B793))</f>
        <v>2024</v>
      </c>
      <c r="AH793" s="3" t="s">
        <v>52</v>
      </c>
      <c r="AI793" s="3" t="s">
        <v>53</v>
      </c>
      <c r="AJ793" s="3" t="str">
        <f aca="false">IF(AND(AI793="Completed",AH793="Failed"),"Inconsistent - Completed Order with Failed Payment","OK")</f>
        <v>OK</v>
      </c>
      <c r="AK793" s="3" t="s">
        <v>54</v>
      </c>
      <c r="AL793" s="3" t="str">
        <f aca="false">IF(OR(T793="Negative - Invalid",T793="Above Allowed Range - Invalid",AE793="Invalid - Ship Before Order",AK793&lt;&gt;"Unique",AB793="Mismatch",AC793="Mismatch",AJ793&lt;&gt;"OK"),"Invalid",IF(OR(H793="Yes",O793="Yes",T793="Missing"),"Warning","Clean"))</f>
        <v>Clean</v>
      </c>
    </row>
    <row r="794" customFormat="false" ht="15" hidden="false" customHeight="true" outlineLevel="0" collapsed="false">
      <c r="A794" s="3" t="s">
        <v>2497</v>
      </c>
      <c r="B794" s="4" t="n">
        <v>45812</v>
      </c>
      <c r="C794" s="4" t="n">
        <v>45816</v>
      </c>
      <c r="D794" s="3" t="s">
        <v>2498</v>
      </c>
      <c r="E794" s="3" t="s">
        <v>77</v>
      </c>
      <c r="F794" s="3" t="s">
        <v>58</v>
      </c>
      <c r="G794" s="3" t="s">
        <v>59</v>
      </c>
      <c r="H794" s="3" t="s">
        <v>43</v>
      </c>
      <c r="I794" s="3" t="s">
        <v>196</v>
      </c>
      <c r="J794" s="3" t="s">
        <v>197</v>
      </c>
      <c r="K794" s="3" t="s">
        <v>62</v>
      </c>
      <c r="L794" s="3" t="s">
        <v>81</v>
      </c>
      <c r="M794" s="3" t="s">
        <v>2499</v>
      </c>
      <c r="N794" s="3" t="s">
        <v>49</v>
      </c>
      <c r="O794" s="3" t="s">
        <v>43</v>
      </c>
      <c r="P794" s="5" t="n">
        <v>1</v>
      </c>
      <c r="Q794" s="6" t="n">
        <v>3501.12</v>
      </c>
      <c r="R794" s="3" t="s">
        <v>50</v>
      </c>
      <c r="S794" s="7" t="n">
        <v>0.2</v>
      </c>
      <c r="T794" s="3" t="s">
        <v>51</v>
      </c>
      <c r="U794" s="7" t="n">
        <f aca="false">IF(T794="Valid",S794,0)</f>
        <v>0.2</v>
      </c>
      <c r="V794" s="6" t="n">
        <v>2800.9</v>
      </c>
      <c r="W794" s="6" t="n">
        <v>1735.98</v>
      </c>
      <c r="X794" s="6" t="n">
        <v>1064.92</v>
      </c>
      <c r="Y794" s="6" t="n">
        <f aca="false">P794*Q794*(1-U794)</f>
        <v>2800.896</v>
      </c>
      <c r="Z794" s="6" t="n">
        <f aca="false">Y794-W794</f>
        <v>1064.916</v>
      </c>
      <c r="AA794" s="8" t="n">
        <f aca="false">IF(Y794=0,0,Z794/Y794)</f>
        <v>0.380205477104469</v>
      </c>
      <c r="AB794" s="3" t="str">
        <f aca="false">IF(ABS(V794-Y794)&gt;1,"Mismatch","OK")</f>
        <v>OK</v>
      </c>
      <c r="AC794" s="3" t="str">
        <f aca="false">IF(ABS(X794-Z794)&gt;1,"Mismatch","OK")</f>
        <v>OK</v>
      </c>
      <c r="AD794" s="5" t="n">
        <f aca="false">IF(OR(B794="",C794=""),"",C794-B794)</f>
        <v>4</v>
      </c>
      <c r="AE794" s="3" t="str">
        <f aca="false">IF(AD794="","Unknown",IF(AD794&lt;0,"Invalid - Ship Before Order","OK"))</f>
        <v>OK</v>
      </c>
      <c r="AF794" s="5" t="n">
        <f aca="false">IF(B794="","",MONTH(B794))</f>
        <v>6</v>
      </c>
      <c r="AG794" s="5" t="n">
        <f aca="false">IF(B794="","",YEAR(B794))</f>
        <v>2025</v>
      </c>
      <c r="AH794" s="3" t="s">
        <v>52</v>
      </c>
      <c r="AI794" s="3" t="s">
        <v>130</v>
      </c>
      <c r="AJ794" s="3" t="str">
        <f aca="false">IF(AND(AI794="Completed",AH794="Failed"),"Inconsistent - Completed Order with Failed Payment","OK")</f>
        <v>OK</v>
      </c>
      <c r="AK794" s="3" t="s">
        <v>54</v>
      </c>
      <c r="AL794" s="3" t="str">
        <f aca="false">IF(OR(T794="Negative - Invalid",T794="Above Allowed Range - Invalid",AE794="Invalid - Ship Before Order",AK794&lt;&gt;"Unique",AB794="Mismatch",AC794="Mismatch",AJ794&lt;&gt;"OK"),"Invalid",IF(OR(H794="Yes",O794="Yes",T794="Missing"),"Warning","Clean"))</f>
        <v>Clean</v>
      </c>
    </row>
    <row r="795" customFormat="false" ht="15" hidden="false" customHeight="true" outlineLevel="0" collapsed="false">
      <c r="A795" s="3" t="s">
        <v>2500</v>
      </c>
      <c r="B795" s="4" t="n">
        <v>45440</v>
      </c>
      <c r="C795" s="4" t="n">
        <v>45446</v>
      </c>
      <c r="D795" s="3" t="s">
        <v>2501</v>
      </c>
      <c r="E795" s="3" t="s">
        <v>96</v>
      </c>
      <c r="F795" s="3" t="s">
        <v>116</v>
      </c>
      <c r="G795" s="3" t="s">
        <v>42</v>
      </c>
      <c r="H795" s="3" t="s">
        <v>43</v>
      </c>
      <c r="I795" s="3" t="s">
        <v>44</v>
      </c>
      <c r="J795" s="3" t="s">
        <v>45</v>
      </c>
      <c r="K795" s="3" t="s">
        <v>99</v>
      </c>
      <c r="L795" s="3" t="s">
        <v>105</v>
      </c>
      <c r="M795" s="3" t="s">
        <v>2502</v>
      </c>
      <c r="N795" s="3" t="s">
        <v>49</v>
      </c>
      <c r="O795" s="3" t="s">
        <v>43</v>
      </c>
      <c r="P795" s="5" t="n">
        <v>5</v>
      </c>
      <c r="Q795" s="6" t="n">
        <v>4302.32</v>
      </c>
      <c r="R795" s="3" t="s">
        <v>66</v>
      </c>
      <c r="S795" s="7" t="n">
        <v>0</v>
      </c>
      <c r="T795" s="3" t="s">
        <v>51</v>
      </c>
      <c r="U795" s="7" t="n">
        <f aca="false">IF(T795="Valid",S795,0)</f>
        <v>0</v>
      </c>
      <c r="V795" s="6" t="n">
        <v>21511.6</v>
      </c>
      <c r="W795" s="6" t="n">
        <v>15408.47</v>
      </c>
      <c r="X795" s="6" t="n">
        <v>6103.13</v>
      </c>
      <c r="Y795" s="6" t="n">
        <f aca="false">P795*Q795*(1-U795)</f>
        <v>21511.6</v>
      </c>
      <c r="Z795" s="6" t="n">
        <f aca="false">Y795-W795</f>
        <v>6103.13</v>
      </c>
      <c r="AA795" s="8" t="n">
        <f aca="false">IF(Y795=0,0,Z795/Y795)</f>
        <v>0.283713438330947</v>
      </c>
      <c r="AB795" s="3" t="str">
        <f aca="false">IF(ABS(V795-Y795)&gt;1,"Mismatch","OK")</f>
        <v>OK</v>
      </c>
      <c r="AC795" s="3" t="str">
        <f aca="false">IF(ABS(X795-Z795)&gt;1,"Mismatch","OK")</f>
        <v>OK</v>
      </c>
      <c r="AD795" s="5" t="n">
        <f aca="false">IF(OR(B795="",C795=""),"",C795-B795)</f>
        <v>6</v>
      </c>
      <c r="AE795" s="3" t="str">
        <f aca="false">IF(AD795="","Unknown",IF(AD795&lt;0,"Invalid - Ship Before Order","OK"))</f>
        <v>OK</v>
      </c>
      <c r="AF795" s="5" t="n">
        <f aca="false">IF(B795="","",MONTH(B795))</f>
        <v>5</v>
      </c>
      <c r="AG795" s="5" t="n">
        <f aca="false">IF(B795="","",YEAR(B795))</f>
        <v>2024</v>
      </c>
      <c r="AH795" s="3" t="s">
        <v>52</v>
      </c>
      <c r="AI795" s="3" t="s">
        <v>53</v>
      </c>
      <c r="AJ795" s="3" t="str">
        <f aca="false">IF(AND(AI795="Completed",AH795="Failed"),"Inconsistent - Completed Order with Failed Payment","OK")</f>
        <v>OK</v>
      </c>
      <c r="AK795" s="3" t="s">
        <v>54</v>
      </c>
      <c r="AL795" s="3" t="str">
        <f aca="false">IF(OR(T795="Negative - Invalid",T795="Above Allowed Range - Invalid",AE795="Invalid - Ship Before Order",AK795&lt;&gt;"Unique",AB795="Mismatch",AC795="Mismatch",AJ795&lt;&gt;"OK"),"Invalid",IF(OR(H795="Yes",O795="Yes",T795="Missing"),"Warning","Clean"))</f>
        <v>Clean</v>
      </c>
    </row>
    <row r="796" customFormat="false" ht="15" hidden="false" customHeight="true" outlineLevel="0" collapsed="false">
      <c r="A796" s="3" t="s">
        <v>2503</v>
      </c>
      <c r="B796" s="4" t="n">
        <v>45830</v>
      </c>
      <c r="C796" s="4" t="n">
        <v>45832</v>
      </c>
      <c r="D796" s="3" t="s">
        <v>2504</v>
      </c>
      <c r="E796" s="3" t="s">
        <v>159</v>
      </c>
      <c r="F796" s="3" t="s">
        <v>116</v>
      </c>
      <c r="G796" s="3" t="s">
        <v>59</v>
      </c>
      <c r="H796" s="3" t="s">
        <v>43</v>
      </c>
      <c r="I796" s="3" t="s">
        <v>196</v>
      </c>
      <c r="J796" s="3" t="s">
        <v>197</v>
      </c>
      <c r="K796" s="3" t="s">
        <v>46</v>
      </c>
      <c r="L796" s="3" t="s">
        <v>47</v>
      </c>
      <c r="M796" s="3" t="s">
        <v>2505</v>
      </c>
      <c r="N796" s="3" t="s">
        <v>83</v>
      </c>
      <c r="O796" s="3" t="s">
        <v>43</v>
      </c>
      <c r="P796" s="5" t="n">
        <v>9</v>
      </c>
      <c r="Q796" s="6" t="n">
        <v>951.55</v>
      </c>
      <c r="R796" s="3" t="s">
        <v>107</v>
      </c>
      <c r="S796" s="7" t="n">
        <v>0.15</v>
      </c>
      <c r="T796" s="3" t="s">
        <v>51</v>
      </c>
      <c r="U796" s="7" t="n">
        <f aca="false">IF(T796="Valid",S796,0)</f>
        <v>0.15</v>
      </c>
      <c r="V796" s="6" t="n">
        <v>7279.36</v>
      </c>
      <c r="W796" s="6" t="n">
        <v>4870.39</v>
      </c>
      <c r="X796" s="6" t="n">
        <v>2408.97</v>
      </c>
      <c r="Y796" s="6" t="n">
        <f aca="false">P796*Q796*(1-U796)</f>
        <v>7279.3575</v>
      </c>
      <c r="Z796" s="6" t="n">
        <f aca="false">Y796-W796</f>
        <v>2408.9675</v>
      </c>
      <c r="AA796" s="8" t="n">
        <f aca="false">IF(Y796=0,0,Z796/Y796)</f>
        <v>0.330931335629552</v>
      </c>
      <c r="AB796" s="3" t="str">
        <f aca="false">IF(ABS(V796-Y796)&gt;1,"Mismatch","OK")</f>
        <v>OK</v>
      </c>
      <c r="AC796" s="3" t="str">
        <f aca="false">IF(ABS(X796-Z796)&gt;1,"Mismatch","OK")</f>
        <v>OK</v>
      </c>
      <c r="AD796" s="5" t="n">
        <f aca="false">IF(OR(B796="",C796=""),"",C796-B796)</f>
        <v>2</v>
      </c>
      <c r="AE796" s="3" t="str">
        <f aca="false">IF(AD796="","Unknown",IF(AD796&lt;0,"Invalid - Ship Before Order","OK"))</f>
        <v>OK</v>
      </c>
      <c r="AF796" s="5" t="n">
        <f aca="false">IF(B796="","",MONTH(B796))</f>
        <v>6</v>
      </c>
      <c r="AG796" s="5" t="n">
        <f aca="false">IF(B796="","",YEAR(B796))</f>
        <v>2025</v>
      </c>
      <c r="AH796" s="3" t="s">
        <v>52</v>
      </c>
      <c r="AI796" s="3" t="s">
        <v>53</v>
      </c>
      <c r="AJ796" s="3" t="str">
        <f aca="false">IF(AND(AI796="Completed",AH796="Failed"),"Inconsistent - Completed Order with Failed Payment","OK")</f>
        <v>OK</v>
      </c>
      <c r="AK796" s="3" t="s">
        <v>54</v>
      </c>
      <c r="AL796" s="3" t="str">
        <f aca="false">IF(OR(T796="Negative - Invalid",T796="Above Allowed Range - Invalid",AE796="Invalid - Ship Before Order",AK796&lt;&gt;"Unique",AB796="Mismatch",AC796="Mismatch",AJ796&lt;&gt;"OK"),"Invalid",IF(OR(H796="Yes",O796="Yes",T796="Missing"),"Warning","Clean"))</f>
        <v>Clean</v>
      </c>
    </row>
    <row r="797" customFormat="false" ht="15" hidden="false" customHeight="true" outlineLevel="0" collapsed="false">
      <c r="A797" s="3" t="s">
        <v>2506</v>
      </c>
      <c r="B797" s="4" t="n">
        <v>45503</v>
      </c>
      <c r="C797" s="4" t="n">
        <v>45503</v>
      </c>
      <c r="D797" s="3" t="s">
        <v>2507</v>
      </c>
      <c r="E797" s="3" t="s">
        <v>192</v>
      </c>
      <c r="F797" s="3" t="s">
        <v>121</v>
      </c>
      <c r="G797" s="3" t="s">
        <v>59</v>
      </c>
      <c r="H797" s="3" t="s">
        <v>43</v>
      </c>
      <c r="I797" s="3" t="s">
        <v>60</v>
      </c>
      <c r="J797" s="3" t="s">
        <v>61</v>
      </c>
      <c r="K797" s="3" t="s">
        <v>99</v>
      </c>
      <c r="L797" s="3" t="s">
        <v>105</v>
      </c>
      <c r="M797" s="3" t="s">
        <v>2508</v>
      </c>
      <c r="N797" s="3" t="s">
        <v>65</v>
      </c>
      <c r="O797" s="3" t="s">
        <v>43</v>
      </c>
      <c r="P797" s="5" t="n">
        <v>9</v>
      </c>
      <c r="Q797" s="6" t="n">
        <v>2894.66</v>
      </c>
      <c r="R797" s="3" t="s">
        <v>66</v>
      </c>
      <c r="S797" s="7" t="n">
        <v>0</v>
      </c>
      <c r="T797" s="3" t="s">
        <v>51</v>
      </c>
      <c r="U797" s="7" t="n">
        <f aca="false">IF(T797="Valid",S797,0)</f>
        <v>0</v>
      </c>
      <c r="V797" s="6" t="n">
        <v>26051.94</v>
      </c>
      <c r="W797" s="6" t="n">
        <v>16883.59</v>
      </c>
      <c r="X797" s="6" t="n">
        <v>9168.35</v>
      </c>
      <c r="Y797" s="6" t="n">
        <f aca="false">P797*Q797*(1-U797)</f>
        <v>26051.94</v>
      </c>
      <c r="Z797" s="6" t="n">
        <f aca="false">Y797-W797</f>
        <v>9168.35</v>
      </c>
      <c r="AA797" s="8" t="n">
        <f aca="false">IF(Y797=0,0,Z797/Y797)</f>
        <v>0.351925806676969</v>
      </c>
      <c r="AB797" s="3" t="str">
        <f aca="false">IF(ABS(V797-Y797)&gt;1,"Mismatch","OK")</f>
        <v>OK</v>
      </c>
      <c r="AC797" s="3" t="str">
        <f aca="false">IF(ABS(X797-Z797)&gt;1,"Mismatch","OK")</f>
        <v>OK</v>
      </c>
      <c r="AD797" s="5" t="n">
        <f aca="false">IF(OR(B797="",C797=""),"",C797-B797)</f>
        <v>0</v>
      </c>
      <c r="AE797" s="3" t="str">
        <f aca="false">IF(AD797="","Unknown",IF(AD797&lt;0,"Invalid - Ship Before Order","OK"))</f>
        <v>OK</v>
      </c>
      <c r="AF797" s="5" t="n">
        <f aca="false">IF(B797="","",MONTH(B797))</f>
        <v>7</v>
      </c>
      <c r="AG797" s="5" t="n">
        <f aca="false">IF(B797="","",YEAR(B797))</f>
        <v>2024</v>
      </c>
      <c r="AH797" s="3" t="s">
        <v>129</v>
      </c>
      <c r="AI797" s="3" t="s">
        <v>93</v>
      </c>
      <c r="AJ797" s="3" t="str">
        <f aca="false">IF(AND(AI797="Completed",AH797="Failed"),"Inconsistent - Completed Order with Failed Payment","OK")</f>
        <v>OK</v>
      </c>
      <c r="AK797" s="3" t="s">
        <v>54</v>
      </c>
      <c r="AL797" s="3" t="str">
        <f aca="false">IF(OR(T797="Negative - Invalid",T797="Above Allowed Range - Invalid",AE797="Invalid - Ship Before Order",AK797&lt;&gt;"Unique",AB797="Mismatch",AC797="Mismatch",AJ797&lt;&gt;"OK"),"Invalid",IF(OR(H797="Yes",O797="Yes",T797="Missing"),"Warning","Clean"))</f>
        <v>Clean</v>
      </c>
    </row>
    <row r="798" customFormat="false" ht="15" hidden="false" customHeight="true" outlineLevel="0" collapsed="false">
      <c r="A798" s="3" t="s">
        <v>2509</v>
      </c>
      <c r="B798" s="4" t="n">
        <v>45374</v>
      </c>
      <c r="C798" s="4" t="n">
        <v>45381</v>
      </c>
      <c r="D798" s="3" t="s">
        <v>2510</v>
      </c>
      <c r="E798" s="3" t="s">
        <v>168</v>
      </c>
      <c r="F798" s="3" t="s">
        <v>58</v>
      </c>
      <c r="G798" s="3" t="s">
        <v>78</v>
      </c>
      <c r="H798" s="3" t="s">
        <v>43</v>
      </c>
      <c r="I798" s="3" t="s">
        <v>110</v>
      </c>
      <c r="J798" s="3" t="s">
        <v>111</v>
      </c>
      <c r="K798" s="3" t="s">
        <v>99</v>
      </c>
      <c r="L798" s="3" t="s">
        <v>308</v>
      </c>
      <c r="M798" s="3" t="s">
        <v>2511</v>
      </c>
      <c r="N798" s="3" t="s">
        <v>72</v>
      </c>
      <c r="O798" s="3" t="s">
        <v>43</v>
      </c>
      <c r="P798" s="5" t="n">
        <v>6</v>
      </c>
      <c r="Q798" s="6" t="n">
        <v>1894.44</v>
      </c>
      <c r="R798" s="3" t="s">
        <v>107</v>
      </c>
      <c r="S798" s="7" t="n">
        <v>0.15</v>
      </c>
      <c r="T798" s="3" t="s">
        <v>51</v>
      </c>
      <c r="U798" s="7" t="n">
        <f aca="false">IF(T798="Valid",S798,0)</f>
        <v>0.15</v>
      </c>
      <c r="V798" s="6" t="n">
        <v>9661.64</v>
      </c>
      <c r="W798" s="6" t="n">
        <v>6303.77</v>
      </c>
      <c r="X798" s="6" t="n">
        <v>3357.87</v>
      </c>
      <c r="Y798" s="6" t="n">
        <f aca="false">P798*Q798*(1-U798)</f>
        <v>9661.644</v>
      </c>
      <c r="Z798" s="6" t="n">
        <f aca="false">Y798-W798</f>
        <v>3357.874</v>
      </c>
      <c r="AA798" s="8" t="n">
        <f aca="false">IF(Y798=0,0,Z798/Y798)</f>
        <v>0.347546856414912</v>
      </c>
      <c r="AB798" s="3" t="str">
        <f aca="false">IF(ABS(V798-Y798)&gt;1,"Mismatch","OK")</f>
        <v>OK</v>
      </c>
      <c r="AC798" s="3" t="str">
        <f aca="false">IF(ABS(X798-Z798)&gt;1,"Mismatch","OK")</f>
        <v>OK</v>
      </c>
      <c r="AD798" s="5" t="n">
        <f aca="false">IF(OR(B798="",C798=""),"",C798-B798)</f>
        <v>7</v>
      </c>
      <c r="AE798" s="3" t="str">
        <f aca="false">IF(AD798="","Unknown",IF(AD798&lt;0,"Invalid - Ship Before Order","OK"))</f>
        <v>OK</v>
      </c>
      <c r="AF798" s="5" t="n">
        <f aca="false">IF(B798="","",MONTH(B798))</f>
        <v>3</v>
      </c>
      <c r="AG798" s="5" t="n">
        <f aca="false">IF(B798="","",YEAR(B798))</f>
        <v>2024</v>
      </c>
      <c r="AH798" s="3" t="s">
        <v>52</v>
      </c>
      <c r="AI798" s="3" t="s">
        <v>53</v>
      </c>
      <c r="AJ798" s="3" t="str">
        <f aca="false">IF(AND(AI798="Completed",AH798="Failed"),"Inconsistent - Completed Order with Failed Payment","OK")</f>
        <v>OK</v>
      </c>
      <c r="AK798" s="3" t="s">
        <v>54</v>
      </c>
      <c r="AL798" s="3" t="str">
        <f aca="false">IF(OR(T798="Negative - Invalid",T798="Above Allowed Range - Invalid",AE798="Invalid - Ship Before Order",AK798&lt;&gt;"Unique",AB798="Mismatch",AC798="Mismatch",AJ798&lt;&gt;"OK"),"Invalid",IF(OR(H798="Yes",O798="Yes",T798="Missing"),"Warning","Clean"))</f>
        <v>Clean</v>
      </c>
    </row>
    <row r="799" customFormat="false" ht="15" hidden="false" customHeight="true" outlineLevel="0" collapsed="false">
      <c r="A799" s="3" t="s">
        <v>2512</v>
      </c>
      <c r="B799" s="4" t="n">
        <v>45400</v>
      </c>
      <c r="C799" s="4" t="n">
        <v>45404</v>
      </c>
      <c r="D799" s="3" t="s">
        <v>2513</v>
      </c>
      <c r="E799" s="3" t="s">
        <v>155</v>
      </c>
      <c r="F799" s="3" t="s">
        <v>41</v>
      </c>
      <c r="G799" s="3" t="s">
        <v>59</v>
      </c>
      <c r="H799" s="3" t="s">
        <v>43</v>
      </c>
      <c r="I799" s="3" t="s">
        <v>60</v>
      </c>
      <c r="J799" s="3" t="s">
        <v>61</v>
      </c>
      <c r="K799" s="3" t="s">
        <v>46</v>
      </c>
      <c r="L799" s="3" t="s">
        <v>183</v>
      </c>
      <c r="M799" s="3" t="s">
        <v>2514</v>
      </c>
      <c r="N799" s="3" t="s">
        <v>72</v>
      </c>
      <c r="O799" s="3" t="s">
        <v>43</v>
      </c>
      <c r="P799" s="5" t="n">
        <v>8</v>
      </c>
      <c r="Q799" s="6" t="n">
        <v>1714.37</v>
      </c>
      <c r="R799" s="3" t="s">
        <v>66</v>
      </c>
      <c r="S799" s="7" t="n">
        <v>0</v>
      </c>
      <c r="T799" s="3" t="s">
        <v>51</v>
      </c>
      <c r="U799" s="7" t="n">
        <f aca="false">IF(T799="Valid",S799,0)</f>
        <v>0</v>
      </c>
      <c r="V799" s="6" t="n">
        <v>13714.96</v>
      </c>
      <c r="W799" s="6" t="n">
        <v>10550.47</v>
      </c>
      <c r="X799" s="6" t="n">
        <v>3164.49</v>
      </c>
      <c r="Y799" s="6" t="n">
        <f aca="false">P799*Q799*(1-U799)</f>
        <v>13714.96</v>
      </c>
      <c r="Z799" s="6" t="n">
        <f aca="false">Y799-W799</f>
        <v>3164.49</v>
      </c>
      <c r="AA799" s="8" t="n">
        <f aca="false">IF(Y799=0,0,Z799/Y799)</f>
        <v>0.230732718141358</v>
      </c>
      <c r="AB799" s="3" t="str">
        <f aca="false">IF(ABS(V799-Y799)&gt;1,"Mismatch","OK")</f>
        <v>OK</v>
      </c>
      <c r="AC799" s="3" t="str">
        <f aca="false">IF(ABS(X799-Z799)&gt;1,"Mismatch","OK")</f>
        <v>OK</v>
      </c>
      <c r="AD799" s="5" t="n">
        <f aca="false">IF(OR(B799="",C799=""),"",C799-B799)</f>
        <v>4</v>
      </c>
      <c r="AE799" s="3" t="str">
        <f aca="false">IF(AD799="","Unknown",IF(AD799&lt;0,"Invalid - Ship Before Order","OK"))</f>
        <v>OK</v>
      </c>
      <c r="AF799" s="5" t="n">
        <f aca="false">IF(B799="","",MONTH(B799))</f>
        <v>4</v>
      </c>
      <c r="AG799" s="5" t="n">
        <f aca="false">IF(B799="","",YEAR(B799))</f>
        <v>2024</v>
      </c>
      <c r="AH799" s="3" t="s">
        <v>185</v>
      </c>
      <c r="AI799" s="3" t="s">
        <v>93</v>
      </c>
      <c r="AJ799" s="3" t="str">
        <f aca="false">IF(AND(AI799="Completed",AH799="Failed"),"Inconsistent - Completed Order with Failed Payment","OK")</f>
        <v>OK</v>
      </c>
      <c r="AK799" s="3" t="s">
        <v>54</v>
      </c>
      <c r="AL799" s="3" t="str">
        <f aca="false">IF(OR(T799="Negative - Invalid",T799="Above Allowed Range - Invalid",AE799="Invalid - Ship Before Order",AK799&lt;&gt;"Unique",AB799="Mismatch",AC799="Mismatch",AJ799&lt;&gt;"OK"),"Invalid",IF(OR(H799="Yes",O799="Yes",T799="Missing"),"Warning","Clean"))</f>
        <v>Clean</v>
      </c>
    </row>
    <row r="800" customFormat="false" ht="15" hidden="false" customHeight="true" outlineLevel="0" collapsed="false">
      <c r="A800" s="3" t="s">
        <v>2515</v>
      </c>
      <c r="B800" s="4" t="n">
        <v>45849</v>
      </c>
      <c r="C800" s="4" t="n">
        <v>45847</v>
      </c>
      <c r="D800" s="3" t="s">
        <v>2516</v>
      </c>
      <c r="E800" s="3" t="s">
        <v>115</v>
      </c>
      <c r="F800" s="3" t="s">
        <v>116</v>
      </c>
      <c r="G800" s="3" t="s">
        <v>42</v>
      </c>
      <c r="H800" s="3" t="s">
        <v>43</v>
      </c>
      <c r="I800" s="3" t="s">
        <v>384</v>
      </c>
      <c r="J800" s="3" t="s">
        <v>385</v>
      </c>
      <c r="K800" s="3" t="s">
        <v>62</v>
      </c>
      <c r="L800" s="3" t="s">
        <v>81</v>
      </c>
      <c r="M800" s="3" t="s">
        <v>2517</v>
      </c>
      <c r="N800" s="3" t="s">
        <v>83</v>
      </c>
      <c r="O800" s="3" t="s">
        <v>43</v>
      </c>
      <c r="P800" s="5" t="n">
        <v>9</v>
      </c>
      <c r="Q800" s="6" t="n">
        <v>1706.05</v>
      </c>
      <c r="R800" s="3" t="s">
        <v>66</v>
      </c>
      <c r="S800" s="7" t="n">
        <v>0</v>
      </c>
      <c r="T800" s="3" t="s">
        <v>51</v>
      </c>
      <c r="U800" s="7" t="n">
        <f aca="false">IF(T800="Valid",S800,0)</f>
        <v>0</v>
      </c>
      <c r="V800" s="6" t="n">
        <v>15354.45</v>
      </c>
      <c r="W800" s="6" t="n">
        <v>9656.5</v>
      </c>
      <c r="X800" s="6" t="n">
        <v>5697.95</v>
      </c>
      <c r="Y800" s="6" t="n">
        <f aca="false">P800*Q800*(1-U800)</f>
        <v>15354.45</v>
      </c>
      <c r="Z800" s="6" t="n">
        <f aca="false">Y800-W800</f>
        <v>5697.95</v>
      </c>
      <c r="AA800" s="8" t="n">
        <f aca="false">IF(Y800=0,0,Z800/Y800)</f>
        <v>0.371094373292433</v>
      </c>
      <c r="AB800" s="3" t="str">
        <f aca="false">IF(ABS(V800-Y800)&gt;1,"Mismatch","OK")</f>
        <v>OK</v>
      </c>
      <c r="AC800" s="3" t="str">
        <f aca="false">IF(ABS(X800-Z800)&gt;1,"Mismatch","OK")</f>
        <v>OK</v>
      </c>
      <c r="AD800" s="5" t="n">
        <f aca="false">IF(OR(B800="",C800=""),"",C800-B800)</f>
        <v>-2</v>
      </c>
      <c r="AE800" s="3" t="str">
        <f aca="false">IF(AD800="","Unknown",IF(AD800&lt;0,"Invalid - Ship Before Order","OK"))</f>
        <v>Invalid - Ship Before Order</v>
      </c>
      <c r="AF800" s="5" t="n">
        <f aca="false">IF(B800="","",MONTH(B800))</f>
        <v>7</v>
      </c>
      <c r="AG800" s="5" t="n">
        <f aca="false">IF(B800="","",YEAR(B800))</f>
        <v>2025</v>
      </c>
      <c r="AH800" s="3" t="s">
        <v>52</v>
      </c>
      <c r="AI800" s="3" t="s">
        <v>53</v>
      </c>
      <c r="AJ800" s="3" t="str">
        <f aca="false">IF(AND(AI800="Completed",AH800="Failed"),"Inconsistent - Completed Order with Failed Payment","OK")</f>
        <v>OK</v>
      </c>
      <c r="AK800" s="3" t="s">
        <v>54</v>
      </c>
      <c r="AL800" s="3" t="str">
        <f aca="false">IF(OR(T800="Negative - Invalid",T800="Above Allowed Range - Invalid",AE800="Invalid - Ship Before Order",AK800&lt;&gt;"Unique",AB800="Mismatch",AC800="Mismatch",AJ800&lt;&gt;"OK"),"Invalid",IF(OR(H800="Yes",O800="Yes",T800="Missing"),"Warning","Clean"))</f>
        <v>Invalid</v>
      </c>
    </row>
    <row r="801" customFormat="false" ht="15" hidden="false" customHeight="true" outlineLevel="0" collapsed="false">
      <c r="A801" s="3" t="s">
        <v>2518</v>
      </c>
      <c r="B801" s="4" t="n">
        <v>45575</v>
      </c>
      <c r="C801" s="4" t="n">
        <v>45582</v>
      </c>
      <c r="D801" s="3" t="s">
        <v>2519</v>
      </c>
      <c r="E801" s="3" t="s">
        <v>69</v>
      </c>
      <c r="F801" s="3" t="s">
        <v>121</v>
      </c>
      <c r="G801" s="3" t="s">
        <v>42</v>
      </c>
      <c r="H801" s="3" t="s">
        <v>43</v>
      </c>
      <c r="I801" s="3" t="s">
        <v>270</v>
      </c>
      <c r="J801" s="3" t="s">
        <v>271</v>
      </c>
      <c r="K801" s="3" t="s">
        <v>99</v>
      </c>
      <c r="L801" s="3" t="s">
        <v>100</v>
      </c>
      <c r="M801" s="3" t="s">
        <v>2520</v>
      </c>
      <c r="N801" s="3" t="s">
        <v>237</v>
      </c>
      <c r="O801" s="3" t="s">
        <v>238</v>
      </c>
      <c r="P801" s="5" t="n">
        <v>5</v>
      </c>
      <c r="Q801" s="6" t="n">
        <v>967.41</v>
      </c>
      <c r="R801" s="3" t="s">
        <v>128</v>
      </c>
      <c r="S801" s="7" t="n">
        <v>0.05</v>
      </c>
      <c r="T801" s="3" t="s">
        <v>51</v>
      </c>
      <c r="U801" s="7" t="n">
        <f aca="false">IF(T801="Valid",S801,0)</f>
        <v>0.05</v>
      </c>
      <c r="V801" s="6" t="n">
        <v>4595.2</v>
      </c>
      <c r="W801" s="6" t="n">
        <v>3887.41</v>
      </c>
      <c r="X801" s="6" t="n">
        <v>707.79</v>
      </c>
      <c r="Y801" s="6" t="n">
        <f aca="false">P801*Q801*(1-U801)</f>
        <v>4595.1975</v>
      </c>
      <c r="Z801" s="6" t="n">
        <f aca="false">Y801-W801</f>
        <v>707.7875</v>
      </c>
      <c r="AA801" s="8" t="n">
        <f aca="false">IF(Y801=0,0,Z801/Y801)</f>
        <v>0.154027656047428</v>
      </c>
      <c r="AB801" s="3" t="str">
        <f aca="false">IF(ABS(V801-Y801)&gt;1,"Mismatch","OK")</f>
        <v>OK</v>
      </c>
      <c r="AC801" s="3" t="str">
        <f aca="false">IF(ABS(X801-Z801)&gt;1,"Mismatch","OK")</f>
        <v>OK</v>
      </c>
      <c r="AD801" s="5" t="n">
        <f aca="false">IF(OR(B801="",C801=""),"",C801-B801)</f>
        <v>7</v>
      </c>
      <c r="AE801" s="3" t="str">
        <f aca="false">IF(AD801="","Unknown",IF(AD801&lt;0,"Invalid - Ship Before Order","OK"))</f>
        <v>OK</v>
      </c>
      <c r="AF801" s="5" t="n">
        <f aca="false">IF(B801="","",MONTH(B801))</f>
        <v>10</v>
      </c>
      <c r="AG801" s="5" t="n">
        <f aca="false">IF(B801="","",YEAR(B801))</f>
        <v>2024</v>
      </c>
      <c r="AH801" s="3" t="s">
        <v>52</v>
      </c>
      <c r="AI801" s="3" t="s">
        <v>130</v>
      </c>
      <c r="AJ801" s="3" t="str">
        <f aca="false">IF(AND(AI801="Completed",AH801="Failed"),"Inconsistent - Completed Order with Failed Payment","OK")</f>
        <v>OK</v>
      </c>
      <c r="AK801" s="3" t="s">
        <v>54</v>
      </c>
      <c r="AL801" s="3" t="str">
        <f aca="false">IF(OR(T801="Negative - Invalid",T801="Above Allowed Range - Invalid",AE801="Invalid - Ship Before Order",AK801&lt;&gt;"Unique",AB801="Mismatch",AC801="Mismatch",AJ801&lt;&gt;"OK"),"Invalid",IF(OR(H801="Yes",O801="Yes",T801="Missing"),"Warning","Clean"))</f>
        <v>Warning</v>
      </c>
    </row>
    <row r="802" customFormat="false" ht="15" hidden="false" customHeight="true" outlineLevel="0" collapsed="false">
      <c r="A802" s="3" t="s">
        <v>2521</v>
      </c>
      <c r="B802" s="4" t="n">
        <v>45352</v>
      </c>
      <c r="C802" s="4" t="n">
        <v>45358</v>
      </c>
      <c r="D802" s="3" t="s">
        <v>2522</v>
      </c>
      <c r="E802" s="3" t="s">
        <v>96</v>
      </c>
      <c r="F802" s="3" t="s">
        <v>58</v>
      </c>
      <c r="G802" s="3" t="s">
        <v>88</v>
      </c>
      <c r="H802" s="3" t="s">
        <v>43</v>
      </c>
      <c r="I802" s="3" t="s">
        <v>89</v>
      </c>
      <c r="J802" s="3" t="s">
        <v>90</v>
      </c>
      <c r="K802" s="3" t="s">
        <v>46</v>
      </c>
      <c r="L802" s="3" t="s">
        <v>151</v>
      </c>
      <c r="M802" s="3" t="s">
        <v>2523</v>
      </c>
      <c r="N802" s="3" t="s">
        <v>49</v>
      </c>
      <c r="O802" s="3" t="s">
        <v>43</v>
      </c>
      <c r="P802" s="5" t="n">
        <v>6</v>
      </c>
      <c r="Q802" s="6" t="n">
        <v>4163.72</v>
      </c>
      <c r="R802" s="3" t="s">
        <v>107</v>
      </c>
      <c r="S802" s="7" t="n">
        <v>0.15</v>
      </c>
      <c r="T802" s="3" t="s">
        <v>51</v>
      </c>
      <c r="U802" s="7" t="n">
        <f aca="false">IF(T802="Valid",S802,0)</f>
        <v>0.15</v>
      </c>
      <c r="V802" s="6" t="n">
        <v>21234.97</v>
      </c>
      <c r="W802" s="6" t="n">
        <v>16736.09</v>
      </c>
      <c r="X802" s="6" t="n">
        <v>4498.88</v>
      </c>
      <c r="Y802" s="6" t="n">
        <f aca="false">P802*Q802*(1-U802)</f>
        <v>21234.972</v>
      </c>
      <c r="Z802" s="6" t="n">
        <f aca="false">Y802-W802</f>
        <v>4498.882</v>
      </c>
      <c r="AA802" s="8" t="n">
        <f aca="false">IF(Y802=0,0,Z802/Y802)</f>
        <v>0.2118619228695</v>
      </c>
      <c r="AB802" s="3" t="str">
        <f aca="false">IF(ABS(V802-Y802)&gt;1,"Mismatch","OK")</f>
        <v>OK</v>
      </c>
      <c r="AC802" s="3" t="str">
        <f aca="false">IF(ABS(X802-Z802)&gt;1,"Mismatch","OK")</f>
        <v>OK</v>
      </c>
      <c r="AD802" s="5" t="n">
        <f aca="false">IF(OR(B802="",C802=""),"",C802-B802)</f>
        <v>6</v>
      </c>
      <c r="AE802" s="3" t="str">
        <f aca="false">IF(AD802="","Unknown",IF(AD802&lt;0,"Invalid - Ship Before Order","OK"))</f>
        <v>OK</v>
      </c>
      <c r="AF802" s="5" t="n">
        <f aca="false">IF(B802="","",MONTH(B802))</f>
        <v>3</v>
      </c>
      <c r="AG802" s="5" t="n">
        <f aca="false">IF(B802="","",YEAR(B802))</f>
        <v>2024</v>
      </c>
      <c r="AH802" s="3" t="s">
        <v>52</v>
      </c>
      <c r="AI802" s="3" t="s">
        <v>53</v>
      </c>
      <c r="AJ802" s="3" t="str">
        <f aca="false">IF(AND(AI802="Completed",AH802="Failed"),"Inconsistent - Completed Order with Failed Payment","OK")</f>
        <v>OK</v>
      </c>
      <c r="AK802" s="3" t="s">
        <v>54</v>
      </c>
      <c r="AL802" s="3" t="str">
        <f aca="false">IF(OR(T802="Negative - Invalid",T802="Above Allowed Range - Invalid",AE802="Invalid - Ship Before Order",AK802&lt;&gt;"Unique",AB802="Mismatch",AC802="Mismatch",AJ802&lt;&gt;"OK"),"Invalid",IF(OR(H802="Yes",O802="Yes",T802="Missing"),"Warning","Clean"))</f>
        <v>Clean</v>
      </c>
    </row>
    <row r="803" customFormat="false" ht="15" hidden="false" customHeight="true" outlineLevel="0" collapsed="false">
      <c r="A803" s="3" t="s">
        <v>2524</v>
      </c>
      <c r="B803" s="4" t="n">
        <v>45938</v>
      </c>
      <c r="C803" s="4" t="n">
        <v>45945</v>
      </c>
      <c r="D803" s="3" t="s">
        <v>2525</v>
      </c>
      <c r="E803" s="3" t="s">
        <v>155</v>
      </c>
      <c r="F803" s="3" t="s">
        <v>121</v>
      </c>
      <c r="G803" s="3" t="s">
        <v>59</v>
      </c>
      <c r="H803" s="3" t="s">
        <v>43</v>
      </c>
      <c r="I803" s="3" t="s">
        <v>60</v>
      </c>
      <c r="J803" s="3" t="s">
        <v>61</v>
      </c>
      <c r="K803" s="3" t="s">
        <v>99</v>
      </c>
      <c r="L803" s="3" t="s">
        <v>100</v>
      </c>
      <c r="M803" s="3" t="s">
        <v>2526</v>
      </c>
      <c r="N803" s="3" t="s">
        <v>49</v>
      </c>
      <c r="O803" s="3" t="s">
        <v>43</v>
      </c>
      <c r="P803" s="5" t="n">
        <v>3</v>
      </c>
      <c r="Q803" s="6" t="n">
        <v>3372.21</v>
      </c>
      <c r="R803" s="3" t="s">
        <v>50</v>
      </c>
      <c r="S803" s="7" t="n">
        <v>0.2</v>
      </c>
      <c r="T803" s="3" t="s">
        <v>51</v>
      </c>
      <c r="U803" s="7" t="n">
        <f aca="false">IF(T803="Valid",S803,0)</f>
        <v>0.2</v>
      </c>
      <c r="V803" s="6" t="n">
        <v>8093.3</v>
      </c>
      <c r="W803" s="6" t="n">
        <v>6052.43</v>
      </c>
      <c r="X803" s="6" t="n">
        <v>2040.87</v>
      </c>
      <c r="Y803" s="6" t="n">
        <f aca="false">P803*Q803*(1-U803)</f>
        <v>8093.304</v>
      </c>
      <c r="Z803" s="6" t="n">
        <f aca="false">Y803-W803</f>
        <v>2040.874</v>
      </c>
      <c r="AA803" s="8" t="n">
        <f aca="false">IF(Y803=0,0,Z803/Y803)</f>
        <v>0.25216821214179</v>
      </c>
      <c r="AB803" s="3" t="str">
        <f aca="false">IF(ABS(V803-Y803)&gt;1,"Mismatch","OK")</f>
        <v>OK</v>
      </c>
      <c r="AC803" s="3" t="str">
        <f aca="false">IF(ABS(X803-Z803)&gt;1,"Mismatch","OK")</f>
        <v>OK</v>
      </c>
      <c r="AD803" s="5" t="n">
        <f aca="false">IF(OR(B803="",C803=""),"",C803-B803)</f>
        <v>7</v>
      </c>
      <c r="AE803" s="3" t="str">
        <f aca="false">IF(AD803="","Unknown",IF(AD803&lt;0,"Invalid - Ship Before Order","OK"))</f>
        <v>OK</v>
      </c>
      <c r="AF803" s="5" t="n">
        <f aca="false">IF(B803="","",MONTH(B803))</f>
        <v>10</v>
      </c>
      <c r="AG803" s="5" t="n">
        <f aca="false">IF(B803="","",YEAR(B803))</f>
        <v>2025</v>
      </c>
      <c r="AH803" s="3" t="s">
        <v>138</v>
      </c>
      <c r="AI803" s="3" t="s">
        <v>93</v>
      </c>
      <c r="AJ803" s="3" t="str">
        <f aca="false">IF(AND(AI803="Completed",AH803="Failed"),"Inconsistent - Completed Order with Failed Payment","OK")</f>
        <v>OK</v>
      </c>
      <c r="AK803" s="3" t="s">
        <v>54</v>
      </c>
      <c r="AL803" s="3" t="str">
        <f aca="false">IF(OR(T803="Negative - Invalid",T803="Above Allowed Range - Invalid",AE803="Invalid - Ship Before Order",AK803&lt;&gt;"Unique",AB803="Mismatch",AC803="Mismatch",AJ803&lt;&gt;"OK"),"Invalid",IF(OR(H803="Yes",O803="Yes",T803="Missing"),"Warning","Clean"))</f>
        <v>Clean</v>
      </c>
    </row>
    <row r="804" customFormat="false" ht="15" hidden="false" customHeight="true" outlineLevel="0" collapsed="false">
      <c r="A804" s="3" t="s">
        <v>2527</v>
      </c>
      <c r="B804" s="4" t="n">
        <v>45704</v>
      </c>
      <c r="C804" s="4" t="n">
        <v>45704</v>
      </c>
      <c r="D804" s="3" t="s">
        <v>2528</v>
      </c>
      <c r="E804" s="3" t="s">
        <v>168</v>
      </c>
      <c r="F804" s="3" t="s">
        <v>58</v>
      </c>
      <c r="G804" s="3" t="s">
        <v>59</v>
      </c>
      <c r="H804" s="3" t="s">
        <v>43</v>
      </c>
      <c r="I804" s="3" t="s">
        <v>196</v>
      </c>
      <c r="J804" s="3" t="s">
        <v>197</v>
      </c>
      <c r="K804" s="3" t="s">
        <v>62</v>
      </c>
      <c r="L804" s="3" t="s">
        <v>81</v>
      </c>
      <c r="M804" s="3" t="s">
        <v>2529</v>
      </c>
      <c r="N804" s="3" t="s">
        <v>49</v>
      </c>
      <c r="O804" s="3" t="s">
        <v>43</v>
      </c>
      <c r="P804" s="5" t="n">
        <v>6</v>
      </c>
      <c r="Q804" s="6" t="n">
        <v>1441.91</v>
      </c>
      <c r="R804" s="3" t="s">
        <v>66</v>
      </c>
      <c r="S804" s="7" t="n">
        <v>0</v>
      </c>
      <c r="T804" s="3" t="s">
        <v>51</v>
      </c>
      <c r="U804" s="7" t="n">
        <f aca="false">IF(T804="Valid",S804,0)</f>
        <v>0</v>
      </c>
      <c r="V804" s="6" t="n">
        <v>8651.46</v>
      </c>
      <c r="W804" s="6" t="n">
        <v>5254.62</v>
      </c>
      <c r="X804" s="6" t="n">
        <v>3396.84</v>
      </c>
      <c r="Y804" s="6" t="n">
        <f aca="false">P804*Q804*(1-U804)</f>
        <v>8651.46</v>
      </c>
      <c r="Z804" s="6" t="n">
        <f aca="false">Y804-W804</f>
        <v>3396.84</v>
      </c>
      <c r="AA804" s="8" t="n">
        <f aca="false">IF(Y804=0,0,Z804/Y804)</f>
        <v>0.392631995062105</v>
      </c>
      <c r="AB804" s="3" t="str">
        <f aca="false">IF(ABS(V804-Y804)&gt;1,"Mismatch","OK")</f>
        <v>OK</v>
      </c>
      <c r="AC804" s="3" t="str">
        <f aca="false">IF(ABS(X804-Z804)&gt;1,"Mismatch","OK")</f>
        <v>OK</v>
      </c>
      <c r="AD804" s="5" t="n">
        <f aca="false">IF(OR(B804="",C804=""),"",C804-B804)</f>
        <v>0</v>
      </c>
      <c r="AE804" s="3" t="str">
        <f aca="false">IF(AD804="","Unknown",IF(AD804&lt;0,"Invalid - Ship Before Order","OK"))</f>
        <v>OK</v>
      </c>
      <c r="AF804" s="5" t="n">
        <f aca="false">IF(B804="","",MONTH(B804))</f>
        <v>2</v>
      </c>
      <c r="AG804" s="5" t="n">
        <f aca="false">IF(B804="","",YEAR(B804))</f>
        <v>2025</v>
      </c>
      <c r="AH804" s="3" t="s">
        <v>185</v>
      </c>
      <c r="AI804" s="3" t="s">
        <v>130</v>
      </c>
      <c r="AJ804" s="3" t="str">
        <f aca="false">IF(AND(AI804="Completed",AH804="Failed"),"Inconsistent - Completed Order with Failed Payment","OK")</f>
        <v>OK</v>
      </c>
      <c r="AK804" s="3" t="s">
        <v>54</v>
      </c>
      <c r="AL804" s="3" t="str">
        <f aca="false">IF(OR(T804="Negative - Invalid",T804="Above Allowed Range - Invalid",AE804="Invalid - Ship Before Order",AK804&lt;&gt;"Unique",AB804="Mismatch",AC804="Mismatch",AJ804&lt;&gt;"OK"),"Invalid",IF(OR(H804="Yes",O804="Yes",T804="Missing"),"Warning","Clean"))</f>
        <v>Clean</v>
      </c>
    </row>
    <row r="805" customFormat="false" ht="15" hidden="false" customHeight="true" outlineLevel="0" collapsed="false">
      <c r="A805" s="3" t="s">
        <v>2530</v>
      </c>
      <c r="B805" s="4" t="n">
        <v>45635</v>
      </c>
      <c r="C805" s="4" t="n">
        <v>45639</v>
      </c>
      <c r="D805" s="3" t="s">
        <v>2531</v>
      </c>
      <c r="E805" s="3" t="s">
        <v>168</v>
      </c>
      <c r="F805" s="3" t="s">
        <v>41</v>
      </c>
      <c r="G805" s="3" t="s">
        <v>237</v>
      </c>
      <c r="H805" s="3" t="s">
        <v>238</v>
      </c>
      <c r="I805" s="3" t="s">
        <v>262</v>
      </c>
      <c r="J805" s="3" t="s">
        <v>263</v>
      </c>
      <c r="K805" s="3" t="s">
        <v>46</v>
      </c>
      <c r="L805" s="3" t="s">
        <v>117</v>
      </c>
      <c r="M805" s="3" t="s">
        <v>2532</v>
      </c>
      <c r="N805" s="3" t="s">
        <v>72</v>
      </c>
      <c r="O805" s="3" t="s">
        <v>43</v>
      </c>
      <c r="P805" s="5" t="n">
        <v>1</v>
      </c>
      <c r="Q805" s="6" t="n">
        <v>4306.65</v>
      </c>
      <c r="R805" s="3" t="s">
        <v>66</v>
      </c>
      <c r="S805" s="7" t="n">
        <v>0</v>
      </c>
      <c r="T805" s="3" t="s">
        <v>51</v>
      </c>
      <c r="U805" s="7" t="n">
        <f aca="false">IF(T805="Valid",S805,0)</f>
        <v>0</v>
      </c>
      <c r="V805" s="6" t="n">
        <v>4306.65</v>
      </c>
      <c r="W805" s="6" t="n">
        <v>2568.82</v>
      </c>
      <c r="X805" s="6" t="n">
        <v>1737.83</v>
      </c>
      <c r="Y805" s="6" t="n">
        <f aca="false">P805*Q805*(1-U805)</f>
        <v>4306.65</v>
      </c>
      <c r="Z805" s="6" t="n">
        <f aca="false">Y805-W805</f>
        <v>1737.83</v>
      </c>
      <c r="AA805" s="8" t="n">
        <f aca="false">IF(Y805=0,0,Z805/Y805)</f>
        <v>0.403522459452242</v>
      </c>
      <c r="AB805" s="3" t="str">
        <f aca="false">IF(ABS(V805-Y805)&gt;1,"Mismatch","OK")</f>
        <v>OK</v>
      </c>
      <c r="AC805" s="3" t="str">
        <f aca="false">IF(ABS(X805-Z805)&gt;1,"Mismatch","OK")</f>
        <v>OK</v>
      </c>
      <c r="AD805" s="5" t="n">
        <f aca="false">IF(OR(B805="",C805=""),"",C805-B805)</f>
        <v>4</v>
      </c>
      <c r="AE805" s="3" t="str">
        <f aca="false">IF(AD805="","Unknown",IF(AD805&lt;0,"Invalid - Ship Before Order","OK"))</f>
        <v>OK</v>
      </c>
      <c r="AF805" s="5" t="n">
        <f aca="false">IF(B805="","",MONTH(B805))</f>
        <v>12</v>
      </c>
      <c r="AG805" s="5" t="n">
        <f aca="false">IF(B805="","",YEAR(B805))</f>
        <v>2024</v>
      </c>
      <c r="AH805" s="3" t="s">
        <v>52</v>
      </c>
      <c r="AI805" s="3" t="s">
        <v>53</v>
      </c>
      <c r="AJ805" s="3" t="str">
        <f aca="false">IF(AND(AI805="Completed",AH805="Failed"),"Inconsistent - Completed Order with Failed Payment","OK")</f>
        <v>OK</v>
      </c>
      <c r="AK805" s="3" t="s">
        <v>54</v>
      </c>
      <c r="AL805" s="3" t="str">
        <f aca="false">IF(OR(T805="Negative - Invalid",T805="Above Allowed Range - Invalid",AE805="Invalid - Ship Before Order",AK805&lt;&gt;"Unique",AB805="Mismatch",AC805="Mismatch",AJ805&lt;&gt;"OK"),"Invalid",IF(OR(H805="Yes",O805="Yes",T805="Missing"),"Warning","Clean"))</f>
        <v>Warning</v>
      </c>
    </row>
    <row r="806" customFormat="false" ht="15" hidden="false" customHeight="true" outlineLevel="0" collapsed="false">
      <c r="A806" s="3" t="s">
        <v>2533</v>
      </c>
      <c r="B806" s="4" t="n">
        <v>45910</v>
      </c>
      <c r="C806" s="4" t="n">
        <v>45918</v>
      </c>
      <c r="D806" s="3" t="s">
        <v>2534</v>
      </c>
      <c r="E806" s="3" t="s">
        <v>145</v>
      </c>
      <c r="F806" s="3" t="s">
        <v>121</v>
      </c>
      <c r="G806" s="3" t="s">
        <v>78</v>
      </c>
      <c r="H806" s="3" t="s">
        <v>43</v>
      </c>
      <c r="I806" s="3" t="s">
        <v>79</v>
      </c>
      <c r="J806" s="3" t="s">
        <v>80</v>
      </c>
      <c r="K806" s="3" t="s">
        <v>62</v>
      </c>
      <c r="L806" s="3" t="s">
        <v>81</v>
      </c>
      <c r="M806" s="3" t="s">
        <v>2535</v>
      </c>
      <c r="N806" s="3" t="s">
        <v>83</v>
      </c>
      <c r="O806" s="3" t="s">
        <v>43</v>
      </c>
      <c r="P806" s="5" t="n">
        <v>1</v>
      </c>
      <c r="Q806" s="6" t="n">
        <v>2050.62</v>
      </c>
      <c r="R806" s="3" t="s">
        <v>128</v>
      </c>
      <c r="S806" s="7" t="n">
        <v>0.05</v>
      </c>
      <c r="T806" s="3" t="s">
        <v>51</v>
      </c>
      <c r="U806" s="7" t="n">
        <f aca="false">IF(T806="Valid",S806,0)</f>
        <v>0.05</v>
      </c>
      <c r="V806" s="6" t="n">
        <v>1948.09</v>
      </c>
      <c r="W806" s="6" t="n">
        <v>1507.08</v>
      </c>
      <c r="X806" s="6" t="n">
        <v>441.01</v>
      </c>
      <c r="Y806" s="6" t="n">
        <f aca="false">P806*Q806*(1-U806)</f>
        <v>1948.089</v>
      </c>
      <c r="Z806" s="6" t="n">
        <f aca="false">Y806-W806</f>
        <v>441.009</v>
      </c>
      <c r="AA806" s="8" t="n">
        <f aca="false">IF(Y806=0,0,Z806/Y806)</f>
        <v>0.226380314246423</v>
      </c>
      <c r="AB806" s="3" t="str">
        <f aca="false">IF(ABS(V806-Y806)&gt;1,"Mismatch","OK")</f>
        <v>OK</v>
      </c>
      <c r="AC806" s="3" t="str">
        <f aca="false">IF(ABS(X806-Z806)&gt;1,"Mismatch","OK")</f>
        <v>OK</v>
      </c>
      <c r="AD806" s="5" t="n">
        <f aca="false">IF(OR(B806="",C806=""),"",C806-B806)</f>
        <v>8</v>
      </c>
      <c r="AE806" s="3" t="str">
        <f aca="false">IF(AD806="","Unknown",IF(AD806&lt;0,"Invalid - Ship Before Order","OK"))</f>
        <v>OK</v>
      </c>
      <c r="AF806" s="5" t="n">
        <f aca="false">IF(B806="","",MONTH(B806))</f>
        <v>9</v>
      </c>
      <c r="AG806" s="5" t="n">
        <f aca="false">IF(B806="","",YEAR(B806))</f>
        <v>2025</v>
      </c>
      <c r="AH806" s="3" t="s">
        <v>52</v>
      </c>
      <c r="AI806" s="3" t="s">
        <v>53</v>
      </c>
      <c r="AJ806" s="3" t="str">
        <f aca="false">IF(AND(AI806="Completed",AH806="Failed"),"Inconsistent - Completed Order with Failed Payment","OK")</f>
        <v>OK</v>
      </c>
      <c r="AK806" s="3" t="s">
        <v>54</v>
      </c>
      <c r="AL806" s="3" t="str">
        <f aca="false">IF(OR(T806="Negative - Invalid",T806="Above Allowed Range - Invalid",AE806="Invalid - Ship Before Order",AK806&lt;&gt;"Unique",AB806="Mismatch",AC806="Mismatch",AJ806&lt;&gt;"OK"),"Invalid",IF(OR(H806="Yes",O806="Yes",T806="Missing"),"Warning","Clean"))</f>
        <v>Clean</v>
      </c>
    </row>
    <row r="807" customFormat="false" ht="15" hidden="false" customHeight="true" outlineLevel="0" collapsed="false">
      <c r="A807" s="3" t="s">
        <v>2536</v>
      </c>
      <c r="B807" s="4" t="n">
        <v>45753</v>
      </c>
      <c r="C807" s="4" t="n">
        <v>45754</v>
      </c>
      <c r="D807" s="3" t="s">
        <v>2401</v>
      </c>
      <c r="E807" s="3" t="s">
        <v>141</v>
      </c>
      <c r="F807" s="3" t="s">
        <v>121</v>
      </c>
      <c r="G807" s="3" t="s">
        <v>59</v>
      </c>
      <c r="H807" s="3" t="s">
        <v>43</v>
      </c>
      <c r="I807" s="3" t="s">
        <v>196</v>
      </c>
      <c r="J807" s="3" t="s">
        <v>197</v>
      </c>
      <c r="K807" s="3" t="s">
        <v>46</v>
      </c>
      <c r="L807" s="3" t="s">
        <v>183</v>
      </c>
      <c r="M807" s="3" t="s">
        <v>2537</v>
      </c>
      <c r="N807" s="3" t="s">
        <v>49</v>
      </c>
      <c r="O807" s="3" t="s">
        <v>43</v>
      </c>
      <c r="P807" s="5" t="n">
        <v>2</v>
      </c>
      <c r="Q807" s="6" t="n">
        <v>2030.06</v>
      </c>
      <c r="R807" s="3" t="s">
        <v>84</v>
      </c>
      <c r="S807" s="7" t="n">
        <v>0.25</v>
      </c>
      <c r="T807" s="3" t="s">
        <v>51</v>
      </c>
      <c r="U807" s="7" t="n">
        <f aca="false">IF(T807="Valid",S807,0)</f>
        <v>0.25</v>
      </c>
      <c r="V807" s="6" t="n">
        <v>3045.09</v>
      </c>
      <c r="W807" s="6" t="n">
        <v>2601.09</v>
      </c>
      <c r="X807" s="6" t="n">
        <v>444</v>
      </c>
      <c r="Y807" s="6" t="n">
        <f aca="false">P807*Q807*(1-U807)</f>
        <v>3045.09</v>
      </c>
      <c r="Z807" s="6" t="n">
        <f aca="false">Y807-W807</f>
        <v>444</v>
      </c>
      <c r="AA807" s="8" t="n">
        <f aca="false">IF(Y807=0,0,Z807/Y807)</f>
        <v>0.145808498270987</v>
      </c>
      <c r="AB807" s="3" t="str">
        <f aca="false">IF(ABS(V807-Y807)&gt;1,"Mismatch","OK")</f>
        <v>OK</v>
      </c>
      <c r="AC807" s="3" t="str">
        <f aca="false">IF(ABS(X807-Z807)&gt;1,"Mismatch","OK")</f>
        <v>OK</v>
      </c>
      <c r="AD807" s="5" t="n">
        <f aca="false">IF(OR(B807="",C807=""),"",C807-B807)</f>
        <v>1</v>
      </c>
      <c r="AE807" s="3" t="str">
        <f aca="false">IF(AD807="","Unknown",IF(AD807&lt;0,"Invalid - Ship Before Order","OK"))</f>
        <v>OK</v>
      </c>
      <c r="AF807" s="5" t="n">
        <f aca="false">IF(B807="","",MONTH(B807))</f>
        <v>4</v>
      </c>
      <c r="AG807" s="5" t="n">
        <f aca="false">IF(B807="","",YEAR(B807))</f>
        <v>2025</v>
      </c>
      <c r="AH807" s="3" t="s">
        <v>52</v>
      </c>
      <c r="AI807" s="3" t="s">
        <v>53</v>
      </c>
      <c r="AJ807" s="3" t="str">
        <f aca="false">IF(AND(AI807="Completed",AH807="Failed"),"Inconsistent - Completed Order with Failed Payment","OK")</f>
        <v>OK</v>
      </c>
      <c r="AK807" s="3" t="s">
        <v>54</v>
      </c>
      <c r="AL807" s="3" t="str">
        <f aca="false">IF(OR(T807="Negative - Invalid",T807="Above Allowed Range - Invalid",AE807="Invalid - Ship Before Order",AK807&lt;&gt;"Unique",AB807="Mismatch",AC807="Mismatch",AJ807&lt;&gt;"OK"),"Invalid",IF(OR(H807="Yes",O807="Yes",T807="Missing"),"Warning","Clean"))</f>
        <v>Clean</v>
      </c>
    </row>
    <row r="808" customFormat="false" ht="15" hidden="false" customHeight="true" outlineLevel="0" collapsed="false">
      <c r="A808" s="3" t="s">
        <v>2538</v>
      </c>
      <c r="B808" s="4" t="n">
        <v>45605</v>
      </c>
      <c r="C808" s="4" t="n">
        <v>45611</v>
      </c>
      <c r="D808" s="3" t="s">
        <v>2539</v>
      </c>
      <c r="E808" s="3" t="s">
        <v>69</v>
      </c>
      <c r="F808" s="3" t="s">
        <v>121</v>
      </c>
      <c r="G808" s="3" t="s">
        <v>42</v>
      </c>
      <c r="H808" s="3" t="s">
        <v>43</v>
      </c>
      <c r="I808" s="3" t="s">
        <v>44</v>
      </c>
      <c r="J808" s="3" t="s">
        <v>45</v>
      </c>
      <c r="K808" s="3" t="s">
        <v>99</v>
      </c>
      <c r="L808" s="3" t="s">
        <v>105</v>
      </c>
      <c r="M808" s="3" t="s">
        <v>2540</v>
      </c>
      <c r="N808" s="3" t="s">
        <v>83</v>
      </c>
      <c r="O808" s="3" t="s">
        <v>43</v>
      </c>
      <c r="P808" s="5" t="n">
        <v>1</v>
      </c>
      <c r="Q808" s="6" t="n">
        <v>3665.97</v>
      </c>
      <c r="R808" s="3" t="s">
        <v>50</v>
      </c>
      <c r="S808" s="7" t="n">
        <v>0.2</v>
      </c>
      <c r="T808" s="3" t="s">
        <v>51</v>
      </c>
      <c r="U808" s="7" t="n">
        <f aca="false">IF(T808="Valid",S808,0)</f>
        <v>0.2</v>
      </c>
      <c r="V808" s="6" t="n">
        <v>2932.78</v>
      </c>
      <c r="W808" s="6" t="n">
        <v>1900.35</v>
      </c>
      <c r="X808" s="6" t="n">
        <v>1032.43</v>
      </c>
      <c r="Y808" s="6" t="n">
        <f aca="false">P808*Q808*(1-U808)</f>
        <v>2932.776</v>
      </c>
      <c r="Z808" s="6" t="n">
        <f aca="false">Y808-W808</f>
        <v>1032.426</v>
      </c>
      <c r="AA808" s="8" t="n">
        <f aca="false">IF(Y808=0,0,Z808/Y808)</f>
        <v>0.35203029484693</v>
      </c>
      <c r="AB808" s="3" t="str">
        <f aca="false">IF(ABS(V808-Y808)&gt;1,"Mismatch","OK")</f>
        <v>OK</v>
      </c>
      <c r="AC808" s="3" t="str">
        <f aca="false">IF(ABS(X808-Z808)&gt;1,"Mismatch","OK")</f>
        <v>OK</v>
      </c>
      <c r="AD808" s="5" t="n">
        <f aca="false">IF(OR(B808="",C808=""),"",C808-B808)</f>
        <v>6</v>
      </c>
      <c r="AE808" s="3" t="str">
        <f aca="false">IF(AD808="","Unknown",IF(AD808&lt;0,"Invalid - Ship Before Order","OK"))</f>
        <v>OK</v>
      </c>
      <c r="AF808" s="5" t="n">
        <f aca="false">IF(B808="","",MONTH(B808))</f>
        <v>11</v>
      </c>
      <c r="AG808" s="5" t="n">
        <f aca="false">IF(B808="","",YEAR(B808))</f>
        <v>2024</v>
      </c>
      <c r="AH808" s="3" t="s">
        <v>185</v>
      </c>
      <c r="AI808" s="3" t="s">
        <v>93</v>
      </c>
      <c r="AJ808" s="3" t="str">
        <f aca="false">IF(AND(AI808="Completed",AH808="Failed"),"Inconsistent - Completed Order with Failed Payment","OK")</f>
        <v>OK</v>
      </c>
      <c r="AK808" s="3" t="s">
        <v>54</v>
      </c>
      <c r="AL808" s="3" t="str">
        <f aca="false">IF(OR(T808="Negative - Invalid",T808="Above Allowed Range - Invalid",AE808="Invalid - Ship Before Order",AK808&lt;&gt;"Unique",AB808="Mismatch",AC808="Mismatch",AJ808&lt;&gt;"OK"),"Invalid",IF(OR(H808="Yes",O808="Yes",T808="Missing"),"Warning","Clean"))</f>
        <v>Clean</v>
      </c>
    </row>
    <row r="809" customFormat="false" ht="15" hidden="false" customHeight="true" outlineLevel="0" collapsed="false">
      <c r="A809" s="3" t="s">
        <v>2541</v>
      </c>
      <c r="B809" s="4" t="n">
        <v>45695</v>
      </c>
      <c r="C809" s="4" t="n">
        <v>45696</v>
      </c>
      <c r="D809" s="3" t="s">
        <v>2542</v>
      </c>
      <c r="E809" s="3" t="s">
        <v>40</v>
      </c>
      <c r="F809" s="3" t="s">
        <v>58</v>
      </c>
      <c r="G809" s="3" t="s">
        <v>78</v>
      </c>
      <c r="H809" s="3" t="s">
        <v>43</v>
      </c>
      <c r="I809" s="3" t="s">
        <v>79</v>
      </c>
      <c r="J809" s="3" t="s">
        <v>80</v>
      </c>
      <c r="K809" s="3" t="s">
        <v>46</v>
      </c>
      <c r="L809" s="3" t="s">
        <v>117</v>
      </c>
      <c r="M809" s="3" t="s">
        <v>2543</v>
      </c>
      <c r="N809" s="3" t="s">
        <v>83</v>
      </c>
      <c r="O809" s="3" t="s">
        <v>43</v>
      </c>
      <c r="P809" s="5" t="n">
        <v>2</v>
      </c>
      <c r="Q809" s="6" t="n">
        <v>2432.98</v>
      </c>
      <c r="R809" s="3" t="s">
        <v>203</v>
      </c>
      <c r="S809" s="7" t="n">
        <v>0.1</v>
      </c>
      <c r="T809" s="3" t="s">
        <v>51</v>
      </c>
      <c r="U809" s="7" t="n">
        <f aca="false">IF(T809="Valid",S809,0)</f>
        <v>0.1</v>
      </c>
      <c r="V809" s="6" t="n">
        <v>4379.36</v>
      </c>
      <c r="W809" s="6" t="n">
        <v>3723.93</v>
      </c>
      <c r="X809" s="6" t="n">
        <v>655.43</v>
      </c>
      <c r="Y809" s="6" t="n">
        <f aca="false">P809*Q809*(1-U809)</f>
        <v>4379.364</v>
      </c>
      <c r="Z809" s="6" t="n">
        <f aca="false">Y809-W809</f>
        <v>655.434000000001</v>
      </c>
      <c r="AA809" s="8" t="n">
        <f aca="false">IF(Y809=0,0,Z809/Y809)</f>
        <v>0.149664197815025</v>
      </c>
      <c r="AB809" s="3" t="str">
        <f aca="false">IF(ABS(V809-Y809)&gt;1,"Mismatch","OK")</f>
        <v>OK</v>
      </c>
      <c r="AC809" s="3" t="str">
        <f aca="false">IF(ABS(X809-Z809)&gt;1,"Mismatch","OK")</f>
        <v>OK</v>
      </c>
      <c r="AD809" s="5" t="n">
        <f aca="false">IF(OR(B809="",C809=""),"",C809-B809)</f>
        <v>1</v>
      </c>
      <c r="AE809" s="3" t="str">
        <f aca="false">IF(AD809="","Unknown",IF(AD809&lt;0,"Invalid - Ship Before Order","OK"))</f>
        <v>OK</v>
      </c>
      <c r="AF809" s="5" t="n">
        <f aca="false">IF(B809="","",MONTH(B809))</f>
        <v>2</v>
      </c>
      <c r="AG809" s="5" t="n">
        <f aca="false">IF(B809="","",YEAR(B809))</f>
        <v>2025</v>
      </c>
      <c r="AH809" s="3" t="s">
        <v>52</v>
      </c>
      <c r="AI809" s="3" t="s">
        <v>53</v>
      </c>
      <c r="AJ809" s="3" t="str">
        <f aca="false">IF(AND(AI809="Completed",AH809="Failed"),"Inconsistent - Completed Order with Failed Payment","OK")</f>
        <v>OK</v>
      </c>
      <c r="AK809" s="3" t="s">
        <v>54</v>
      </c>
      <c r="AL809" s="3" t="str">
        <f aca="false">IF(OR(T809="Negative - Invalid",T809="Above Allowed Range - Invalid",AE809="Invalid - Ship Before Order",AK809&lt;&gt;"Unique",AB809="Mismatch",AC809="Mismatch",AJ809&lt;&gt;"OK"),"Invalid",IF(OR(H809="Yes",O809="Yes",T809="Missing"),"Warning","Clean"))</f>
        <v>Clean</v>
      </c>
    </row>
    <row r="810" customFormat="false" ht="15" hidden="false" customHeight="true" outlineLevel="0" collapsed="false">
      <c r="A810" s="3" t="s">
        <v>2544</v>
      </c>
      <c r="B810" s="4" t="n">
        <v>45900</v>
      </c>
      <c r="C810" s="4" t="n">
        <v>45897</v>
      </c>
      <c r="D810" s="3" t="s">
        <v>2545</v>
      </c>
      <c r="E810" s="3" t="s">
        <v>155</v>
      </c>
      <c r="F810" s="3" t="s">
        <v>58</v>
      </c>
      <c r="G810" s="3" t="s">
        <v>78</v>
      </c>
      <c r="H810" s="3" t="s">
        <v>43</v>
      </c>
      <c r="I810" s="3" t="s">
        <v>281</v>
      </c>
      <c r="J810" s="3" t="s">
        <v>282</v>
      </c>
      <c r="K810" s="3" t="s">
        <v>62</v>
      </c>
      <c r="L810" s="3" t="s">
        <v>81</v>
      </c>
      <c r="M810" s="3" t="s">
        <v>2546</v>
      </c>
      <c r="N810" s="3" t="s">
        <v>72</v>
      </c>
      <c r="O810" s="3" t="s">
        <v>43</v>
      </c>
      <c r="P810" s="5" t="n">
        <v>7</v>
      </c>
      <c r="Q810" s="6" t="n">
        <v>977.28</v>
      </c>
      <c r="R810" s="3" t="s">
        <v>50</v>
      </c>
      <c r="S810" s="7" t="n">
        <v>0.2</v>
      </c>
      <c r="T810" s="3" t="s">
        <v>51</v>
      </c>
      <c r="U810" s="7" t="n">
        <f aca="false">IF(T810="Valid",S810,0)</f>
        <v>0.2</v>
      </c>
      <c r="V810" s="6" t="n">
        <v>5472.77</v>
      </c>
      <c r="W810" s="6" t="n">
        <v>4477.33</v>
      </c>
      <c r="X810" s="6" t="n">
        <v>995.44</v>
      </c>
      <c r="Y810" s="6" t="n">
        <f aca="false">P810*Q810*(1-U810)</f>
        <v>5472.768</v>
      </c>
      <c r="Z810" s="6" t="n">
        <f aca="false">Y810-W810</f>
        <v>995.438</v>
      </c>
      <c r="AA810" s="8" t="n">
        <f aca="false">IF(Y810=0,0,Z810/Y810)</f>
        <v>0.181889310856956</v>
      </c>
      <c r="AB810" s="3" t="str">
        <f aca="false">IF(ABS(V810-Y810)&gt;1,"Mismatch","OK")</f>
        <v>OK</v>
      </c>
      <c r="AC810" s="3" t="str">
        <f aca="false">IF(ABS(X810-Z810)&gt;1,"Mismatch","OK")</f>
        <v>OK</v>
      </c>
      <c r="AD810" s="5" t="n">
        <f aca="false">IF(OR(B810="",C810=""),"",C810-B810)</f>
        <v>-3</v>
      </c>
      <c r="AE810" s="3" t="str">
        <f aca="false">IF(AD810="","Unknown",IF(AD810&lt;0,"Invalid - Ship Before Order","OK"))</f>
        <v>Invalid - Ship Before Order</v>
      </c>
      <c r="AF810" s="5" t="n">
        <f aca="false">IF(B810="","",MONTH(B810))</f>
        <v>8</v>
      </c>
      <c r="AG810" s="5" t="n">
        <f aca="false">IF(B810="","",YEAR(B810))</f>
        <v>2025</v>
      </c>
      <c r="AH810" s="3" t="s">
        <v>52</v>
      </c>
      <c r="AI810" s="3" t="s">
        <v>53</v>
      </c>
      <c r="AJ810" s="3" t="str">
        <f aca="false">IF(AND(AI810="Completed",AH810="Failed"),"Inconsistent - Completed Order with Failed Payment","OK")</f>
        <v>OK</v>
      </c>
      <c r="AK810" s="3" t="s">
        <v>54</v>
      </c>
      <c r="AL810" s="3" t="str">
        <f aca="false">IF(OR(T810="Negative - Invalid",T810="Above Allowed Range - Invalid",AE810="Invalid - Ship Before Order",AK810&lt;&gt;"Unique",AB810="Mismatch",AC810="Mismatch",AJ810&lt;&gt;"OK"),"Invalid",IF(OR(H810="Yes",O810="Yes",T810="Missing"),"Warning","Clean"))</f>
        <v>Invalid</v>
      </c>
    </row>
    <row r="811" customFormat="false" ht="15" hidden="false" customHeight="true" outlineLevel="0" collapsed="false">
      <c r="A811" s="3" t="s">
        <v>2547</v>
      </c>
      <c r="B811" s="4" t="n">
        <v>45833</v>
      </c>
      <c r="C811" s="4" t="n">
        <v>45833</v>
      </c>
      <c r="D811" s="3" t="s">
        <v>2548</v>
      </c>
      <c r="E811" s="3" t="s">
        <v>77</v>
      </c>
      <c r="F811" s="3" t="s">
        <v>58</v>
      </c>
      <c r="G811" s="3" t="s">
        <v>237</v>
      </c>
      <c r="H811" s="3" t="s">
        <v>238</v>
      </c>
      <c r="I811" s="3" t="s">
        <v>149</v>
      </c>
      <c r="J811" s="3" t="s">
        <v>150</v>
      </c>
      <c r="K811" s="3" t="s">
        <v>46</v>
      </c>
      <c r="L811" s="3" t="s">
        <v>183</v>
      </c>
      <c r="M811" s="3" t="s">
        <v>2549</v>
      </c>
      <c r="N811" s="3" t="s">
        <v>49</v>
      </c>
      <c r="O811" s="3" t="s">
        <v>43</v>
      </c>
      <c r="P811" s="5" t="n">
        <v>6</v>
      </c>
      <c r="Q811" s="6" t="n">
        <v>1366.13</v>
      </c>
      <c r="R811" s="3" t="s">
        <v>203</v>
      </c>
      <c r="S811" s="7" t="n">
        <v>0.1</v>
      </c>
      <c r="T811" s="3" t="s">
        <v>51</v>
      </c>
      <c r="U811" s="7" t="n">
        <f aca="false">IF(T811="Valid",S811,0)</f>
        <v>0.1</v>
      </c>
      <c r="V811" s="6" t="n">
        <v>7377.1</v>
      </c>
      <c r="W811" s="6" t="n">
        <v>5085.21</v>
      </c>
      <c r="X811" s="6" t="n">
        <v>2291.89</v>
      </c>
      <c r="Y811" s="6" t="n">
        <f aca="false">P811*Q811*(1-U811)</f>
        <v>7377.102</v>
      </c>
      <c r="Z811" s="6" t="n">
        <f aca="false">Y811-W811</f>
        <v>2291.892</v>
      </c>
      <c r="AA811" s="8" t="n">
        <f aca="false">IF(Y811=0,0,Z811/Y811)</f>
        <v>0.310676468889816</v>
      </c>
      <c r="AB811" s="3" t="str">
        <f aca="false">IF(ABS(V811-Y811)&gt;1,"Mismatch","OK")</f>
        <v>OK</v>
      </c>
      <c r="AC811" s="3" t="str">
        <f aca="false">IF(ABS(X811-Z811)&gt;1,"Mismatch","OK")</f>
        <v>OK</v>
      </c>
      <c r="AD811" s="5" t="n">
        <f aca="false">IF(OR(B811="",C811=""),"",C811-B811)</f>
        <v>0</v>
      </c>
      <c r="AE811" s="3" t="str">
        <f aca="false">IF(AD811="","Unknown",IF(AD811&lt;0,"Invalid - Ship Before Order","OK"))</f>
        <v>OK</v>
      </c>
      <c r="AF811" s="5" t="n">
        <f aca="false">IF(B811="","",MONTH(B811))</f>
        <v>6</v>
      </c>
      <c r="AG811" s="5" t="n">
        <f aca="false">IF(B811="","",YEAR(B811))</f>
        <v>2025</v>
      </c>
      <c r="AH811" s="3" t="s">
        <v>52</v>
      </c>
      <c r="AI811" s="3" t="s">
        <v>53</v>
      </c>
      <c r="AJ811" s="3" t="str">
        <f aca="false">IF(AND(AI811="Completed",AH811="Failed"),"Inconsistent - Completed Order with Failed Payment","OK")</f>
        <v>OK</v>
      </c>
      <c r="AK811" s="3" t="s">
        <v>54</v>
      </c>
      <c r="AL811" s="3" t="str">
        <f aca="false">IF(OR(T811="Negative - Invalid",T811="Above Allowed Range - Invalid",AE811="Invalid - Ship Before Order",AK811&lt;&gt;"Unique",AB811="Mismatch",AC811="Mismatch",AJ811&lt;&gt;"OK"),"Invalid",IF(OR(H811="Yes",O811="Yes",T811="Missing"),"Warning","Clean"))</f>
        <v>Warning</v>
      </c>
    </row>
    <row r="812" customFormat="false" ht="15" hidden="false" customHeight="true" outlineLevel="0" collapsed="false">
      <c r="A812" s="3" t="s">
        <v>2550</v>
      </c>
      <c r="B812" s="4" t="n">
        <v>45385</v>
      </c>
      <c r="C812" s="4" t="n">
        <v>45390</v>
      </c>
      <c r="D812" s="3" t="s">
        <v>1712</v>
      </c>
      <c r="E812" s="3" t="s">
        <v>298</v>
      </c>
      <c r="F812" s="3" t="s">
        <v>121</v>
      </c>
      <c r="G812" s="3" t="s">
        <v>88</v>
      </c>
      <c r="H812" s="3" t="s">
        <v>43</v>
      </c>
      <c r="I812" s="3" t="s">
        <v>211</v>
      </c>
      <c r="J812" s="3" t="s">
        <v>212</v>
      </c>
      <c r="K812" s="3" t="s">
        <v>99</v>
      </c>
      <c r="L812" s="3" t="s">
        <v>105</v>
      </c>
      <c r="M812" s="3" t="s">
        <v>2551</v>
      </c>
      <c r="N812" s="3" t="s">
        <v>72</v>
      </c>
      <c r="O812" s="3" t="s">
        <v>43</v>
      </c>
      <c r="P812" s="5" t="n">
        <v>1</v>
      </c>
      <c r="Q812" s="6" t="n">
        <v>3151.85</v>
      </c>
      <c r="R812" s="3" t="s">
        <v>84</v>
      </c>
      <c r="S812" s="7" t="n">
        <v>0.25</v>
      </c>
      <c r="T812" s="3" t="s">
        <v>51</v>
      </c>
      <c r="U812" s="7" t="n">
        <f aca="false">IF(T812="Valid",S812,0)</f>
        <v>0.25</v>
      </c>
      <c r="V812" s="6" t="n">
        <v>2363.89</v>
      </c>
      <c r="W812" s="6" t="n">
        <v>1471.51</v>
      </c>
      <c r="X812" s="6" t="n">
        <v>892.38</v>
      </c>
      <c r="Y812" s="6" t="n">
        <f aca="false">P812*Q812*(1-U812)</f>
        <v>2363.8875</v>
      </c>
      <c r="Z812" s="6" t="n">
        <f aca="false">Y812-W812</f>
        <v>892.3775</v>
      </c>
      <c r="AA812" s="8" t="n">
        <f aca="false">IF(Y812=0,0,Z812/Y812)</f>
        <v>0.37750421710001</v>
      </c>
      <c r="AB812" s="3" t="str">
        <f aca="false">IF(ABS(V812-Y812)&gt;1,"Mismatch","OK")</f>
        <v>OK</v>
      </c>
      <c r="AC812" s="3" t="str">
        <f aca="false">IF(ABS(X812-Z812)&gt;1,"Mismatch","OK")</f>
        <v>OK</v>
      </c>
      <c r="AD812" s="5" t="n">
        <f aca="false">IF(OR(B812="",C812=""),"",C812-B812)</f>
        <v>5</v>
      </c>
      <c r="AE812" s="3" t="str">
        <f aca="false">IF(AD812="","Unknown",IF(AD812&lt;0,"Invalid - Ship Before Order","OK"))</f>
        <v>OK</v>
      </c>
      <c r="AF812" s="5" t="n">
        <f aca="false">IF(B812="","",MONTH(B812))</f>
        <v>4</v>
      </c>
      <c r="AG812" s="5" t="n">
        <f aca="false">IF(B812="","",YEAR(B812))</f>
        <v>2024</v>
      </c>
      <c r="AH812" s="3" t="s">
        <v>52</v>
      </c>
      <c r="AI812" s="3" t="s">
        <v>53</v>
      </c>
      <c r="AJ812" s="3" t="str">
        <f aca="false">IF(AND(AI812="Completed",AH812="Failed"),"Inconsistent - Completed Order with Failed Payment","OK")</f>
        <v>OK</v>
      </c>
      <c r="AK812" s="3" t="s">
        <v>54</v>
      </c>
      <c r="AL812" s="3" t="str">
        <f aca="false">IF(OR(T812="Negative - Invalid",T812="Above Allowed Range - Invalid",AE812="Invalid - Ship Before Order",AK812&lt;&gt;"Unique",AB812="Mismatch",AC812="Mismatch",AJ812&lt;&gt;"OK"),"Invalid",IF(OR(H812="Yes",O812="Yes",T812="Missing"),"Warning","Clean"))</f>
        <v>Clean</v>
      </c>
    </row>
    <row r="813" customFormat="false" ht="15" hidden="false" customHeight="true" outlineLevel="0" collapsed="false">
      <c r="A813" s="3" t="s">
        <v>2552</v>
      </c>
      <c r="B813" s="4" t="n">
        <v>45638</v>
      </c>
      <c r="C813" s="4" t="n">
        <v>45645</v>
      </c>
      <c r="D813" s="3" t="s">
        <v>2553</v>
      </c>
      <c r="E813" s="3" t="s">
        <v>168</v>
      </c>
      <c r="F813" s="3" t="s">
        <v>121</v>
      </c>
      <c r="G813" s="3" t="s">
        <v>42</v>
      </c>
      <c r="H813" s="3" t="s">
        <v>43</v>
      </c>
      <c r="I813" s="3" t="s">
        <v>270</v>
      </c>
      <c r="J813" s="3" t="s">
        <v>271</v>
      </c>
      <c r="K813" s="3" t="s">
        <v>99</v>
      </c>
      <c r="L813" s="3" t="s">
        <v>100</v>
      </c>
      <c r="M813" s="3" t="s">
        <v>2554</v>
      </c>
      <c r="N813" s="3" t="s">
        <v>72</v>
      </c>
      <c r="O813" s="3" t="s">
        <v>43</v>
      </c>
      <c r="P813" s="5" t="n">
        <v>2</v>
      </c>
      <c r="Q813" s="6" t="n">
        <v>1610.75</v>
      </c>
      <c r="R813" s="3" t="s">
        <v>50</v>
      </c>
      <c r="S813" s="7" t="n">
        <v>0.2</v>
      </c>
      <c r="T813" s="3" t="s">
        <v>51</v>
      </c>
      <c r="U813" s="7" t="n">
        <f aca="false">IF(T813="Valid",S813,0)</f>
        <v>0.2</v>
      </c>
      <c r="V813" s="6" t="n">
        <v>2577.2</v>
      </c>
      <c r="W813" s="6" t="n">
        <v>1475.87</v>
      </c>
      <c r="X813" s="6" t="n">
        <v>1101.33</v>
      </c>
      <c r="Y813" s="6" t="n">
        <f aca="false">P813*Q813*(1-U813)</f>
        <v>2577.2</v>
      </c>
      <c r="Z813" s="6" t="n">
        <f aca="false">Y813-W813</f>
        <v>1101.33</v>
      </c>
      <c r="AA813" s="8" t="n">
        <f aca="false">IF(Y813=0,0,Z813/Y813)</f>
        <v>0.427335868384293</v>
      </c>
      <c r="AB813" s="3" t="str">
        <f aca="false">IF(ABS(V813-Y813)&gt;1,"Mismatch","OK")</f>
        <v>OK</v>
      </c>
      <c r="AC813" s="3" t="str">
        <f aca="false">IF(ABS(X813-Z813)&gt;1,"Mismatch","OK")</f>
        <v>OK</v>
      </c>
      <c r="AD813" s="5" t="n">
        <f aca="false">IF(OR(B813="",C813=""),"",C813-B813)</f>
        <v>7</v>
      </c>
      <c r="AE813" s="3" t="str">
        <f aca="false">IF(AD813="","Unknown",IF(AD813&lt;0,"Invalid - Ship Before Order","OK"))</f>
        <v>OK</v>
      </c>
      <c r="AF813" s="5" t="n">
        <f aca="false">IF(B813="","",MONTH(B813))</f>
        <v>12</v>
      </c>
      <c r="AG813" s="5" t="n">
        <f aca="false">IF(B813="","",YEAR(B813))</f>
        <v>2024</v>
      </c>
      <c r="AH813" s="3" t="s">
        <v>52</v>
      </c>
      <c r="AI813" s="3" t="s">
        <v>53</v>
      </c>
      <c r="AJ813" s="3" t="str">
        <f aca="false">IF(AND(AI813="Completed",AH813="Failed"),"Inconsistent - Completed Order with Failed Payment","OK")</f>
        <v>OK</v>
      </c>
      <c r="AK813" s="3" t="s">
        <v>54</v>
      </c>
      <c r="AL813" s="3" t="str">
        <f aca="false">IF(OR(T813="Negative - Invalid",T813="Above Allowed Range - Invalid",AE813="Invalid - Ship Before Order",AK813&lt;&gt;"Unique",AB813="Mismatch",AC813="Mismatch",AJ813&lt;&gt;"OK"),"Invalid",IF(OR(H813="Yes",O813="Yes",T813="Missing"),"Warning","Clean"))</f>
        <v>Clean</v>
      </c>
    </row>
    <row r="814" customFormat="false" ht="15" hidden="false" customHeight="true" outlineLevel="0" collapsed="false">
      <c r="A814" s="3" t="s">
        <v>2555</v>
      </c>
      <c r="B814" s="4" t="n">
        <v>45458</v>
      </c>
      <c r="C814" s="4" t="n">
        <v>45463</v>
      </c>
      <c r="D814" s="3" t="s">
        <v>2556</v>
      </c>
      <c r="E814" s="3" t="s">
        <v>159</v>
      </c>
      <c r="F814" s="3" t="s">
        <v>58</v>
      </c>
      <c r="G814" s="3" t="s">
        <v>59</v>
      </c>
      <c r="H814" s="3" t="s">
        <v>43</v>
      </c>
      <c r="I814" s="3" t="s">
        <v>262</v>
      </c>
      <c r="J814" s="3" t="s">
        <v>263</v>
      </c>
      <c r="K814" s="3" t="s">
        <v>62</v>
      </c>
      <c r="L814" s="3" t="s">
        <v>63</v>
      </c>
      <c r="M814" s="3" t="s">
        <v>2557</v>
      </c>
      <c r="N814" s="3" t="s">
        <v>72</v>
      </c>
      <c r="O814" s="3" t="s">
        <v>43</v>
      </c>
      <c r="P814" s="5" t="n">
        <v>8</v>
      </c>
      <c r="Q814" s="6" t="n">
        <v>2228.47</v>
      </c>
      <c r="R814" s="3" t="s">
        <v>66</v>
      </c>
      <c r="S814" s="7" t="n">
        <v>0</v>
      </c>
      <c r="T814" s="3" t="s">
        <v>51</v>
      </c>
      <c r="U814" s="7" t="n">
        <f aca="false">IF(T814="Valid",S814,0)</f>
        <v>0</v>
      </c>
      <c r="V814" s="6" t="n">
        <v>17827.76</v>
      </c>
      <c r="W814" s="6" t="n">
        <v>14122.13</v>
      </c>
      <c r="X814" s="6" t="n">
        <v>3705.63</v>
      </c>
      <c r="Y814" s="6" t="n">
        <f aca="false">P814*Q814*(1-U814)</f>
        <v>17827.76</v>
      </c>
      <c r="Z814" s="6" t="n">
        <f aca="false">Y814-W814</f>
        <v>3705.63</v>
      </c>
      <c r="AA814" s="8" t="n">
        <f aca="false">IF(Y814=0,0,Z814/Y814)</f>
        <v>0.207857296710299</v>
      </c>
      <c r="AB814" s="3" t="str">
        <f aca="false">IF(ABS(V814-Y814)&gt;1,"Mismatch","OK")</f>
        <v>OK</v>
      </c>
      <c r="AC814" s="3" t="str">
        <f aca="false">IF(ABS(X814-Z814)&gt;1,"Mismatch","OK")</f>
        <v>OK</v>
      </c>
      <c r="AD814" s="5" t="n">
        <f aca="false">IF(OR(B814="",C814=""),"",C814-B814)</f>
        <v>5</v>
      </c>
      <c r="AE814" s="3" t="str">
        <f aca="false">IF(AD814="","Unknown",IF(AD814&lt;0,"Invalid - Ship Before Order","OK"))</f>
        <v>OK</v>
      </c>
      <c r="AF814" s="5" t="n">
        <f aca="false">IF(B814="","",MONTH(B814))</f>
        <v>6</v>
      </c>
      <c r="AG814" s="5" t="n">
        <f aca="false">IF(B814="","",YEAR(B814))</f>
        <v>2024</v>
      </c>
      <c r="AH814" s="3" t="s">
        <v>52</v>
      </c>
      <c r="AI814" s="3" t="s">
        <v>53</v>
      </c>
      <c r="AJ814" s="3" t="str">
        <f aca="false">IF(AND(AI814="Completed",AH814="Failed"),"Inconsistent - Completed Order with Failed Payment","OK")</f>
        <v>OK</v>
      </c>
      <c r="AK814" s="3" t="s">
        <v>54</v>
      </c>
      <c r="AL814" s="3" t="str">
        <f aca="false">IF(OR(T814="Negative - Invalid",T814="Above Allowed Range - Invalid",AE814="Invalid - Ship Before Order",AK814&lt;&gt;"Unique",AB814="Mismatch",AC814="Mismatch",AJ814&lt;&gt;"OK"),"Invalid",IF(OR(H814="Yes",O814="Yes",T814="Missing"),"Warning","Clean"))</f>
        <v>Clean</v>
      </c>
    </row>
    <row r="815" customFormat="false" ht="15" hidden="false" customHeight="true" outlineLevel="0" collapsed="false">
      <c r="A815" s="3" t="s">
        <v>2558</v>
      </c>
      <c r="B815" s="4" t="n">
        <v>45753</v>
      </c>
      <c r="C815" s="4" t="n">
        <v>45757</v>
      </c>
      <c r="D815" s="3" t="s">
        <v>2559</v>
      </c>
      <c r="E815" s="3" t="s">
        <v>168</v>
      </c>
      <c r="F815" s="3" t="s">
        <v>41</v>
      </c>
      <c r="G815" s="3" t="s">
        <v>59</v>
      </c>
      <c r="H815" s="3" t="s">
        <v>43</v>
      </c>
      <c r="I815" s="3" t="s">
        <v>60</v>
      </c>
      <c r="J815" s="3" t="s">
        <v>61</v>
      </c>
      <c r="K815" s="3" t="s">
        <v>62</v>
      </c>
      <c r="L815" s="3" t="s">
        <v>188</v>
      </c>
      <c r="M815" s="3" t="s">
        <v>1163</v>
      </c>
      <c r="N815" s="3" t="s">
        <v>83</v>
      </c>
      <c r="O815" s="3" t="s">
        <v>43</v>
      </c>
      <c r="P815" s="5" t="n">
        <v>2</v>
      </c>
      <c r="Q815" s="6" t="n">
        <v>1337.67</v>
      </c>
      <c r="R815" s="3" t="s">
        <v>66</v>
      </c>
      <c r="S815" s="7" t="n">
        <v>0</v>
      </c>
      <c r="T815" s="3" t="s">
        <v>51</v>
      </c>
      <c r="U815" s="7" t="n">
        <f aca="false">IF(T815="Valid",S815,0)</f>
        <v>0</v>
      </c>
      <c r="V815" s="6" t="n">
        <v>2675.34</v>
      </c>
      <c r="W815" s="6" t="n">
        <v>1595.87</v>
      </c>
      <c r="X815" s="6" t="n">
        <v>1079.47</v>
      </c>
      <c r="Y815" s="6" t="n">
        <f aca="false">P815*Q815*(1-U815)</f>
        <v>2675.34</v>
      </c>
      <c r="Z815" s="6" t="n">
        <f aca="false">Y815-W815</f>
        <v>1079.47</v>
      </c>
      <c r="AA815" s="8" t="n">
        <f aca="false">IF(Y815=0,0,Z815/Y815)</f>
        <v>0.403488902345123</v>
      </c>
      <c r="AB815" s="3" t="str">
        <f aca="false">IF(ABS(V815-Y815)&gt;1,"Mismatch","OK")</f>
        <v>OK</v>
      </c>
      <c r="AC815" s="3" t="str">
        <f aca="false">IF(ABS(X815-Z815)&gt;1,"Mismatch","OK")</f>
        <v>OK</v>
      </c>
      <c r="AD815" s="5" t="n">
        <f aca="false">IF(OR(B815="",C815=""),"",C815-B815)</f>
        <v>4</v>
      </c>
      <c r="AE815" s="3" t="str">
        <f aca="false">IF(AD815="","Unknown",IF(AD815&lt;0,"Invalid - Ship Before Order","OK"))</f>
        <v>OK</v>
      </c>
      <c r="AF815" s="5" t="n">
        <f aca="false">IF(B815="","",MONTH(B815))</f>
        <v>4</v>
      </c>
      <c r="AG815" s="5" t="n">
        <f aca="false">IF(B815="","",YEAR(B815))</f>
        <v>2025</v>
      </c>
      <c r="AH815" s="3" t="s">
        <v>52</v>
      </c>
      <c r="AI815" s="3" t="s">
        <v>53</v>
      </c>
      <c r="AJ815" s="3" t="str">
        <f aca="false">IF(AND(AI815="Completed",AH815="Failed"),"Inconsistent - Completed Order with Failed Payment","OK")</f>
        <v>OK</v>
      </c>
      <c r="AK815" s="3" t="s">
        <v>54</v>
      </c>
      <c r="AL815" s="3" t="str">
        <f aca="false">IF(OR(T815="Negative - Invalid",T815="Above Allowed Range - Invalid",AE815="Invalid - Ship Before Order",AK815&lt;&gt;"Unique",AB815="Mismatch",AC815="Mismatch",AJ815&lt;&gt;"OK"),"Invalid",IF(OR(H815="Yes",O815="Yes",T815="Missing"),"Warning","Clean"))</f>
        <v>Clean</v>
      </c>
    </row>
    <row r="816" customFormat="false" ht="15" hidden="false" customHeight="true" outlineLevel="0" collapsed="false">
      <c r="A816" s="3" t="s">
        <v>2560</v>
      </c>
      <c r="B816" s="4" t="n">
        <v>45875</v>
      </c>
      <c r="C816" s="4" t="n">
        <v>45880</v>
      </c>
      <c r="D816" s="3" t="s">
        <v>2561</v>
      </c>
      <c r="E816" s="3" t="s">
        <v>77</v>
      </c>
      <c r="F816" s="3" t="s">
        <v>41</v>
      </c>
      <c r="G816" s="3" t="s">
        <v>88</v>
      </c>
      <c r="H816" s="3" t="s">
        <v>43</v>
      </c>
      <c r="I816" s="3" t="s">
        <v>97</v>
      </c>
      <c r="J816" s="3" t="s">
        <v>98</v>
      </c>
      <c r="K816" s="3" t="s">
        <v>46</v>
      </c>
      <c r="L816" s="3" t="s">
        <v>117</v>
      </c>
      <c r="M816" s="3" t="s">
        <v>2562</v>
      </c>
      <c r="N816" s="3" t="s">
        <v>72</v>
      </c>
      <c r="O816" s="3" t="s">
        <v>43</v>
      </c>
      <c r="P816" s="5" t="n">
        <v>2</v>
      </c>
      <c r="Q816" s="6" t="n">
        <v>2375.94</v>
      </c>
      <c r="R816" s="3" t="s">
        <v>84</v>
      </c>
      <c r="S816" s="7" t="n">
        <v>0.25</v>
      </c>
      <c r="T816" s="3" t="s">
        <v>51</v>
      </c>
      <c r="U816" s="7" t="n">
        <f aca="false">IF(T816="Valid",S816,0)</f>
        <v>0.25</v>
      </c>
      <c r="V816" s="6" t="n">
        <v>3563.91</v>
      </c>
      <c r="W816" s="6" t="n">
        <v>2639.7</v>
      </c>
      <c r="X816" s="6" t="n">
        <v>924.21</v>
      </c>
      <c r="Y816" s="6" t="n">
        <f aca="false">P816*Q816*(1-U816)</f>
        <v>3563.91</v>
      </c>
      <c r="Z816" s="6" t="n">
        <f aca="false">Y816-W816</f>
        <v>924.21</v>
      </c>
      <c r="AA816" s="8" t="n">
        <f aca="false">IF(Y816=0,0,Z816/Y816)</f>
        <v>0.259324730422485</v>
      </c>
      <c r="AB816" s="3" t="str">
        <f aca="false">IF(ABS(V816-Y816)&gt;1,"Mismatch","OK")</f>
        <v>OK</v>
      </c>
      <c r="AC816" s="3" t="str">
        <f aca="false">IF(ABS(X816-Z816)&gt;1,"Mismatch","OK")</f>
        <v>OK</v>
      </c>
      <c r="AD816" s="5" t="n">
        <f aca="false">IF(OR(B816="",C816=""),"",C816-B816)</f>
        <v>5</v>
      </c>
      <c r="AE816" s="3" t="str">
        <f aca="false">IF(AD816="","Unknown",IF(AD816&lt;0,"Invalid - Ship Before Order","OK"))</f>
        <v>OK</v>
      </c>
      <c r="AF816" s="5" t="n">
        <f aca="false">IF(B816="","",MONTH(B816))</f>
        <v>8</v>
      </c>
      <c r="AG816" s="5" t="n">
        <f aca="false">IF(B816="","",YEAR(B816))</f>
        <v>2025</v>
      </c>
      <c r="AH816" s="3" t="s">
        <v>52</v>
      </c>
      <c r="AI816" s="3" t="s">
        <v>53</v>
      </c>
      <c r="AJ816" s="3" t="str">
        <f aca="false">IF(AND(AI816="Completed",AH816="Failed"),"Inconsistent - Completed Order with Failed Payment","OK")</f>
        <v>OK</v>
      </c>
      <c r="AK816" s="3" t="s">
        <v>54</v>
      </c>
      <c r="AL816" s="3" t="str">
        <f aca="false">IF(OR(T816="Negative - Invalid",T816="Above Allowed Range - Invalid",AE816="Invalid - Ship Before Order",AK816&lt;&gt;"Unique",AB816="Mismatch",AC816="Mismatch",AJ816&lt;&gt;"OK"),"Invalid",IF(OR(H816="Yes",O816="Yes",T816="Missing"),"Warning","Clean"))</f>
        <v>Clean</v>
      </c>
    </row>
    <row r="817" customFormat="false" ht="15" hidden="false" customHeight="true" outlineLevel="0" collapsed="false">
      <c r="A817" s="3" t="s">
        <v>2563</v>
      </c>
      <c r="B817" s="4" t="n">
        <v>45383</v>
      </c>
      <c r="C817" s="4" t="n">
        <v>45390</v>
      </c>
      <c r="D817" s="3" t="s">
        <v>2564</v>
      </c>
      <c r="E817" s="3" t="s">
        <v>192</v>
      </c>
      <c r="F817" s="3" t="s">
        <v>41</v>
      </c>
      <c r="G817" s="3" t="s">
        <v>59</v>
      </c>
      <c r="H817" s="3" t="s">
        <v>43</v>
      </c>
      <c r="I817" s="3" t="s">
        <v>60</v>
      </c>
      <c r="J817" s="3" t="s">
        <v>61</v>
      </c>
      <c r="K817" s="3" t="s">
        <v>99</v>
      </c>
      <c r="L817" s="3" t="s">
        <v>308</v>
      </c>
      <c r="M817" s="3" t="s">
        <v>2565</v>
      </c>
      <c r="N817" s="3" t="s">
        <v>83</v>
      </c>
      <c r="O817" s="3" t="s">
        <v>43</v>
      </c>
      <c r="P817" s="5" t="n">
        <v>7</v>
      </c>
      <c r="Q817" s="6" t="n">
        <v>715.81</v>
      </c>
      <c r="R817" s="3" t="s">
        <v>107</v>
      </c>
      <c r="S817" s="7" t="n">
        <v>0.15</v>
      </c>
      <c r="T817" s="3" t="s">
        <v>51</v>
      </c>
      <c r="U817" s="7" t="n">
        <f aca="false">IF(T817="Valid",S817,0)</f>
        <v>0.15</v>
      </c>
      <c r="V817" s="6" t="n">
        <v>4259.07</v>
      </c>
      <c r="W817" s="6" t="n">
        <v>3130.32</v>
      </c>
      <c r="X817" s="6" t="n">
        <v>1128.75</v>
      </c>
      <c r="Y817" s="6" t="n">
        <f aca="false">P817*Q817*(1-U817)</f>
        <v>4259.0695</v>
      </c>
      <c r="Z817" s="6" t="n">
        <f aca="false">Y817-W817</f>
        <v>1128.7495</v>
      </c>
      <c r="AA817" s="8" t="n">
        <f aca="false">IF(Y817=0,0,Z817/Y817)</f>
        <v>0.265022559505075</v>
      </c>
      <c r="AB817" s="3" t="str">
        <f aca="false">IF(ABS(V817-Y817)&gt;1,"Mismatch","OK")</f>
        <v>OK</v>
      </c>
      <c r="AC817" s="3" t="str">
        <f aca="false">IF(ABS(X817-Z817)&gt;1,"Mismatch","OK")</f>
        <v>OK</v>
      </c>
      <c r="AD817" s="5" t="n">
        <f aca="false">IF(OR(B817="",C817=""),"",C817-B817)</f>
        <v>7</v>
      </c>
      <c r="AE817" s="3" t="str">
        <f aca="false">IF(AD817="","Unknown",IF(AD817&lt;0,"Invalid - Ship Before Order","OK"))</f>
        <v>OK</v>
      </c>
      <c r="AF817" s="5" t="n">
        <f aca="false">IF(B817="","",MONTH(B817))</f>
        <v>4</v>
      </c>
      <c r="AG817" s="5" t="n">
        <f aca="false">IF(B817="","",YEAR(B817))</f>
        <v>2024</v>
      </c>
      <c r="AH817" s="3" t="s">
        <v>138</v>
      </c>
      <c r="AI817" s="3" t="s">
        <v>93</v>
      </c>
      <c r="AJ817" s="3" t="str">
        <f aca="false">IF(AND(AI817="Completed",AH817="Failed"),"Inconsistent - Completed Order with Failed Payment","OK")</f>
        <v>OK</v>
      </c>
      <c r="AK817" s="3" t="s">
        <v>54</v>
      </c>
      <c r="AL817" s="3" t="str">
        <f aca="false">IF(OR(T817="Negative - Invalid",T817="Above Allowed Range - Invalid",AE817="Invalid - Ship Before Order",AK817&lt;&gt;"Unique",AB817="Mismatch",AC817="Mismatch",AJ817&lt;&gt;"OK"),"Invalid",IF(OR(H817="Yes",O817="Yes",T817="Missing"),"Warning","Clean"))</f>
        <v>Clean</v>
      </c>
    </row>
    <row r="818" customFormat="false" ht="15" hidden="false" customHeight="true" outlineLevel="0" collapsed="false">
      <c r="A818" s="3" t="s">
        <v>2566</v>
      </c>
      <c r="B818" s="4" t="n">
        <v>45623</v>
      </c>
      <c r="C818" s="4" t="n">
        <v>45626</v>
      </c>
      <c r="D818" s="3" t="s">
        <v>2567</v>
      </c>
      <c r="E818" s="3" t="s">
        <v>145</v>
      </c>
      <c r="F818" s="3" t="s">
        <v>58</v>
      </c>
      <c r="G818" s="3" t="s">
        <v>59</v>
      </c>
      <c r="H818" s="3" t="s">
        <v>43</v>
      </c>
      <c r="I818" s="3" t="s">
        <v>262</v>
      </c>
      <c r="J818" s="3" t="s">
        <v>263</v>
      </c>
      <c r="K818" s="3" t="s">
        <v>62</v>
      </c>
      <c r="L818" s="3" t="s">
        <v>81</v>
      </c>
      <c r="M818" s="3" t="s">
        <v>2568</v>
      </c>
      <c r="N818" s="3" t="s">
        <v>72</v>
      </c>
      <c r="O818" s="3" t="s">
        <v>43</v>
      </c>
      <c r="P818" s="5" t="n">
        <v>1</v>
      </c>
      <c r="Q818" s="6" t="n">
        <v>874.3</v>
      </c>
      <c r="R818" s="3" t="s">
        <v>203</v>
      </c>
      <c r="S818" s="7" t="n">
        <v>0.1</v>
      </c>
      <c r="T818" s="3" t="s">
        <v>51</v>
      </c>
      <c r="U818" s="7" t="n">
        <f aca="false">IF(T818="Valid",S818,0)</f>
        <v>0.1</v>
      </c>
      <c r="V818" s="6" t="n">
        <v>786.87</v>
      </c>
      <c r="W818" s="6" t="n">
        <v>498.5</v>
      </c>
      <c r="X818" s="6" t="n">
        <v>288.37</v>
      </c>
      <c r="Y818" s="6" t="n">
        <f aca="false">P818*Q818*(1-U818)</f>
        <v>786.87</v>
      </c>
      <c r="Z818" s="6" t="n">
        <f aca="false">Y818-W818</f>
        <v>288.37</v>
      </c>
      <c r="AA818" s="8" t="n">
        <f aca="false">IF(Y818=0,0,Z818/Y818)</f>
        <v>0.366477308831192</v>
      </c>
      <c r="AB818" s="3" t="str">
        <f aca="false">IF(ABS(V818-Y818)&gt;1,"Mismatch","OK")</f>
        <v>OK</v>
      </c>
      <c r="AC818" s="3" t="str">
        <f aca="false">IF(ABS(X818-Z818)&gt;1,"Mismatch","OK")</f>
        <v>OK</v>
      </c>
      <c r="AD818" s="5" t="n">
        <f aca="false">IF(OR(B818="",C818=""),"",C818-B818)</f>
        <v>3</v>
      </c>
      <c r="AE818" s="3" t="str">
        <f aca="false">IF(AD818="","Unknown",IF(AD818&lt;0,"Invalid - Ship Before Order","OK"))</f>
        <v>OK</v>
      </c>
      <c r="AF818" s="5" t="n">
        <f aca="false">IF(B818="","",MONTH(B818))</f>
        <v>11</v>
      </c>
      <c r="AG818" s="5" t="n">
        <f aca="false">IF(B818="","",YEAR(B818))</f>
        <v>2024</v>
      </c>
      <c r="AH818" s="3" t="s">
        <v>52</v>
      </c>
      <c r="AI818" s="3" t="s">
        <v>53</v>
      </c>
      <c r="AJ818" s="3" t="str">
        <f aca="false">IF(AND(AI818="Completed",AH818="Failed"),"Inconsistent - Completed Order with Failed Payment","OK")</f>
        <v>OK</v>
      </c>
      <c r="AK818" s="3" t="s">
        <v>54</v>
      </c>
      <c r="AL818" s="3" t="str">
        <f aca="false">IF(OR(T818="Negative - Invalid",T818="Above Allowed Range - Invalid",AE818="Invalid - Ship Before Order",AK818&lt;&gt;"Unique",AB818="Mismatch",AC818="Mismatch",AJ818&lt;&gt;"OK"),"Invalid",IF(OR(H818="Yes",O818="Yes",T818="Missing"),"Warning","Clean"))</f>
        <v>Clean</v>
      </c>
    </row>
    <row r="819" customFormat="false" ht="15" hidden="false" customHeight="true" outlineLevel="0" collapsed="false">
      <c r="A819" s="3" t="s">
        <v>2569</v>
      </c>
      <c r="B819" s="4" t="n">
        <v>45752</v>
      </c>
      <c r="C819" s="4" t="n">
        <v>45752</v>
      </c>
      <c r="D819" s="3" t="s">
        <v>2570</v>
      </c>
      <c r="E819" s="3" t="s">
        <v>159</v>
      </c>
      <c r="F819" s="3" t="s">
        <v>41</v>
      </c>
      <c r="G819" s="3" t="s">
        <v>59</v>
      </c>
      <c r="H819" s="3" t="s">
        <v>43</v>
      </c>
      <c r="I819" s="3" t="s">
        <v>174</v>
      </c>
      <c r="J819" s="3" t="s">
        <v>175</v>
      </c>
      <c r="K819" s="3" t="s">
        <v>46</v>
      </c>
      <c r="L819" s="3" t="s">
        <v>183</v>
      </c>
      <c r="M819" s="3" t="s">
        <v>2571</v>
      </c>
      <c r="N819" s="3" t="s">
        <v>83</v>
      </c>
      <c r="O819" s="3" t="s">
        <v>43</v>
      </c>
      <c r="P819" s="5" t="n">
        <v>6</v>
      </c>
      <c r="Q819" s="6" t="n">
        <v>1829.69</v>
      </c>
      <c r="R819" s="3" t="s">
        <v>84</v>
      </c>
      <c r="S819" s="7" t="n">
        <v>0.25</v>
      </c>
      <c r="T819" s="3" t="s">
        <v>51</v>
      </c>
      <c r="U819" s="7" t="n">
        <f aca="false">IF(T819="Valid",S819,0)</f>
        <v>0.25</v>
      </c>
      <c r="V819" s="6" t="n">
        <v>8233.6</v>
      </c>
      <c r="W819" s="6" t="n">
        <v>4713.79</v>
      </c>
      <c r="X819" s="6" t="n">
        <v>3519.81</v>
      </c>
      <c r="Y819" s="6" t="n">
        <f aca="false">P819*Q819*(1-U819)</f>
        <v>8233.605</v>
      </c>
      <c r="Z819" s="6" t="n">
        <f aca="false">Y819-W819</f>
        <v>3519.815</v>
      </c>
      <c r="AA819" s="8" t="n">
        <f aca="false">IF(Y819=0,0,Z819/Y819)</f>
        <v>0.427493789172544</v>
      </c>
      <c r="AB819" s="3" t="str">
        <f aca="false">IF(ABS(V819-Y819)&gt;1,"Mismatch","OK")</f>
        <v>OK</v>
      </c>
      <c r="AC819" s="3" t="str">
        <f aca="false">IF(ABS(X819-Z819)&gt;1,"Mismatch","OK")</f>
        <v>OK</v>
      </c>
      <c r="AD819" s="5" t="n">
        <f aca="false">IF(OR(B819="",C819=""),"",C819-B819)</f>
        <v>0</v>
      </c>
      <c r="AE819" s="3" t="str">
        <f aca="false">IF(AD819="","Unknown",IF(AD819&lt;0,"Invalid - Ship Before Order","OK"))</f>
        <v>OK</v>
      </c>
      <c r="AF819" s="5" t="n">
        <f aca="false">IF(B819="","",MONTH(B819))</f>
        <v>4</v>
      </c>
      <c r="AG819" s="5" t="n">
        <f aca="false">IF(B819="","",YEAR(B819))</f>
        <v>2025</v>
      </c>
      <c r="AH819" s="3" t="s">
        <v>52</v>
      </c>
      <c r="AI819" s="3" t="s">
        <v>53</v>
      </c>
      <c r="AJ819" s="3" t="str">
        <f aca="false">IF(AND(AI819="Completed",AH819="Failed"),"Inconsistent - Completed Order with Failed Payment","OK")</f>
        <v>OK</v>
      </c>
      <c r="AK819" s="3" t="s">
        <v>54</v>
      </c>
      <c r="AL819" s="3" t="str">
        <f aca="false">IF(OR(T819="Negative - Invalid",T819="Above Allowed Range - Invalid",AE819="Invalid - Ship Before Order",AK819&lt;&gt;"Unique",AB819="Mismatch",AC819="Mismatch",AJ819&lt;&gt;"OK"),"Invalid",IF(OR(H819="Yes",O819="Yes",T819="Missing"),"Warning","Clean"))</f>
        <v>Clean</v>
      </c>
    </row>
    <row r="820" customFormat="false" ht="15" hidden="false" customHeight="true" outlineLevel="0" collapsed="false">
      <c r="A820" s="3" t="s">
        <v>2572</v>
      </c>
      <c r="B820" s="4" t="n">
        <v>45564</v>
      </c>
      <c r="C820" s="4" t="n">
        <v>45570</v>
      </c>
      <c r="D820" s="3" t="s">
        <v>2573</v>
      </c>
      <c r="E820" s="3" t="s">
        <v>141</v>
      </c>
      <c r="F820" s="3" t="s">
        <v>58</v>
      </c>
      <c r="G820" s="3" t="s">
        <v>88</v>
      </c>
      <c r="H820" s="3" t="s">
        <v>43</v>
      </c>
      <c r="I820" s="3" t="s">
        <v>89</v>
      </c>
      <c r="J820" s="3" t="s">
        <v>90</v>
      </c>
      <c r="K820" s="3" t="s">
        <v>46</v>
      </c>
      <c r="L820" s="3" t="s">
        <v>117</v>
      </c>
      <c r="M820" s="3" t="s">
        <v>2574</v>
      </c>
      <c r="N820" s="3" t="s">
        <v>72</v>
      </c>
      <c r="O820" s="3" t="s">
        <v>43</v>
      </c>
      <c r="P820" s="5" t="n">
        <v>8</v>
      </c>
      <c r="Q820" s="6" t="n">
        <v>1981.04</v>
      </c>
      <c r="R820" s="3" t="s">
        <v>977</v>
      </c>
      <c r="S820" s="7" t="n">
        <v>-0.14</v>
      </c>
      <c r="T820" s="3" t="s">
        <v>171</v>
      </c>
      <c r="U820" s="7" t="n">
        <f aca="false">IF(T820="Valid",S820,0)</f>
        <v>0</v>
      </c>
      <c r="V820" s="6" t="n">
        <v>12678.66</v>
      </c>
      <c r="W820" s="6" t="n">
        <v>10088.65</v>
      </c>
      <c r="X820" s="6" t="n">
        <v>2590.01</v>
      </c>
      <c r="Y820" s="6" t="n">
        <f aca="false">P820*Q820*(1-U820)</f>
        <v>15848.32</v>
      </c>
      <c r="Z820" s="6" t="n">
        <f aca="false">Y820-W820</f>
        <v>5759.67</v>
      </c>
      <c r="AA820" s="8" t="n">
        <f aca="false">IF(Y820=0,0,Z820/Y820)</f>
        <v>0.36342464059282</v>
      </c>
      <c r="AB820" s="3" t="str">
        <f aca="false">IF(ABS(V820-Y820)&gt;1,"Mismatch","OK")</f>
        <v>Mismatch</v>
      </c>
      <c r="AC820" s="3" t="str">
        <f aca="false">IF(ABS(X820-Z820)&gt;1,"Mismatch","OK")</f>
        <v>Mismatch</v>
      </c>
      <c r="AD820" s="5" t="n">
        <f aca="false">IF(OR(B820="",C820=""),"",C820-B820)</f>
        <v>6</v>
      </c>
      <c r="AE820" s="3" t="str">
        <f aca="false">IF(AD820="","Unknown",IF(AD820&lt;0,"Invalid - Ship Before Order","OK"))</f>
        <v>OK</v>
      </c>
      <c r="AF820" s="5" t="n">
        <f aca="false">IF(B820="","",MONTH(B820))</f>
        <v>9</v>
      </c>
      <c r="AG820" s="5" t="n">
        <f aca="false">IF(B820="","",YEAR(B820))</f>
        <v>2024</v>
      </c>
      <c r="AH820" s="3" t="s">
        <v>52</v>
      </c>
      <c r="AI820" s="3" t="s">
        <v>53</v>
      </c>
      <c r="AJ820" s="3" t="str">
        <f aca="false">IF(AND(AI820="Completed",AH820="Failed"),"Inconsistent - Completed Order with Failed Payment","OK")</f>
        <v>OK</v>
      </c>
      <c r="AK820" s="3" t="s">
        <v>54</v>
      </c>
      <c r="AL820" s="3" t="str">
        <f aca="false">IF(OR(T820="Negative - Invalid",T820="Above Allowed Range - Invalid",AE820="Invalid - Ship Before Order",AK820&lt;&gt;"Unique",AB820="Mismatch",AC820="Mismatch",AJ820&lt;&gt;"OK"),"Invalid",IF(OR(H820="Yes",O820="Yes",T820="Missing"),"Warning","Clean"))</f>
        <v>Invalid</v>
      </c>
    </row>
    <row r="821" customFormat="false" ht="15" hidden="false" customHeight="true" outlineLevel="0" collapsed="false">
      <c r="A821" s="3" t="s">
        <v>2575</v>
      </c>
      <c r="B821" s="4" t="n">
        <v>45504</v>
      </c>
      <c r="C821" s="4" t="n">
        <v>45504</v>
      </c>
      <c r="D821" s="3" t="s">
        <v>2576</v>
      </c>
      <c r="E821" s="3" t="s">
        <v>40</v>
      </c>
      <c r="F821" s="3" t="s">
        <v>121</v>
      </c>
      <c r="G821" s="3" t="s">
        <v>78</v>
      </c>
      <c r="H821" s="3" t="s">
        <v>43</v>
      </c>
      <c r="I821" s="3" t="s">
        <v>216</v>
      </c>
      <c r="J821" s="3" t="s">
        <v>217</v>
      </c>
      <c r="K821" s="3" t="s">
        <v>99</v>
      </c>
      <c r="L821" s="3" t="s">
        <v>308</v>
      </c>
      <c r="M821" s="3" t="s">
        <v>2577</v>
      </c>
      <c r="N821" s="3" t="s">
        <v>83</v>
      </c>
      <c r="O821" s="3" t="s">
        <v>43</v>
      </c>
      <c r="P821" s="5" t="n">
        <v>8</v>
      </c>
      <c r="Q821" s="6" t="n">
        <v>4246.01</v>
      </c>
      <c r="R821" s="3" t="s">
        <v>66</v>
      </c>
      <c r="S821" s="7" t="n">
        <v>0</v>
      </c>
      <c r="T821" s="3" t="s">
        <v>51</v>
      </c>
      <c r="U821" s="7" t="n">
        <f aca="false">IF(T821="Valid",S821,0)</f>
        <v>0</v>
      </c>
      <c r="V821" s="6" t="n">
        <v>33968.08</v>
      </c>
      <c r="W821" s="6" t="n">
        <v>26902.44</v>
      </c>
      <c r="X821" s="6" t="n">
        <v>7065.64</v>
      </c>
      <c r="Y821" s="6" t="n">
        <f aca="false">P821*Q821*(1-U821)</f>
        <v>33968.08</v>
      </c>
      <c r="Z821" s="6" t="n">
        <f aca="false">Y821-W821</f>
        <v>7065.64</v>
      </c>
      <c r="AA821" s="8" t="n">
        <f aca="false">IF(Y821=0,0,Z821/Y821)</f>
        <v>0.208008224191653</v>
      </c>
      <c r="AB821" s="3" t="str">
        <f aca="false">IF(ABS(V821-Y821)&gt;1,"Mismatch","OK")</f>
        <v>OK</v>
      </c>
      <c r="AC821" s="3" t="str">
        <f aca="false">IF(ABS(X821-Z821)&gt;1,"Mismatch","OK")</f>
        <v>OK</v>
      </c>
      <c r="AD821" s="5" t="n">
        <f aca="false">IF(OR(B821="",C821=""),"",C821-B821)</f>
        <v>0</v>
      </c>
      <c r="AE821" s="3" t="str">
        <f aca="false">IF(AD821="","Unknown",IF(AD821&lt;0,"Invalid - Ship Before Order","OK"))</f>
        <v>OK</v>
      </c>
      <c r="AF821" s="5" t="n">
        <f aca="false">IF(B821="","",MONTH(B821))</f>
        <v>7</v>
      </c>
      <c r="AG821" s="5" t="n">
        <f aca="false">IF(B821="","",YEAR(B821))</f>
        <v>2024</v>
      </c>
      <c r="AH821" s="3" t="s">
        <v>185</v>
      </c>
      <c r="AI821" s="3" t="s">
        <v>93</v>
      </c>
      <c r="AJ821" s="3" t="str">
        <f aca="false">IF(AND(AI821="Completed",AH821="Failed"),"Inconsistent - Completed Order with Failed Payment","OK")</f>
        <v>OK</v>
      </c>
      <c r="AK821" s="3" t="s">
        <v>54</v>
      </c>
      <c r="AL821" s="3" t="str">
        <f aca="false">IF(OR(T821="Negative - Invalid",T821="Above Allowed Range - Invalid",AE821="Invalid - Ship Before Order",AK821&lt;&gt;"Unique",AB821="Mismatch",AC821="Mismatch",AJ821&lt;&gt;"OK"),"Invalid",IF(OR(H821="Yes",O821="Yes",T821="Missing"),"Warning","Clean"))</f>
        <v>Clean</v>
      </c>
    </row>
    <row r="822" customFormat="false" ht="15" hidden="false" customHeight="true" outlineLevel="0" collapsed="false">
      <c r="A822" s="3" t="s">
        <v>2578</v>
      </c>
      <c r="B822" s="4" t="n">
        <v>45694</v>
      </c>
      <c r="C822" s="4" t="n">
        <v>45698</v>
      </c>
      <c r="D822" s="3" t="s">
        <v>2579</v>
      </c>
      <c r="E822" s="3" t="s">
        <v>87</v>
      </c>
      <c r="F822" s="3" t="s">
        <v>121</v>
      </c>
      <c r="G822" s="3" t="s">
        <v>42</v>
      </c>
      <c r="H822" s="3" t="s">
        <v>43</v>
      </c>
      <c r="I822" s="3" t="s">
        <v>163</v>
      </c>
      <c r="J822" s="3" t="s">
        <v>164</v>
      </c>
      <c r="K822" s="3" t="s">
        <v>62</v>
      </c>
      <c r="L822" s="3" t="s">
        <v>188</v>
      </c>
      <c r="M822" s="3" t="s">
        <v>2580</v>
      </c>
      <c r="N822" s="3" t="s">
        <v>83</v>
      </c>
      <c r="O822" s="3" t="s">
        <v>43</v>
      </c>
      <c r="P822" s="5" t="n">
        <v>2</v>
      </c>
      <c r="Q822" s="6" t="n">
        <v>319.57</v>
      </c>
      <c r="R822" s="3" t="s">
        <v>50</v>
      </c>
      <c r="S822" s="7" t="n">
        <v>0.2</v>
      </c>
      <c r="T822" s="3" t="s">
        <v>51</v>
      </c>
      <c r="U822" s="7" t="n">
        <f aca="false">IF(T822="Valid",S822,0)</f>
        <v>0.2</v>
      </c>
      <c r="V822" s="6" t="n">
        <v>511.31</v>
      </c>
      <c r="W822" s="6" t="n">
        <v>436.43</v>
      </c>
      <c r="X822" s="6" t="n">
        <v>74.88</v>
      </c>
      <c r="Y822" s="6" t="n">
        <f aca="false">P822*Q822*(1-U822)</f>
        <v>511.312</v>
      </c>
      <c r="Z822" s="6" t="n">
        <f aca="false">Y822-W822</f>
        <v>74.882</v>
      </c>
      <c r="AA822" s="8" t="n">
        <f aca="false">IF(Y822=0,0,Z822/Y822)</f>
        <v>0.146450699377288</v>
      </c>
      <c r="AB822" s="3" t="str">
        <f aca="false">IF(ABS(V822-Y822)&gt;1,"Mismatch","OK")</f>
        <v>OK</v>
      </c>
      <c r="AC822" s="3" t="str">
        <f aca="false">IF(ABS(X822-Z822)&gt;1,"Mismatch","OK")</f>
        <v>OK</v>
      </c>
      <c r="AD822" s="5" t="n">
        <f aca="false">IF(OR(B822="",C822=""),"",C822-B822)</f>
        <v>4</v>
      </c>
      <c r="AE822" s="3" t="str">
        <f aca="false">IF(AD822="","Unknown",IF(AD822&lt;0,"Invalid - Ship Before Order","OK"))</f>
        <v>OK</v>
      </c>
      <c r="AF822" s="5" t="n">
        <f aca="false">IF(B822="","",MONTH(B822))</f>
        <v>2</v>
      </c>
      <c r="AG822" s="5" t="n">
        <f aca="false">IF(B822="","",YEAR(B822))</f>
        <v>2025</v>
      </c>
      <c r="AH822" s="3" t="s">
        <v>52</v>
      </c>
      <c r="AI822" s="3" t="s">
        <v>53</v>
      </c>
      <c r="AJ822" s="3" t="str">
        <f aca="false">IF(AND(AI822="Completed",AH822="Failed"),"Inconsistent - Completed Order with Failed Payment","OK")</f>
        <v>OK</v>
      </c>
      <c r="AK822" s="3" t="s">
        <v>54</v>
      </c>
      <c r="AL822" s="3" t="str">
        <f aca="false">IF(OR(T822="Negative - Invalid",T822="Above Allowed Range - Invalid",AE822="Invalid - Ship Before Order",AK822&lt;&gt;"Unique",AB822="Mismatch",AC822="Mismatch",AJ822&lt;&gt;"OK"),"Invalid",IF(OR(H822="Yes",O822="Yes",T822="Missing"),"Warning","Clean"))</f>
        <v>Clean</v>
      </c>
    </row>
    <row r="823" customFormat="false" ht="15" hidden="false" customHeight="true" outlineLevel="0" collapsed="false">
      <c r="A823" s="3" t="s">
        <v>2581</v>
      </c>
      <c r="B823" s="4" t="n">
        <v>45476</v>
      </c>
      <c r="C823" s="4" t="n">
        <v>45479</v>
      </c>
      <c r="D823" s="3" t="s">
        <v>2582</v>
      </c>
      <c r="E823" s="3" t="s">
        <v>155</v>
      </c>
      <c r="F823" s="3" t="s">
        <v>116</v>
      </c>
      <c r="G823" s="3" t="s">
        <v>78</v>
      </c>
      <c r="H823" s="3" t="s">
        <v>43</v>
      </c>
      <c r="I823" s="3" t="s">
        <v>206</v>
      </c>
      <c r="J823" s="3" t="s">
        <v>207</v>
      </c>
      <c r="K823" s="3" t="s">
        <v>99</v>
      </c>
      <c r="L823" s="3" t="s">
        <v>100</v>
      </c>
      <c r="M823" s="3" t="s">
        <v>2583</v>
      </c>
      <c r="N823" s="3" t="s">
        <v>72</v>
      </c>
      <c r="O823" s="3" t="s">
        <v>43</v>
      </c>
      <c r="P823" s="5" t="n">
        <v>7</v>
      </c>
      <c r="Q823" s="6" t="n">
        <v>1942.49</v>
      </c>
      <c r="R823" s="3" t="s">
        <v>50</v>
      </c>
      <c r="S823" s="7" t="n">
        <v>0.2</v>
      </c>
      <c r="T823" s="3" t="s">
        <v>51</v>
      </c>
      <c r="U823" s="7" t="n">
        <f aca="false">IF(T823="Valid",S823,0)</f>
        <v>0.2</v>
      </c>
      <c r="V823" s="6" t="n">
        <v>10877.94</v>
      </c>
      <c r="W823" s="6" t="n">
        <v>9110.14</v>
      </c>
      <c r="X823" s="6" t="n">
        <v>1767.8</v>
      </c>
      <c r="Y823" s="6" t="n">
        <f aca="false">P823*Q823*(1-U823)</f>
        <v>10877.944</v>
      </c>
      <c r="Z823" s="6" t="n">
        <f aca="false">Y823-W823</f>
        <v>1767.804</v>
      </c>
      <c r="AA823" s="8" t="n">
        <f aca="false">IF(Y823=0,0,Z823/Y823)</f>
        <v>0.162512695413766</v>
      </c>
      <c r="AB823" s="3" t="str">
        <f aca="false">IF(ABS(V823-Y823)&gt;1,"Mismatch","OK")</f>
        <v>OK</v>
      </c>
      <c r="AC823" s="3" t="str">
        <f aca="false">IF(ABS(X823-Z823)&gt;1,"Mismatch","OK")</f>
        <v>OK</v>
      </c>
      <c r="AD823" s="5" t="n">
        <f aca="false">IF(OR(B823="",C823=""),"",C823-B823)</f>
        <v>3</v>
      </c>
      <c r="AE823" s="3" t="str">
        <f aca="false">IF(AD823="","Unknown",IF(AD823&lt;0,"Invalid - Ship Before Order","OK"))</f>
        <v>OK</v>
      </c>
      <c r="AF823" s="5" t="n">
        <f aca="false">IF(B823="","",MONTH(B823))</f>
        <v>7</v>
      </c>
      <c r="AG823" s="5" t="n">
        <f aca="false">IF(B823="","",YEAR(B823))</f>
        <v>2024</v>
      </c>
      <c r="AH823" s="3" t="s">
        <v>52</v>
      </c>
      <c r="AI823" s="3" t="s">
        <v>53</v>
      </c>
      <c r="AJ823" s="3" t="str">
        <f aca="false">IF(AND(AI823="Completed",AH823="Failed"),"Inconsistent - Completed Order with Failed Payment","OK")</f>
        <v>OK</v>
      </c>
      <c r="AK823" s="3" t="s">
        <v>54</v>
      </c>
      <c r="AL823" s="3" t="str">
        <f aca="false">IF(OR(T823="Negative - Invalid",T823="Above Allowed Range - Invalid",AE823="Invalid - Ship Before Order",AK823&lt;&gt;"Unique",AB823="Mismatch",AC823="Mismatch",AJ823&lt;&gt;"OK"),"Invalid",IF(OR(H823="Yes",O823="Yes",T823="Missing"),"Warning","Clean"))</f>
        <v>Clean</v>
      </c>
    </row>
    <row r="824" customFormat="false" ht="15" hidden="false" customHeight="true" outlineLevel="0" collapsed="false">
      <c r="A824" s="3" t="s">
        <v>2584</v>
      </c>
      <c r="B824" s="4" t="n">
        <v>45577</v>
      </c>
      <c r="C824" s="4" t="n">
        <v>45573</v>
      </c>
      <c r="D824" s="3" t="s">
        <v>2585</v>
      </c>
      <c r="E824" s="3" t="s">
        <v>57</v>
      </c>
      <c r="F824" s="3" t="s">
        <v>116</v>
      </c>
      <c r="G824" s="3" t="s">
        <v>59</v>
      </c>
      <c r="H824" s="3" t="s">
        <v>43</v>
      </c>
      <c r="I824" s="3" t="s">
        <v>196</v>
      </c>
      <c r="J824" s="3" t="s">
        <v>197</v>
      </c>
      <c r="K824" s="3" t="s">
        <v>62</v>
      </c>
      <c r="L824" s="3" t="s">
        <v>81</v>
      </c>
      <c r="M824" s="3" t="s">
        <v>2586</v>
      </c>
      <c r="N824" s="3" t="s">
        <v>49</v>
      </c>
      <c r="O824" s="3" t="s">
        <v>43</v>
      </c>
      <c r="P824" s="5" t="n">
        <v>4</v>
      </c>
      <c r="Q824" s="6" t="n">
        <v>3202.04</v>
      </c>
      <c r="R824" s="3" t="s">
        <v>50</v>
      </c>
      <c r="S824" s="7" t="n">
        <v>0.2</v>
      </c>
      <c r="T824" s="3" t="s">
        <v>51</v>
      </c>
      <c r="U824" s="7" t="n">
        <f aca="false">IF(T824="Valid",S824,0)</f>
        <v>0.2</v>
      </c>
      <c r="V824" s="6" t="n">
        <v>10246.53</v>
      </c>
      <c r="W824" s="6" t="n">
        <v>8634.42</v>
      </c>
      <c r="X824" s="6" t="n">
        <v>1612.11</v>
      </c>
      <c r="Y824" s="6" t="n">
        <f aca="false">P824*Q824*(1-U824)</f>
        <v>10246.528</v>
      </c>
      <c r="Z824" s="6" t="n">
        <f aca="false">Y824-W824</f>
        <v>1612.108</v>
      </c>
      <c r="AA824" s="8" t="n">
        <f aca="false">IF(Y824=0,0,Z824/Y824)</f>
        <v>0.157332122646813</v>
      </c>
      <c r="AB824" s="3" t="str">
        <f aca="false">IF(ABS(V824-Y824)&gt;1,"Mismatch","OK")</f>
        <v>OK</v>
      </c>
      <c r="AC824" s="3" t="str">
        <f aca="false">IF(ABS(X824-Z824)&gt;1,"Mismatch","OK")</f>
        <v>OK</v>
      </c>
      <c r="AD824" s="5" t="n">
        <f aca="false">IF(OR(B824="",C824=""),"",C824-B824)</f>
        <v>-4</v>
      </c>
      <c r="AE824" s="3" t="str">
        <f aca="false">IF(AD824="","Unknown",IF(AD824&lt;0,"Invalid - Ship Before Order","OK"))</f>
        <v>Invalid - Ship Before Order</v>
      </c>
      <c r="AF824" s="5" t="n">
        <f aca="false">IF(B824="","",MONTH(B824))</f>
        <v>10</v>
      </c>
      <c r="AG824" s="5" t="n">
        <f aca="false">IF(B824="","",YEAR(B824))</f>
        <v>2024</v>
      </c>
      <c r="AH824" s="3" t="s">
        <v>138</v>
      </c>
      <c r="AI824" s="3" t="s">
        <v>130</v>
      </c>
      <c r="AJ824" s="3" t="str">
        <f aca="false">IF(AND(AI824="Completed",AH824="Failed"),"Inconsistent - Completed Order with Failed Payment","OK")</f>
        <v>OK</v>
      </c>
      <c r="AK824" s="3" t="s">
        <v>54</v>
      </c>
      <c r="AL824" s="3" t="str">
        <f aca="false">IF(OR(T824="Negative - Invalid",T824="Above Allowed Range - Invalid",AE824="Invalid - Ship Before Order",AK824&lt;&gt;"Unique",AB824="Mismatch",AC824="Mismatch",AJ824&lt;&gt;"OK"),"Invalid",IF(OR(H824="Yes",O824="Yes",T824="Missing"),"Warning","Clean"))</f>
        <v>Invalid</v>
      </c>
    </row>
    <row r="825" customFormat="false" ht="15" hidden="false" customHeight="true" outlineLevel="0" collapsed="false">
      <c r="A825" s="3" t="s">
        <v>2587</v>
      </c>
      <c r="B825" s="4" t="n">
        <v>45663</v>
      </c>
      <c r="C825" s="4" t="n">
        <v>45669</v>
      </c>
      <c r="D825" s="3" t="s">
        <v>2588</v>
      </c>
      <c r="E825" s="3" t="s">
        <v>57</v>
      </c>
      <c r="F825" s="3" t="s">
        <v>121</v>
      </c>
      <c r="G825" s="3" t="s">
        <v>88</v>
      </c>
      <c r="H825" s="3" t="s">
        <v>43</v>
      </c>
      <c r="I825" s="3" t="s">
        <v>221</v>
      </c>
      <c r="J825" s="3" t="s">
        <v>222</v>
      </c>
      <c r="K825" s="3" t="s">
        <v>46</v>
      </c>
      <c r="L825" s="3" t="s">
        <v>47</v>
      </c>
      <c r="M825" s="3" t="s">
        <v>2589</v>
      </c>
      <c r="N825" s="3" t="s">
        <v>65</v>
      </c>
      <c r="O825" s="3" t="s">
        <v>43</v>
      </c>
      <c r="P825" s="5" t="n">
        <v>3</v>
      </c>
      <c r="Q825" s="6" t="n">
        <v>668.33</v>
      </c>
      <c r="R825" s="3" t="s">
        <v>107</v>
      </c>
      <c r="S825" s="7" t="n">
        <v>0.15</v>
      </c>
      <c r="T825" s="3" t="s">
        <v>51</v>
      </c>
      <c r="U825" s="7" t="n">
        <f aca="false">IF(T825="Valid",S825,0)</f>
        <v>0.15</v>
      </c>
      <c r="V825" s="6" t="n">
        <v>1704.24</v>
      </c>
      <c r="W825" s="6" t="n">
        <v>957.55</v>
      </c>
      <c r="X825" s="6" t="n">
        <v>746.69</v>
      </c>
      <c r="Y825" s="6" t="n">
        <f aca="false">P825*Q825*(1-U825)</f>
        <v>1704.2415</v>
      </c>
      <c r="Z825" s="6" t="n">
        <f aca="false">Y825-W825</f>
        <v>746.6915</v>
      </c>
      <c r="AA825" s="8" t="n">
        <f aca="false">IF(Y825=0,0,Z825/Y825)</f>
        <v>0.438137141948486</v>
      </c>
      <c r="AB825" s="3" t="str">
        <f aca="false">IF(ABS(V825-Y825)&gt;1,"Mismatch","OK")</f>
        <v>OK</v>
      </c>
      <c r="AC825" s="3" t="str">
        <f aca="false">IF(ABS(X825-Z825)&gt;1,"Mismatch","OK")</f>
        <v>OK</v>
      </c>
      <c r="AD825" s="5" t="n">
        <f aca="false">IF(OR(B825="",C825=""),"",C825-B825)</f>
        <v>6</v>
      </c>
      <c r="AE825" s="3" t="str">
        <f aca="false">IF(AD825="","Unknown",IF(AD825&lt;0,"Invalid - Ship Before Order","OK"))</f>
        <v>OK</v>
      </c>
      <c r="AF825" s="5" t="n">
        <f aca="false">IF(B825="","",MONTH(B825))</f>
        <v>1</v>
      </c>
      <c r="AG825" s="5" t="n">
        <f aca="false">IF(B825="","",YEAR(B825))</f>
        <v>2025</v>
      </c>
      <c r="AH825" s="3" t="s">
        <v>52</v>
      </c>
      <c r="AI825" s="3" t="s">
        <v>53</v>
      </c>
      <c r="AJ825" s="3" t="str">
        <f aca="false">IF(AND(AI825="Completed",AH825="Failed"),"Inconsistent - Completed Order with Failed Payment","OK")</f>
        <v>OK</v>
      </c>
      <c r="AK825" s="3" t="s">
        <v>54</v>
      </c>
      <c r="AL825" s="3" t="str">
        <f aca="false">IF(OR(T825="Negative - Invalid",T825="Above Allowed Range - Invalid",AE825="Invalid - Ship Before Order",AK825&lt;&gt;"Unique",AB825="Mismatch",AC825="Mismatch",AJ825&lt;&gt;"OK"),"Invalid",IF(OR(H825="Yes",O825="Yes",T825="Missing"),"Warning","Clean"))</f>
        <v>Clean</v>
      </c>
    </row>
    <row r="826" customFormat="false" ht="15" hidden="false" customHeight="true" outlineLevel="0" collapsed="false">
      <c r="A826" s="3" t="s">
        <v>2590</v>
      </c>
      <c r="B826" s="4" t="n">
        <v>45737</v>
      </c>
      <c r="C826" s="4" t="n">
        <v>45738</v>
      </c>
      <c r="D826" s="3" t="s">
        <v>2591</v>
      </c>
      <c r="E826" s="3" t="s">
        <v>141</v>
      </c>
      <c r="F826" s="3" t="s">
        <v>41</v>
      </c>
      <c r="G826" s="3" t="s">
        <v>88</v>
      </c>
      <c r="H826" s="3" t="s">
        <v>43</v>
      </c>
      <c r="I826" s="3" t="s">
        <v>221</v>
      </c>
      <c r="J826" s="3" t="s">
        <v>222</v>
      </c>
      <c r="K826" s="3" t="s">
        <v>46</v>
      </c>
      <c r="L826" s="3" t="s">
        <v>47</v>
      </c>
      <c r="M826" s="3" t="s">
        <v>2592</v>
      </c>
      <c r="N826" s="3" t="s">
        <v>72</v>
      </c>
      <c r="O826" s="3" t="s">
        <v>43</v>
      </c>
      <c r="P826" s="5" t="n">
        <v>8</v>
      </c>
      <c r="Q826" s="6" t="n">
        <v>4436.74</v>
      </c>
      <c r="R826" s="3" t="s">
        <v>128</v>
      </c>
      <c r="S826" s="7" t="n">
        <v>0.05</v>
      </c>
      <c r="T826" s="3" t="s">
        <v>51</v>
      </c>
      <c r="U826" s="7" t="n">
        <f aca="false">IF(T826="Valid",S826,0)</f>
        <v>0.05</v>
      </c>
      <c r="V826" s="6" t="n">
        <v>33719.22</v>
      </c>
      <c r="W826" s="6" t="n">
        <v>28924.43</v>
      </c>
      <c r="X826" s="6" t="n">
        <v>4794.79</v>
      </c>
      <c r="Y826" s="6" t="n">
        <f aca="false">P826*Q826*(1-U826)</f>
        <v>33719.224</v>
      </c>
      <c r="Z826" s="6" t="n">
        <f aca="false">Y826-W826</f>
        <v>4794.79399999999</v>
      </c>
      <c r="AA826" s="8" t="n">
        <f aca="false">IF(Y826=0,0,Z826/Y826)</f>
        <v>0.142197637762957</v>
      </c>
      <c r="AB826" s="3" t="str">
        <f aca="false">IF(ABS(V826-Y826)&gt;1,"Mismatch","OK")</f>
        <v>OK</v>
      </c>
      <c r="AC826" s="3" t="str">
        <f aca="false">IF(ABS(X826-Z826)&gt;1,"Mismatch","OK")</f>
        <v>OK</v>
      </c>
      <c r="AD826" s="5" t="n">
        <f aca="false">IF(OR(B826="",C826=""),"",C826-B826)</f>
        <v>1</v>
      </c>
      <c r="AE826" s="3" t="str">
        <f aca="false">IF(AD826="","Unknown",IF(AD826&lt;0,"Invalid - Ship Before Order","OK"))</f>
        <v>OK</v>
      </c>
      <c r="AF826" s="5" t="n">
        <f aca="false">IF(B826="","",MONTH(B826))</f>
        <v>3</v>
      </c>
      <c r="AG826" s="5" t="n">
        <f aca="false">IF(B826="","",YEAR(B826))</f>
        <v>2025</v>
      </c>
      <c r="AH826" s="3" t="s">
        <v>52</v>
      </c>
      <c r="AI826" s="3" t="s">
        <v>53</v>
      </c>
      <c r="AJ826" s="3" t="str">
        <f aca="false">IF(AND(AI826="Completed",AH826="Failed"),"Inconsistent - Completed Order with Failed Payment","OK")</f>
        <v>OK</v>
      </c>
      <c r="AK826" s="3" t="s">
        <v>54</v>
      </c>
      <c r="AL826" s="3" t="str">
        <f aca="false">IF(OR(T826="Negative - Invalid",T826="Above Allowed Range - Invalid",AE826="Invalid - Ship Before Order",AK826&lt;&gt;"Unique",AB826="Mismatch",AC826="Mismatch",AJ826&lt;&gt;"OK"),"Invalid",IF(OR(H826="Yes",O826="Yes",T826="Missing"),"Warning","Clean"))</f>
        <v>Clean</v>
      </c>
    </row>
    <row r="827" customFormat="false" ht="15" hidden="false" customHeight="true" outlineLevel="0" collapsed="false">
      <c r="A827" s="3" t="s">
        <v>2593</v>
      </c>
      <c r="B827" s="4" t="n">
        <v>45763</v>
      </c>
      <c r="C827" s="4" t="n">
        <v>45764</v>
      </c>
      <c r="D827" s="3" t="s">
        <v>2594</v>
      </c>
      <c r="E827" s="3" t="s">
        <v>96</v>
      </c>
      <c r="F827" s="3" t="s">
        <v>58</v>
      </c>
      <c r="G827" s="3" t="s">
        <v>42</v>
      </c>
      <c r="H827" s="3" t="s">
        <v>43</v>
      </c>
      <c r="I827" s="3" t="s">
        <v>163</v>
      </c>
      <c r="J827" s="3" t="s">
        <v>164</v>
      </c>
      <c r="K827" s="3" t="s">
        <v>99</v>
      </c>
      <c r="L827" s="3" t="s">
        <v>308</v>
      </c>
      <c r="M827" s="3" t="s">
        <v>2595</v>
      </c>
      <c r="N827" s="3" t="s">
        <v>72</v>
      </c>
      <c r="O827" s="3" t="s">
        <v>43</v>
      </c>
      <c r="P827" s="5" t="n">
        <v>1</v>
      </c>
      <c r="Q827" s="6" t="n">
        <v>2720.17</v>
      </c>
      <c r="R827" s="3" t="s">
        <v>66</v>
      </c>
      <c r="S827" s="7" t="n">
        <v>0</v>
      </c>
      <c r="T827" s="3" t="s">
        <v>51</v>
      </c>
      <c r="U827" s="7" t="n">
        <f aca="false">IF(T827="Valid",S827,0)</f>
        <v>0</v>
      </c>
      <c r="V827" s="6" t="n">
        <v>2720.17</v>
      </c>
      <c r="W827" s="6" t="n">
        <v>1834.23</v>
      </c>
      <c r="X827" s="6" t="n">
        <v>885.94</v>
      </c>
      <c r="Y827" s="6" t="n">
        <f aca="false">P827*Q827*(1-U827)</f>
        <v>2720.17</v>
      </c>
      <c r="Z827" s="6" t="n">
        <f aca="false">Y827-W827</f>
        <v>885.94</v>
      </c>
      <c r="AA827" s="8" t="n">
        <f aca="false">IF(Y827=0,0,Z827/Y827)</f>
        <v>0.32569287948915</v>
      </c>
      <c r="AB827" s="3" t="str">
        <f aca="false">IF(ABS(V827-Y827)&gt;1,"Mismatch","OK")</f>
        <v>OK</v>
      </c>
      <c r="AC827" s="3" t="str">
        <f aca="false">IF(ABS(X827-Z827)&gt;1,"Mismatch","OK")</f>
        <v>OK</v>
      </c>
      <c r="AD827" s="5" t="n">
        <f aca="false">IF(OR(B827="",C827=""),"",C827-B827)</f>
        <v>1</v>
      </c>
      <c r="AE827" s="3" t="str">
        <f aca="false">IF(AD827="","Unknown",IF(AD827&lt;0,"Invalid - Ship Before Order","OK"))</f>
        <v>OK</v>
      </c>
      <c r="AF827" s="5" t="n">
        <f aca="false">IF(B827="","",MONTH(B827))</f>
        <v>4</v>
      </c>
      <c r="AG827" s="5" t="n">
        <f aca="false">IF(B827="","",YEAR(B827))</f>
        <v>2025</v>
      </c>
      <c r="AH827" s="3" t="s">
        <v>52</v>
      </c>
      <c r="AI827" s="3" t="s">
        <v>53</v>
      </c>
      <c r="AJ827" s="3" t="str">
        <f aca="false">IF(AND(AI827="Completed",AH827="Failed"),"Inconsistent - Completed Order with Failed Payment","OK")</f>
        <v>OK</v>
      </c>
      <c r="AK827" s="3" t="s">
        <v>54</v>
      </c>
      <c r="AL827" s="3" t="str">
        <f aca="false">IF(OR(T827="Negative - Invalid",T827="Above Allowed Range - Invalid",AE827="Invalid - Ship Before Order",AK827&lt;&gt;"Unique",AB827="Mismatch",AC827="Mismatch",AJ827&lt;&gt;"OK"),"Invalid",IF(OR(H827="Yes",O827="Yes",T827="Missing"),"Warning","Clean"))</f>
        <v>Clean</v>
      </c>
    </row>
    <row r="828" customFormat="false" ht="15" hidden="false" customHeight="true" outlineLevel="0" collapsed="false">
      <c r="A828" s="3" t="s">
        <v>2596</v>
      </c>
      <c r="B828" s="4" t="n">
        <v>45879</v>
      </c>
      <c r="C828" s="4" t="n">
        <v>45883</v>
      </c>
      <c r="D828" s="3" t="s">
        <v>2597</v>
      </c>
      <c r="E828" s="3" t="s">
        <v>115</v>
      </c>
      <c r="F828" s="3" t="s">
        <v>41</v>
      </c>
      <c r="G828" s="3" t="s">
        <v>88</v>
      </c>
      <c r="H828" s="3" t="s">
        <v>43</v>
      </c>
      <c r="I828" s="3" t="s">
        <v>44</v>
      </c>
      <c r="J828" s="3" t="s">
        <v>136</v>
      </c>
      <c r="K828" s="3" t="s">
        <v>99</v>
      </c>
      <c r="L828" s="3" t="s">
        <v>100</v>
      </c>
      <c r="M828" s="3" t="s">
        <v>2598</v>
      </c>
      <c r="N828" s="3" t="s">
        <v>83</v>
      </c>
      <c r="O828" s="3" t="s">
        <v>43</v>
      </c>
      <c r="P828" s="5" t="n">
        <v>5</v>
      </c>
      <c r="Q828" s="6" t="n">
        <v>2190.14</v>
      </c>
      <c r="R828" s="3" t="s">
        <v>84</v>
      </c>
      <c r="S828" s="7" t="n">
        <v>0.25</v>
      </c>
      <c r="T828" s="3" t="s">
        <v>51</v>
      </c>
      <c r="U828" s="7" t="n">
        <f aca="false">IF(T828="Valid",S828,0)</f>
        <v>0.25</v>
      </c>
      <c r="V828" s="6" t="n">
        <v>8213.02</v>
      </c>
      <c r="W828" s="6" t="n">
        <v>5569.3</v>
      </c>
      <c r="X828" s="6" t="n">
        <v>2643.72</v>
      </c>
      <c r="Y828" s="6" t="n">
        <f aca="false">P828*Q828*(1-U828)</f>
        <v>8213.025</v>
      </c>
      <c r="Z828" s="6" t="n">
        <f aca="false">Y828-W828</f>
        <v>2643.725</v>
      </c>
      <c r="AA828" s="8" t="n">
        <f aca="false">IF(Y828=0,0,Z828/Y828)</f>
        <v>0.321894186368603</v>
      </c>
      <c r="AB828" s="3" t="str">
        <f aca="false">IF(ABS(V828-Y828)&gt;1,"Mismatch","OK")</f>
        <v>OK</v>
      </c>
      <c r="AC828" s="3" t="str">
        <f aca="false">IF(ABS(X828-Z828)&gt;1,"Mismatch","OK")</f>
        <v>OK</v>
      </c>
      <c r="AD828" s="5" t="n">
        <f aca="false">IF(OR(B828="",C828=""),"",C828-B828)</f>
        <v>4</v>
      </c>
      <c r="AE828" s="3" t="str">
        <f aca="false">IF(AD828="","Unknown",IF(AD828&lt;0,"Invalid - Ship Before Order","OK"))</f>
        <v>OK</v>
      </c>
      <c r="AF828" s="5" t="n">
        <f aca="false">IF(B828="","",MONTH(B828))</f>
        <v>8</v>
      </c>
      <c r="AG828" s="5" t="n">
        <f aca="false">IF(B828="","",YEAR(B828))</f>
        <v>2025</v>
      </c>
      <c r="AH828" s="3" t="s">
        <v>52</v>
      </c>
      <c r="AI828" s="3" t="s">
        <v>53</v>
      </c>
      <c r="AJ828" s="3" t="str">
        <f aca="false">IF(AND(AI828="Completed",AH828="Failed"),"Inconsistent - Completed Order with Failed Payment","OK")</f>
        <v>OK</v>
      </c>
      <c r="AK828" s="3" t="s">
        <v>54</v>
      </c>
      <c r="AL828" s="3" t="str">
        <f aca="false">IF(OR(T828="Negative - Invalid",T828="Above Allowed Range - Invalid",AE828="Invalid - Ship Before Order",AK828&lt;&gt;"Unique",AB828="Mismatch",AC828="Mismatch",AJ828&lt;&gt;"OK"),"Invalid",IF(OR(H828="Yes",O828="Yes",T828="Missing"),"Warning","Clean"))</f>
        <v>Clean</v>
      </c>
    </row>
    <row r="829" customFormat="false" ht="15" hidden="false" customHeight="true" outlineLevel="0" collapsed="false">
      <c r="A829" s="3" t="s">
        <v>2599</v>
      </c>
      <c r="B829" s="4" t="n">
        <v>45620</v>
      </c>
      <c r="C829" s="4" t="n">
        <v>45627</v>
      </c>
      <c r="D829" s="3" t="s">
        <v>2600</v>
      </c>
      <c r="E829" s="3" t="s">
        <v>141</v>
      </c>
      <c r="F829" s="3" t="s">
        <v>121</v>
      </c>
      <c r="G829" s="3" t="s">
        <v>78</v>
      </c>
      <c r="H829" s="3" t="s">
        <v>43</v>
      </c>
      <c r="I829" s="3" t="s">
        <v>281</v>
      </c>
      <c r="J829" s="3" t="s">
        <v>282</v>
      </c>
      <c r="K829" s="3" t="s">
        <v>46</v>
      </c>
      <c r="L829" s="3" t="s">
        <v>47</v>
      </c>
      <c r="M829" s="3" t="s">
        <v>2601</v>
      </c>
      <c r="N829" s="3" t="s">
        <v>65</v>
      </c>
      <c r="O829" s="3" t="s">
        <v>43</v>
      </c>
      <c r="P829" s="5" t="n">
        <v>1</v>
      </c>
      <c r="Q829" s="6" t="n">
        <v>844.89</v>
      </c>
      <c r="R829" s="3" t="s">
        <v>84</v>
      </c>
      <c r="S829" s="7" t="n">
        <v>0.25</v>
      </c>
      <c r="T829" s="3" t="s">
        <v>51</v>
      </c>
      <c r="U829" s="7" t="n">
        <f aca="false">IF(T829="Valid",S829,0)</f>
        <v>0.25</v>
      </c>
      <c r="V829" s="6" t="n">
        <v>633.67</v>
      </c>
      <c r="W829" s="6" t="n">
        <v>520.47</v>
      </c>
      <c r="X829" s="6" t="n">
        <v>113.2</v>
      </c>
      <c r="Y829" s="6" t="n">
        <f aca="false">P829*Q829*(1-U829)</f>
        <v>633.6675</v>
      </c>
      <c r="Z829" s="6" t="n">
        <f aca="false">Y829-W829</f>
        <v>113.1975</v>
      </c>
      <c r="AA829" s="8" t="n">
        <f aca="false">IF(Y829=0,0,Z829/Y829)</f>
        <v>0.178638639349501</v>
      </c>
      <c r="AB829" s="3" t="str">
        <f aca="false">IF(ABS(V829-Y829)&gt;1,"Mismatch","OK")</f>
        <v>OK</v>
      </c>
      <c r="AC829" s="3" t="str">
        <f aca="false">IF(ABS(X829-Z829)&gt;1,"Mismatch","OK")</f>
        <v>OK</v>
      </c>
      <c r="AD829" s="5" t="n">
        <f aca="false">IF(OR(B829="",C829=""),"",C829-B829)</f>
        <v>7</v>
      </c>
      <c r="AE829" s="3" t="str">
        <f aca="false">IF(AD829="","Unknown",IF(AD829&lt;0,"Invalid - Ship Before Order","OK"))</f>
        <v>OK</v>
      </c>
      <c r="AF829" s="5" t="n">
        <f aca="false">IF(B829="","",MONTH(B829))</f>
        <v>11</v>
      </c>
      <c r="AG829" s="5" t="n">
        <f aca="false">IF(B829="","",YEAR(B829))</f>
        <v>2024</v>
      </c>
      <c r="AH829" s="3" t="s">
        <v>52</v>
      </c>
      <c r="AI829" s="3" t="s">
        <v>93</v>
      </c>
      <c r="AJ829" s="3" t="str">
        <f aca="false">IF(AND(AI829="Completed",AH829="Failed"),"Inconsistent - Completed Order with Failed Payment","OK")</f>
        <v>OK</v>
      </c>
      <c r="AK829" s="3" t="s">
        <v>54</v>
      </c>
      <c r="AL829" s="3" t="str">
        <f aca="false">IF(OR(T829="Negative - Invalid",T829="Above Allowed Range - Invalid",AE829="Invalid - Ship Before Order",AK829&lt;&gt;"Unique",AB829="Mismatch",AC829="Mismatch",AJ829&lt;&gt;"OK"),"Invalid",IF(OR(H829="Yes",O829="Yes",T829="Missing"),"Warning","Clean"))</f>
        <v>Clean</v>
      </c>
    </row>
    <row r="830" customFormat="false" ht="15" hidden="false" customHeight="true" outlineLevel="0" collapsed="false">
      <c r="A830" s="3" t="s">
        <v>2602</v>
      </c>
      <c r="B830" s="4" t="n">
        <v>45940</v>
      </c>
      <c r="C830" s="4" t="n">
        <v>45941</v>
      </c>
      <c r="D830" s="3" t="s">
        <v>2603</v>
      </c>
      <c r="E830" s="3" t="s">
        <v>40</v>
      </c>
      <c r="F830" s="3" t="s">
        <v>116</v>
      </c>
      <c r="G830" s="3" t="s">
        <v>59</v>
      </c>
      <c r="H830" s="3" t="s">
        <v>43</v>
      </c>
      <c r="I830" s="3" t="s">
        <v>60</v>
      </c>
      <c r="J830" s="3" t="s">
        <v>61</v>
      </c>
      <c r="K830" s="3" t="s">
        <v>62</v>
      </c>
      <c r="L830" s="3" t="s">
        <v>91</v>
      </c>
      <c r="M830" s="3" t="s">
        <v>2604</v>
      </c>
      <c r="N830" s="3" t="s">
        <v>49</v>
      </c>
      <c r="O830" s="3" t="s">
        <v>43</v>
      </c>
      <c r="P830" s="5" t="n">
        <v>7</v>
      </c>
      <c r="Q830" s="6" t="n">
        <v>3791.96</v>
      </c>
      <c r="R830" s="3" t="s">
        <v>128</v>
      </c>
      <c r="S830" s="7" t="n">
        <v>0.05</v>
      </c>
      <c r="T830" s="3" t="s">
        <v>51</v>
      </c>
      <c r="U830" s="7" t="n">
        <f aca="false">IF(T830="Valid",S830,0)</f>
        <v>0.05</v>
      </c>
      <c r="V830" s="6" t="n">
        <v>25216.53</v>
      </c>
      <c r="W830" s="6" t="n">
        <v>14216.94</v>
      </c>
      <c r="X830" s="6" t="n">
        <v>10999.59</v>
      </c>
      <c r="Y830" s="6" t="n">
        <f aca="false">P830*Q830*(1-U830)</f>
        <v>25216.534</v>
      </c>
      <c r="Z830" s="6" t="n">
        <f aca="false">Y830-W830</f>
        <v>10999.594</v>
      </c>
      <c r="AA830" s="8" t="n">
        <f aca="false">IF(Y830=0,0,Z830/Y830)</f>
        <v>0.436205626038852</v>
      </c>
      <c r="AB830" s="3" t="str">
        <f aca="false">IF(ABS(V830-Y830)&gt;1,"Mismatch","OK")</f>
        <v>OK</v>
      </c>
      <c r="AC830" s="3" t="str">
        <f aca="false">IF(ABS(X830-Z830)&gt;1,"Mismatch","OK")</f>
        <v>OK</v>
      </c>
      <c r="AD830" s="5" t="n">
        <f aca="false">IF(OR(B830="",C830=""),"",C830-B830)</f>
        <v>1</v>
      </c>
      <c r="AE830" s="3" t="str">
        <f aca="false">IF(AD830="","Unknown",IF(AD830&lt;0,"Invalid - Ship Before Order","OK"))</f>
        <v>OK</v>
      </c>
      <c r="AF830" s="5" t="n">
        <f aca="false">IF(B830="","",MONTH(B830))</f>
        <v>10</v>
      </c>
      <c r="AG830" s="5" t="n">
        <f aca="false">IF(B830="","",YEAR(B830))</f>
        <v>2025</v>
      </c>
      <c r="AH830" s="3" t="s">
        <v>185</v>
      </c>
      <c r="AI830" s="3" t="s">
        <v>93</v>
      </c>
      <c r="AJ830" s="3" t="str">
        <f aca="false">IF(AND(AI830="Completed",AH830="Failed"),"Inconsistent - Completed Order with Failed Payment","OK")</f>
        <v>OK</v>
      </c>
      <c r="AK830" s="3" t="s">
        <v>54</v>
      </c>
      <c r="AL830" s="3" t="str">
        <f aca="false">IF(OR(T830="Negative - Invalid",T830="Above Allowed Range - Invalid",AE830="Invalid - Ship Before Order",AK830&lt;&gt;"Unique",AB830="Mismatch",AC830="Mismatch",AJ830&lt;&gt;"OK"),"Invalid",IF(OR(H830="Yes",O830="Yes",T830="Missing"),"Warning","Clean"))</f>
        <v>Clean</v>
      </c>
    </row>
    <row r="831" customFormat="false" ht="15" hidden="false" customHeight="true" outlineLevel="0" collapsed="false">
      <c r="A831" s="3" t="s">
        <v>2605</v>
      </c>
      <c r="B831" s="4" t="n">
        <v>45348</v>
      </c>
      <c r="C831" s="4" t="n">
        <v>45350</v>
      </c>
      <c r="D831" s="3" t="s">
        <v>2606</v>
      </c>
      <c r="E831" s="3" t="s">
        <v>115</v>
      </c>
      <c r="F831" s="3" t="s">
        <v>58</v>
      </c>
      <c r="G831" s="3" t="s">
        <v>88</v>
      </c>
      <c r="H831" s="3" t="s">
        <v>43</v>
      </c>
      <c r="I831" s="3" t="s">
        <v>221</v>
      </c>
      <c r="J831" s="3" t="s">
        <v>222</v>
      </c>
      <c r="K831" s="3" t="s">
        <v>62</v>
      </c>
      <c r="L831" s="3" t="s">
        <v>81</v>
      </c>
      <c r="M831" s="3" t="s">
        <v>2607</v>
      </c>
      <c r="N831" s="3" t="s">
        <v>49</v>
      </c>
      <c r="O831" s="3" t="s">
        <v>43</v>
      </c>
      <c r="P831" s="5" t="n">
        <v>7</v>
      </c>
      <c r="Q831" s="6" t="n">
        <v>1035.14</v>
      </c>
      <c r="R831" s="3" t="s">
        <v>203</v>
      </c>
      <c r="S831" s="7" t="n">
        <v>0.1</v>
      </c>
      <c r="T831" s="3" t="s">
        <v>51</v>
      </c>
      <c r="U831" s="7" t="n">
        <f aca="false">IF(T831="Valid",S831,0)</f>
        <v>0.1</v>
      </c>
      <c r="V831" s="6" t="n">
        <v>6521.38</v>
      </c>
      <c r="W831" s="6" t="n">
        <v>4511.1</v>
      </c>
      <c r="X831" s="6" t="n">
        <v>2010.28</v>
      </c>
      <c r="Y831" s="6" t="n">
        <f aca="false">P831*Q831*(1-U831)</f>
        <v>6521.382</v>
      </c>
      <c r="Z831" s="6" t="n">
        <f aca="false">Y831-W831</f>
        <v>2010.282</v>
      </c>
      <c r="AA831" s="8" t="n">
        <f aca="false">IF(Y831=0,0,Z831/Y831)</f>
        <v>0.308260120324189</v>
      </c>
      <c r="AB831" s="3" t="str">
        <f aca="false">IF(ABS(V831-Y831)&gt;1,"Mismatch","OK")</f>
        <v>OK</v>
      </c>
      <c r="AC831" s="3" t="str">
        <f aca="false">IF(ABS(X831-Z831)&gt;1,"Mismatch","OK")</f>
        <v>OK</v>
      </c>
      <c r="AD831" s="5" t="n">
        <f aca="false">IF(OR(B831="",C831=""),"",C831-B831)</f>
        <v>2</v>
      </c>
      <c r="AE831" s="3" t="str">
        <f aca="false">IF(AD831="","Unknown",IF(AD831&lt;0,"Invalid - Ship Before Order","OK"))</f>
        <v>OK</v>
      </c>
      <c r="AF831" s="5" t="n">
        <f aca="false">IF(B831="","",MONTH(B831))</f>
        <v>2</v>
      </c>
      <c r="AG831" s="5" t="n">
        <f aca="false">IF(B831="","",YEAR(B831))</f>
        <v>2024</v>
      </c>
      <c r="AH831" s="3" t="s">
        <v>52</v>
      </c>
      <c r="AI831" s="3" t="s">
        <v>53</v>
      </c>
      <c r="AJ831" s="3" t="str">
        <f aca="false">IF(AND(AI831="Completed",AH831="Failed"),"Inconsistent - Completed Order with Failed Payment","OK")</f>
        <v>OK</v>
      </c>
      <c r="AK831" s="3" t="s">
        <v>54</v>
      </c>
      <c r="AL831" s="3" t="str">
        <f aca="false">IF(OR(T831="Negative - Invalid",T831="Above Allowed Range - Invalid",AE831="Invalid - Ship Before Order",AK831&lt;&gt;"Unique",AB831="Mismatch",AC831="Mismatch",AJ831&lt;&gt;"OK"),"Invalid",IF(OR(H831="Yes",O831="Yes",T831="Missing"),"Warning","Clean"))</f>
        <v>Clean</v>
      </c>
    </row>
    <row r="832" customFormat="false" ht="15" hidden="false" customHeight="true" outlineLevel="0" collapsed="false">
      <c r="A832" s="3" t="s">
        <v>2608</v>
      </c>
      <c r="B832" s="4" t="n">
        <v>45853</v>
      </c>
      <c r="C832" s="4" t="n">
        <v>45856</v>
      </c>
      <c r="D832" s="3" t="s">
        <v>2609</v>
      </c>
      <c r="E832" s="3" t="s">
        <v>115</v>
      </c>
      <c r="F832" s="3" t="s">
        <v>58</v>
      </c>
      <c r="G832" s="3" t="s">
        <v>237</v>
      </c>
      <c r="H832" s="3" t="s">
        <v>238</v>
      </c>
      <c r="I832" s="3" t="s">
        <v>281</v>
      </c>
      <c r="J832" s="3" t="s">
        <v>282</v>
      </c>
      <c r="K832" s="3" t="s">
        <v>99</v>
      </c>
      <c r="L832" s="3" t="s">
        <v>308</v>
      </c>
      <c r="M832" s="3" t="s">
        <v>2610</v>
      </c>
      <c r="N832" s="3" t="s">
        <v>72</v>
      </c>
      <c r="O832" s="3" t="s">
        <v>43</v>
      </c>
      <c r="P832" s="5" t="n">
        <v>6</v>
      </c>
      <c r="Q832" s="6" t="n">
        <v>2382.88</v>
      </c>
      <c r="R832" s="3" t="s">
        <v>203</v>
      </c>
      <c r="S832" s="7" t="n">
        <v>0.1</v>
      </c>
      <c r="T832" s="3" t="s">
        <v>51</v>
      </c>
      <c r="U832" s="7" t="n">
        <f aca="false">IF(T832="Valid",S832,0)</f>
        <v>0.1</v>
      </c>
      <c r="V832" s="6" t="n">
        <v>12867.55</v>
      </c>
      <c r="W832" s="6" t="n">
        <v>10068.94</v>
      </c>
      <c r="X832" s="6" t="n">
        <v>2798.61</v>
      </c>
      <c r="Y832" s="6" t="n">
        <f aca="false">P832*Q832*(1-U832)</f>
        <v>12867.552</v>
      </c>
      <c r="Z832" s="6" t="n">
        <f aca="false">Y832-W832</f>
        <v>2798.612</v>
      </c>
      <c r="AA832" s="8" t="n">
        <f aca="false">IF(Y832=0,0,Z832/Y832)</f>
        <v>0.217493739290892</v>
      </c>
      <c r="AB832" s="3" t="str">
        <f aca="false">IF(ABS(V832-Y832)&gt;1,"Mismatch","OK")</f>
        <v>OK</v>
      </c>
      <c r="AC832" s="3" t="str">
        <f aca="false">IF(ABS(X832-Z832)&gt;1,"Mismatch","OK")</f>
        <v>OK</v>
      </c>
      <c r="AD832" s="5" t="n">
        <f aca="false">IF(OR(B832="",C832=""),"",C832-B832)</f>
        <v>3</v>
      </c>
      <c r="AE832" s="3" t="str">
        <f aca="false">IF(AD832="","Unknown",IF(AD832&lt;0,"Invalid - Ship Before Order","OK"))</f>
        <v>OK</v>
      </c>
      <c r="AF832" s="5" t="n">
        <f aca="false">IF(B832="","",MONTH(B832))</f>
        <v>7</v>
      </c>
      <c r="AG832" s="5" t="n">
        <f aca="false">IF(B832="","",YEAR(B832))</f>
        <v>2025</v>
      </c>
      <c r="AH832" s="3" t="s">
        <v>52</v>
      </c>
      <c r="AI832" s="3" t="s">
        <v>53</v>
      </c>
      <c r="AJ832" s="3" t="str">
        <f aca="false">IF(AND(AI832="Completed",AH832="Failed"),"Inconsistent - Completed Order with Failed Payment","OK")</f>
        <v>OK</v>
      </c>
      <c r="AK832" s="3" t="s">
        <v>54</v>
      </c>
      <c r="AL832" s="3" t="str">
        <f aca="false">IF(OR(T832="Negative - Invalid",T832="Above Allowed Range - Invalid",AE832="Invalid - Ship Before Order",AK832&lt;&gt;"Unique",AB832="Mismatch",AC832="Mismatch",AJ832&lt;&gt;"OK"),"Invalid",IF(OR(H832="Yes",O832="Yes",T832="Missing"),"Warning","Clean"))</f>
        <v>Warning</v>
      </c>
    </row>
    <row r="833" customFormat="false" ht="15" hidden="false" customHeight="true" outlineLevel="0" collapsed="false">
      <c r="A833" s="3" t="s">
        <v>2611</v>
      </c>
      <c r="B833" s="4" t="n">
        <v>45750</v>
      </c>
      <c r="C833" s="4" t="n">
        <v>45750</v>
      </c>
      <c r="D833" s="3" t="s">
        <v>2612</v>
      </c>
      <c r="E833" s="3" t="s">
        <v>192</v>
      </c>
      <c r="F833" s="3" t="s">
        <v>121</v>
      </c>
      <c r="G833" s="3" t="s">
        <v>237</v>
      </c>
      <c r="H833" s="3" t="s">
        <v>238</v>
      </c>
      <c r="I833" s="3" t="s">
        <v>270</v>
      </c>
      <c r="J833" s="3" t="s">
        <v>271</v>
      </c>
      <c r="K833" s="3" t="s">
        <v>62</v>
      </c>
      <c r="L833" s="3" t="s">
        <v>91</v>
      </c>
      <c r="M833" s="3" t="s">
        <v>2613</v>
      </c>
      <c r="N833" s="3" t="s">
        <v>72</v>
      </c>
      <c r="O833" s="3" t="s">
        <v>43</v>
      </c>
      <c r="P833" s="5" t="n">
        <v>9</v>
      </c>
      <c r="Q833" s="6" t="n">
        <v>3462.7</v>
      </c>
      <c r="R833" s="3" t="s">
        <v>107</v>
      </c>
      <c r="S833" s="7" t="n">
        <v>0.15</v>
      </c>
      <c r="T833" s="3" t="s">
        <v>51</v>
      </c>
      <c r="U833" s="7" t="n">
        <f aca="false">IF(T833="Valid",S833,0)</f>
        <v>0.15</v>
      </c>
      <c r="V833" s="6" t="n">
        <v>26489.65</v>
      </c>
      <c r="W833" s="6" t="n">
        <v>15818.46</v>
      </c>
      <c r="X833" s="6" t="n">
        <v>10671.19</v>
      </c>
      <c r="Y833" s="6" t="n">
        <f aca="false">P833*Q833*(1-U833)</f>
        <v>26489.655</v>
      </c>
      <c r="Z833" s="6" t="n">
        <f aca="false">Y833-W833</f>
        <v>10671.195</v>
      </c>
      <c r="AA833" s="8" t="n">
        <f aca="false">IF(Y833=0,0,Z833/Y833)</f>
        <v>0.402843864897448</v>
      </c>
      <c r="AB833" s="3" t="str">
        <f aca="false">IF(ABS(V833-Y833)&gt;1,"Mismatch","OK")</f>
        <v>OK</v>
      </c>
      <c r="AC833" s="3" t="str">
        <f aca="false">IF(ABS(X833-Z833)&gt;1,"Mismatch","OK")</f>
        <v>OK</v>
      </c>
      <c r="AD833" s="5" t="n">
        <f aca="false">IF(OR(B833="",C833=""),"",C833-B833)</f>
        <v>0</v>
      </c>
      <c r="AE833" s="3" t="str">
        <f aca="false">IF(AD833="","Unknown",IF(AD833&lt;0,"Invalid - Ship Before Order","OK"))</f>
        <v>OK</v>
      </c>
      <c r="AF833" s="5" t="n">
        <f aca="false">IF(B833="","",MONTH(B833))</f>
        <v>4</v>
      </c>
      <c r="AG833" s="5" t="n">
        <f aca="false">IF(B833="","",YEAR(B833))</f>
        <v>2025</v>
      </c>
      <c r="AH833" s="3" t="s">
        <v>185</v>
      </c>
      <c r="AI833" s="3" t="s">
        <v>130</v>
      </c>
      <c r="AJ833" s="3" t="str">
        <f aca="false">IF(AND(AI833="Completed",AH833="Failed"),"Inconsistent - Completed Order with Failed Payment","OK")</f>
        <v>OK</v>
      </c>
      <c r="AK833" s="3" t="s">
        <v>54</v>
      </c>
      <c r="AL833" s="3" t="str">
        <f aca="false">IF(OR(T833="Negative - Invalid",T833="Above Allowed Range - Invalid",AE833="Invalid - Ship Before Order",AK833&lt;&gt;"Unique",AB833="Mismatch",AC833="Mismatch",AJ833&lt;&gt;"OK"),"Invalid",IF(OR(H833="Yes",O833="Yes",T833="Missing"),"Warning","Clean"))</f>
        <v>Warning</v>
      </c>
    </row>
    <row r="834" customFormat="false" ht="15" hidden="false" customHeight="true" outlineLevel="0" collapsed="false">
      <c r="A834" s="3" t="s">
        <v>2614</v>
      </c>
      <c r="B834" s="4" t="n">
        <v>45803</v>
      </c>
      <c r="C834" s="4" t="n">
        <v>45805</v>
      </c>
      <c r="D834" s="3" t="s">
        <v>2615</v>
      </c>
      <c r="E834" s="3" t="s">
        <v>298</v>
      </c>
      <c r="F834" s="3" t="s">
        <v>58</v>
      </c>
      <c r="G834" s="3" t="s">
        <v>78</v>
      </c>
      <c r="H834" s="3" t="s">
        <v>43</v>
      </c>
      <c r="I834" s="3" t="s">
        <v>110</v>
      </c>
      <c r="J834" s="3" t="s">
        <v>111</v>
      </c>
      <c r="K834" s="3" t="s">
        <v>99</v>
      </c>
      <c r="L834" s="3" t="s">
        <v>201</v>
      </c>
      <c r="M834" s="3" t="s">
        <v>2616</v>
      </c>
      <c r="N834" s="3" t="s">
        <v>49</v>
      </c>
      <c r="O834" s="3" t="s">
        <v>43</v>
      </c>
      <c r="P834" s="5" t="n">
        <v>9</v>
      </c>
      <c r="Q834" s="6" t="n">
        <v>4302.02</v>
      </c>
      <c r="R834" s="3" t="s">
        <v>128</v>
      </c>
      <c r="S834" s="7" t="n">
        <v>0.05</v>
      </c>
      <c r="T834" s="3" t="s">
        <v>51</v>
      </c>
      <c r="U834" s="7" t="n">
        <f aca="false">IF(T834="Valid",S834,0)</f>
        <v>0.05</v>
      </c>
      <c r="V834" s="6" t="n">
        <v>36782.27</v>
      </c>
      <c r="W834" s="6" t="n">
        <v>25902.81</v>
      </c>
      <c r="X834" s="6" t="n">
        <v>10879.46</v>
      </c>
      <c r="Y834" s="6" t="n">
        <f aca="false">P834*Q834*(1-U834)</f>
        <v>36782.271</v>
      </c>
      <c r="Z834" s="6" t="n">
        <f aca="false">Y834-W834</f>
        <v>10879.461</v>
      </c>
      <c r="AA834" s="8" t="n">
        <f aca="false">IF(Y834=0,0,Z834/Y834)</f>
        <v>0.295780024022987</v>
      </c>
      <c r="AB834" s="3" t="str">
        <f aca="false">IF(ABS(V834-Y834)&gt;1,"Mismatch","OK")</f>
        <v>OK</v>
      </c>
      <c r="AC834" s="3" t="str">
        <f aca="false">IF(ABS(X834-Z834)&gt;1,"Mismatch","OK")</f>
        <v>OK</v>
      </c>
      <c r="AD834" s="5" t="n">
        <f aca="false">IF(OR(B834="",C834=""),"",C834-B834)</f>
        <v>2</v>
      </c>
      <c r="AE834" s="3" t="str">
        <f aca="false">IF(AD834="","Unknown",IF(AD834&lt;0,"Invalid - Ship Before Order","OK"))</f>
        <v>OK</v>
      </c>
      <c r="AF834" s="5" t="n">
        <f aca="false">IF(B834="","",MONTH(B834))</f>
        <v>5</v>
      </c>
      <c r="AG834" s="5" t="n">
        <f aca="false">IF(B834="","",YEAR(B834))</f>
        <v>2025</v>
      </c>
      <c r="AH834" s="3" t="s">
        <v>52</v>
      </c>
      <c r="AI834" s="3" t="s">
        <v>53</v>
      </c>
      <c r="AJ834" s="3" t="str">
        <f aca="false">IF(AND(AI834="Completed",AH834="Failed"),"Inconsistent - Completed Order with Failed Payment","OK")</f>
        <v>OK</v>
      </c>
      <c r="AK834" s="3" t="s">
        <v>54</v>
      </c>
      <c r="AL834" s="3" t="str">
        <f aca="false">IF(OR(T834="Negative - Invalid",T834="Above Allowed Range - Invalid",AE834="Invalid - Ship Before Order",AK834&lt;&gt;"Unique",AB834="Mismatch",AC834="Mismatch",AJ834&lt;&gt;"OK"),"Invalid",IF(OR(H834="Yes",O834="Yes",T834="Missing"),"Warning","Clean"))</f>
        <v>Clean</v>
      </c>
    </row>
    <row r="835" customFormat="false" ht="15" hidden="false" customHeight="true" outlineLevel="0" collapsed="false">
      <c r="A835" s="3" t="s">
        <v>2617</v>
      </c>
      <c r="B835" s="4" t="n">
        <v>45447</v>
      </c>
      <c r="C835" s="4" t="n">
        <v>45447</v>
      </c>
      <c r="D835" s="3" t="s">
        <v>2618</v>
      </c>
      <c r="E835" s="3" t="s">
        <v>145</v>
      </c>
      <c r="F835" s="3" t="s">
        <v>121</v>
      </c>
      <c r="G835" s="3" t="s">
        <v>59</v>
      </c>
      <c r="H835" s="3" t="s">
        <v>43</v>
      </c>
      <c r="I835" s="3" t="s">
        <v>125</v>
      </c>
      <c r="J835" s="3" t="s">
        <v>126</v>
      </c>
      <c r="K835" s="3" t="s">
        <v>62</v>
      </c>
      <c r="L835" s="3" t="s">
        <v>188</v>
      </c>
      <c r="M835" s="3" t="s">
        <v>2619</v>
      </c>
      <c r="N835" s="3" t="s">
        <v>72</v>
      </c>
      <c r="O835" s="3" t="s">
        <v>43</v>
      </c>
      <c r="P835" s="5" t="n">
        <v>6</v>
      </c>
      <c r="Q835" s="6" t="n">
        <v>3949.4</v>
      </c>
      <c r="R835" s="3" t="s">
        <v>66</v>
      </c>
      <c r="S835" s="7" t="n">
        <v>0</v>
      </c>
      <c r="T835" s="3" t="s">
        <v>51</v>
      </c>
      <c r="U835" s="7" t="n">
        <f aca="false">IF(T835="Valid",S835,0)</f>
        <v>0</v>
      </c>
      <c r="V835" s="6" t="n">
        <v>23696.4</v>
      </c>
      <c r="W835" s="6" t="n">
        <v>18109.77</v>
      </c>
      <c r="X835" s="6" t="n">
        <v>5586.63</v>
      </c>
      <c r="Y835" s="6" t="n">
        <f aca="false">P835*Q835*(1-U835)</f>
        <v>23696.4</v>
      </c>
      <c r="Z835" s="6" t="n">
        <f aca="false">Y835-W835</f>
        <v>5586.63</v>
      </c>
      <c r="AA835" s="8" t="n">
        <f aca="false">IF(Y835=0,0,Z835/Y835)</f>
        <v>0.235758596242467</v>
      </c>
      <c r="AB835" s="3" t="str">
        <f aca="false">IF(ABS(V835-Y835)&gt;1,"Mismatch","OK")</f>
        <v>OK</v>
      </c>
      <c r="AC835" s="3" t="str">
        <f aca="false">IF(ABS(X835-Z835)&gt;1,"Mismatch","OK")</f>
        <v>OK</v>
      </c>
      <c r="AD835" s="5" t="n">
        <f aca="false">IF(OR(B835="",C835=""),"",C835-B835)</f>
        <v>0</v>
      </c>
      <c r="AE835" s="3" t="str">
        <f aca="false">IF(AD835="","Unknown",IF(AD835&lt;0,"Invalid - Ship Before Order","OK"))</f>
        <v>OK</v>
      </c>
      <c r="AF835" s="5" t="n">
        <f aca="false">IF(B835="","",MONTH(B835))</f>
        <v>6</v>
      </c>
      <c r="AG835" s="5" t="n">
        <f aca="false">IF(B835="","",YEAR(B835))</f>
        <v>2024</v>
      </c>
      <c r="AH835" s="3" t="s">
        <v>52</v>
      </c>
      <c r="AI835" s="3" t="s">
        <v>53</v>
      </c>
      <c r="AJ835" s="3" t="str">
        <f aca="false">IF(AND(AI835="Completed",AH835="Failed"),"Inconsistent - Completed Order with Failed Payment","OK")</f>
        <v>OK</v>
      </c>
      <c r="AK835" s="3" t="s">
        <v>54</v>
      </c>
      <c r="AL835" s="3" t="str">
        <f aca="false">IF(OR(T835="Negative - Invalid",T835="Above Allowed Range - Invalid",AE835="Invalid - Ship Before Order",AK835&lt;&gt;"Unique",AB835="Mismatch",AC835="Mismatch",AJ835&lt;&gt;"OK"),"Invalid",IF(OR(H835="Yes",O835="Yes",T835="Missing"),"Warning","Clean"))</f>
        <v>Clean</v>
      </c>
    </row>
    <row r="836" customFormat="false" ht="15" hidden="false" customHeight="true" outlineLevel="0" collapsed="false">
      <c r="A836" s="3" t="s">
        <v>2620</v>
      </c>
      <c r="B836" s="4" t="n">
        <v>45583</v>
      </c>
      <c r="C836" s="4" t="n">
        <v>45587</v>
      </c>
      <c r="D836" s="3" t="s">
        <v>2621</v>
      </c>
      <c r="E836" s="3" t="s">
        <v>155</v>
      </c>
      <c r="F836" s="3" t="s">
        <v>121</v>
      </c>
      <c r="G836" s="3" t="s">
        <v>78</v>
      </c>
      <c r="H836" s="3" t="s">
        <v>43</v>
      </c>
      <c r="I836" s="3" t="s">
        <v>79</v>
      </c>
      <c r="J836" s="3" t="s">
        <v>80</v>
      </c>
      <c r="K836" s="3" t="s">
        <v>46</v>
      </c>
      <c r="L836" s="3" t="s">
        <v>70</v>
      </c>
      <c r="M836" s="3" t="s">
        <v>2622</v>
      </c>
      <c r="N836" s="3" t="s">
        <v>72</v>
      </c>
      <c r="O836" s="3" t="s">
        <v>43</v>
      </c>
      <c r="P836" s="5" t="n">
        <v>6</v>
      </c>
      <c r="Q836" s="6" t="n">
        <v>674.61</v>
      </c>
      <c r="R836" s="3" t="s">
        <v>66</v>
      </c>
      <c r="S836" s="7" t="n">
        <v>0</v>
      </c>
      <c r="T836" s="3" t="s">
        <v>51</v>
      </c>
      <c r="U836" s="7" t="n">
        <f aca="false">IF(T836="Valid",S836,0)</f>
        <v>0</v>
      </c>
      <c r="V836" s="6" t="n">
        <v>4047.66</v>
      </c>
      <c r="W836" s="6" t="n">
        <v>3078.93</v>
      </c>
      <c r="X836" s="6" t="n">
        <v>1279.79</v>
      </c>
      <c r="Y836" s="6" t="n">
        <f aca="false">P836*Q836*(1-U836)</f>
        <v>4047.66</v>
      </c>
      <c r="Z836" s="6" t="n">
        <f aca="false">Y836-W836</f>
        <v>968.73</v>
      </c>
      <c r="AA836" s="8" t="n">
        <f aca="false">IF(Y836=0,0,Z836/Y836)</f>
        <v>0.239330872652347</v>
      </c>
      <c r="AB836" s="3" t="str">
        <f aca="false">IF(ABS(V836-Y836)&gt;1,"Mismatch","OK")</f>
        <v>OK</v>
      </c>
      <c r="AC836" s="3" t="str">
        <f aca="false">IF(ABS(X836-Z836)&gt;1,"Mismatch","OK")</f>
        <v>Mismatch</v>
      </c>
      <c r="AD836" s="5" t="n">
        <f aca="false">IF(OR(B836="",C836=""),"",C836-B836)</f>
        <v>4</v>
      </c>
      <c r="AE836" s="3" t="str">
        <f aca="false">IF(AD836="","Unknown",IF(AD836&lt;0,"Invalid - Ship Before Order","OK"))</f>
        <v>OK</v>
      </c>
      <c r="AF836" s="5" t="n">
        <f aca="false">IF(B836="","",MONTH(B836))</f>
        <v>10</v>
      </c>
      <c r="AG836" s="5" t="n">
        <f aca="false">IF(B836="","",YEAR(B836))</f>
        <v>2024</v>
      </c>
      <c r="AH836" s="3" t="s">
        <v>52</v>
      </c>
      <c r="AI836" s="3" t="s">
        <v>53</v>
      </c>
      <c r="AJ836" s="3" t="str">
        <f aca="false">IF(AND(AI836="Completed",AH836="Failed"),"Inconsistent - Completed Order with Failed Payment","OK")</f>
        <v>OK</v>
      </c>
      <c r="AK836" s="3" t="s">
        <v>54</v>
      </c>
      <c r="AL836" s="3" t="str">
        <f aca="false">IF(OR(T836="Negative - Invalid",T836="Above Allowed Range - Invalid",AE836="Invalid - Ship Before Order",AK836&lt;&gt;"Unique",AB836="Mismatch",AC836="Mismatch",AJ836&lt;&gt;"OK"),"Invalid",IF(OR(H836="Yes",O836="Yes",T836="Missing"),"Warning","Clean"))</f>
        <v>Invalid</v>
      </c>
    </row>
    <row r="837" customFormat="false" ht="15" hidden="false" customHeight="true" outlineLevel="0" collapsed="false">
      <c r="A837" s="3" t="s">
        <v>2623</v>
      </c>
      <c r="B837" s="4" t="n">
        <v>45926</v>
      </c>
      <c r="C837" s="4" t="n">
        <v>45934</v>
      </c>
      <c r="D837" s="3" t="s">
        <v>2624</v>
      </c>
      <c r="E837" s="3" t="s">
        <v>141</v>
      </c>
      <c r="F837" s="3" t="s">
        <v>58</v>
      </c>
      <c r="G837" s="3" t="s">
        <v>59</v>
      </c>
      <c r="H837" s="3" t="s">
        <v>43</v>
      </c>
      <c r="I837" s="3" t="s">
        <v>196</v>
      </c>
      <c r="J837" s="3" t="s">
        <v>197</v>
      </c>
      <c r="K837" s="3" t="s">
        <v>99</v>
      </c>
      <c r="L837" s="3" t="s">
        <v>201</v>
      </c>
      <c r="M837" s="3" t="s">
        <v>2625</v>
      </c>
      <c r="N837" s="3" t="s">
        <v>49</v>
      </c>
      <c r="O837" s="3" t="s">
        <v>43</v>
      </c>
      <c r="P837" s="5" t="n">
        <v>7</v>
      </c>
      <c r="Q837" s="6" t="n">
        <v>1509.59</v>
      </c>
      <c r="R837" s="3" t="s">
        <v>128</v>
      </c>
      <c r="S837" s="7" t="n">
        <v>0.05</v>
      </c>
      <c r="T837" s="3" t="s">
        <v>51</v>
      </c>
      <c r="U837" s="7" t="n">
        <f aca="false">IF(T837="Valid",S837,0)</f>
        <v>0.05</v>
      </c>
      <c r="V837" s="6" t="n">
        <v>10038.77</v>
      </c>
      <c r="W837" s="6" t="n">
        <v>5673.1</v>
      </c>
      <c r="X837" s="6" t="n">
        <v>4365.67</v>
      </c>
      <c r="Y837" s="6" t="n">
        <f aca="false">P837*Q837*(1-U837)</f>
        <v>10038.7735</v>
      </c>
      <c r="Z837" s="6" t="n">
        <f aca="false">Y837-W837</f>
        <v>4365.6735</v>
      </c>
      <c r="AA837" s="8" t="n">
        <f aca="false">IF(Y837=0,0,Z837/Y837)</f>
        <v>0.434881163520623</v>
      </c>
      <c r="AB837" s="3" t="str">
        <f aca="false">IF(ABS(V837-Y837)&gt;1,"Mismatch","OK")</f>
        <v>OK</v>
      </c>
      <c r="AC837" s="3" t="str">
        <f aca="false">IF(ABS(X837-Z837)&gt;1,"Mismatch","OK")</f>
        <v>OK</v>
      </c>
      <c r="AD837" s="5" t="n">
        <f aca="false">IF(OR(B837="",C837=""),"",C837-B837)</f>
        <v>8</v>
      </c>
      <c r="AE837" s="3" t="str">
        <f aca="false">IF(AD837="","Unknown",IF(AD837&lt;0,"Invalid - Ship Before Order","OK"))</f>
        <v>OK</v>
      </c>
      <c r="AF837" s="5" t="n">
        <f aca="false">IF(B837="","",MONTH(B837))</f>
        <v>9</v>
      </c>
      <c r="AG837" s="5" t="n">
        <f aca="false">IF(B837="","",YEAR(B837))</f>
        <v>2025</v>
      </c>
      <c r="AH837" s="3" t="s">
        <v>52</v>
      </c>
      <c r="AI837" s="3" t="s">
        <v>53</v>
      </c>
      <c r="AJ837" s="3" t="str">
        <f aca="false">IF(AND(AI837="Completed",AH837="Failed"),"Inconsistent - Completed Order with Failed Payment","OK")</f>
        <v>OK</v>
      </c>
      <c r="AK837" s="3" t="s">
        <v>54</v>
      </c>
      <c r="AL837" s="3" t="str">
        <f aca="false">IF(OR(T837="Negative - Invalid",T837="Above Allowed Range - Invalid",AE837="Invalid - Ship Before Order",AK837&lt;&gt;"Unique",AB837="Mismatch",AC837="Mismatch",AJ837&lt;&gt;"OK"),"Invalid",IF(OR(H837="Yes",O837="Yes",T837="Missing"),"Warning","Clean"))</f>
        <v>Clean</v>
      </c>
    </row>
    <row r="838" customFormat="false" ht="15" hidden="false" customHeight="true" outlineLevel="0" collapsed="false">
      <c r="A838" s="3" t="s">
        <v>2626</v>
      </c>
      <c r="B838" s="4" t="n">
        <v>45641</v>
      </c>
      <c r="C838" s="4" t="n">
        <v>45644</v>
      </c>
      <c r="D838" s="3" t="s">
        <v>2627</v>
      </c>
      <c r="E838" s="3" t="s">
        <v>69</v>
      </c>
      <c r="F838" s="3" t="s">
        <v>58</v>
      </c>
      <c r="G838" s="3" t="s">
        <v>42</v>
      </c>
      <c r="H838" s="3" t="s">
        <v>43</v>
      </c>
      <c r="I838" s="3" t="s">
        <v>44</v>
      </c>
      <c r="J838" s="3" t="s">
        <v>45</v>
      </c>
      <c r="K838" s="3" t="s">
        <v>46</v>
      </c>
      <c r="L838" s="3" t="s">
        <v>117</v>
      </c>
      <c r="M838" s="3" t="s">
        <v>2628</v>
      </c>
      <c r="N838" s="3" t="s">
        <v>49</v>
      </c>
      <c r="O838" s="3" t="s">
        <v>43</v>
      </c>
      <c r="P838" s="5" t="n">
        <v>2</v>
      </c>
      <c r="Q838" s="6" t="n">
        <v>537.11</v>
      </c>
      <c r="R838" s="3" t="s">
        <v>66</v>
      </c>
      <c r="S838" s="7" t="n">
        <v>0</v>
      </c>
      <c r="T838" s="3" t="s">
        <v>51</v>
      </c>
      <c r="U838" s="7" t="n">
        <f aca="false">IF(T838="Valid",S838,0)</f>
        <v>0</v>
      </c>
      <c r="V838" s="6" t="n">
        <v>1074.22</v>
      </c>
      <c r="W838" s="6" t="n">
        <v>850.86</v>
      </c>
      <c r="X838" s="6" t="n">
        <v>223.36</v>
      </c>
      <c r="Y838" s="6" t="n">
        <f aca="false">P838*Q838*(1-U838)</f>
        <v>1074.22</v>
      </c>
      <c r="Z838" s="6" t="n">
        <f aca="false">Y838-W838</f>
        <v>223.36</v>
      </c>
      <c r="AA838" s="8" t="n">
        <f aca="false">IF(Y838=0,0,Z838/Y838)</f>
        <v>0.207927612593324</v>
      </c>
      <c r="AB838" s="3" t="str">
        <f aca="false">IF(ABS(V838-Y838)&gt;1,"Mismatch","OK")</f>
        <v>OK</v>
      </c>
      <c r="AC838" s="3" t="str">
        <f aca="false">IF(ABS(X838-Z838)&gt;1,"Mismatch","OK")</f>
        <v>OK</v>
      </c>
      <c r="AD838" s="5" t="n">
        <f aca="false">IF(OR(B838="",C838=""),"",C838-B838)</f>
        <v>3</v>
      </c>
      <c r="AE838" s="3" t="str">
        <f aca="false">IF(AD838="","Unknown",IF(AD838&lt;0,"Invalid - Ship Before Order","OK"))</f>
        <v>OK</v>
      </c>
      <c r="AF838" s="5" t="n">
        <f aca="false">IF(B838="","",MONTH(B838))</f>
        <v>12</v>
      </c>
      <c r="AG838" s="5" t="n">
        <f aca="false">IF(B838="","",YEAR(B838))</f>
        <v>2024</v>
      </c>
      <c r="AH838" s="3" t="s">
        <v>52</v>
      </c>
      <c r="AI838" s="3" t="s">
        <v>53</v>
      </c>
      <c r="AJ838" s="3" t="str">
        <f aca="false">IF(AND(AI838="Completed",AH838="Failed"),"Inconsistent - Completed Order with Failed Payment","OK")</f>
        <v>OK</v>
      </c>
      <c r="AK838" s="3" t="s">
        <v>54</v>
      </c>
      <c r="AL838" s="3" t="str">
        <f aca="false">IF(OR(T838="Negative - Invalid",T838="Above Allowed Range - Invalid",AE838="Invalid - Ship Before Order",AK838&lt;&gt;"Unique",AB838="Mismatch",AC838="Mismatch",AJ838&lt;&gt;"OK"),"Invalid",IF(OR(H838="Yes",O838="Yes",T838="Missing"),"Warning","Clean"))</f>
        <v>Clean</v>
      </c>
    </row>
    <row r="839" customFormat="false" ht="15" hidden="false" customHeight="true" outlineLevel="0" collapsed="false">
      <c r="A839" s="3" t="s">
        <v>2629</v>
      </c>
      <c r="B839" s="4" t="n">
        <v>45927</v>
      </c>
      <c r="C839" s="4" t="n">
        <v>45928</v>
      </c>
      <c r="D839" s="3" t="s">
        <v>2630</v>
      </c>
      <c r="E839" s="3" t="s">
        <v>40</v>
      </c>
      <c r="F839" s="3" t="s">
        <v>121</v>
      </c>
      <c r="G839" s="3" t="s">
        <v>88</v>
      </c>
      <c r="H839" s="3" t="s">
        <v>43</v>
      </c>
      <c r="I839" s="3" t="s">
        <v>89</v>
      </c>
      <c r="J839" s="3" t="s">
        <v>90</v>
      </c>
      <c r="K839" s="3" t="s">
        <v>46</v>
      </c>
      <c r="L839" s="3" t="s">
        <v>47</v>
      </c>
      <c r="M839" s="3" t="s">
        <v>2631</v>
      </c>
      <c r="N839" s="3" t="s">
        <v>72</v>
      </c>
      <c r="O839" s="3" t="s">
        <v>43</v>
      </c>
      <c r="P839" s="5" t="n">
        <v>3</v>
      </c>
      <c r="Q839" s="6" t="n">
        <v>4177.63</v>
      </c>
      <c r="R839" s="3" t="s">
        <v>84</v>
      </c>
      <c r="S839" s="7" t="n">
        <v>0.25</v>
      </c>
      <c r="T839" s="3" t="s">
        <v>51</v>
      </c>
      <c r="U839" s="7" t="n">
        <f aca="false">IF(T839="Valid",S839,0)</f>
        <v>0.25</v>
      </c>
      <c r="V839" s="6" t="n">
        <v>9399.67</v>
      </c>
      <c r="W839" s="6" t="n">
        <v>6540.37</v>
      </c>
      <c r="X839" s="6" t="n">
        <v>2859.3</v>
      </c>
      <c r="Y839" s="6" t="n">
        <f aca="false">P839*Q839*(1-U839)</f>
        <v>9399.6675</v>
      </c>
      <c r="Z839" s="6" t="n">
        <f aca="false">Y839-W839</f>
        <v>2859.2975</v>
      </c>
      <c r="AA839" s="8" t="n">
        <f aca="false">IF(Y839=0,0,Z839/Y839)</f>
        <v>0.304191345066195</v>
      </c>
      <c r="AB839" s="3" t="str">
        <f aca="false">IF(ABS(V839-Y839)&gt;1,"Mismatch","OK")</f>
        <v>OK</v>
      </c>
      <c r="AC839" s="3" t="str">
        <f aca="false">IF(ABS(X839-Z839)&gt;1,"Mismatch","OK")</f>
        <v>OK</v>
      </c>
      <c r="AD839" s="5" t="n">
        <f aca="false">IF(OR(B839="",C839=""),"",C839-B839)</f>
        <v>1</v>
      </c>
      <c r="AE839" s="3" t="str">
        <f aca="false">IF(AD839="","Unknown",IF(AD839&lt;0,"Invalid - Ship Before Order","OK"))</f>
        <v>OK</v>
      </c>
      <c r="AF839" s="5" t="n">
        <f aca="false">IF(B839="","",MONTH(B839))</f>
        <v>9</v>
      </c>
      <c r="AG839" s="5" t="n">
        <f aca="false">IF(B839="","",YEAR(B839))</f>
        <v>2025</v>
      </c>
      <c r="AH839" s="3" t="s">
        <v>52</v>
      </c>
      <c r="AI839" s="3" t="s">
        <v>53</v>
      </c>
      <c r="AJ839" s="3" t="str">
        <f aca="false">IF(AND(AI839="Completed",AH839="Failed"),"Inconsistent - Completed Order with Failed Payment","OK")</f>
        <v>OK</v>
      </c>
      <c r="AK839" s="3" t="s">
        <v>54</v>
      </c>
      <c r="AL839" s="3" t="str">
        <f aca="false">IF(OR(T839="Negative - Invalid",T839="Above Allowed Range - Invalid",AE839="Invalid - Ship Before Order",AK839&lt;&gt;"Unique",AB839="Mismatch",AC839="Mismatch",AJ839&lt;&gt;"OK"),"Invalid",IF(OR(H839="Yes",O839="Yes",T839="Missing"),"Warning","Clean"))</f>
        <v>Clean</v>
      </c>
    </row>
    <row r="840" customFormat="false" ht="15" hidden="false" customHeight="true" outlineLevel="0" collapsed="false">
      <c r="A840" s="3" t="s">
        <v>2632</v>
      </c>
      <c r="B840" s="4" t="n">
        <v>45750</v>
      </c>
      <c r="C840" s="4" t="n">
        <v>45754</v>
      </c>
      <c r="D840" s="3" t="s">
        <v>2633</v>
      </c>
      <c r="E840" s="3" t="s">
        <v>87</v>
      </c>
      <c r="F840" s="3" t="s">
        <v>58</v>
      </c>
      <c r="G840" s="3" t="s">
        <v>88</v>
      </c>
      <c r="H840" s="3" t="s">
        <v>43</v>
      </c>
      <c r="I840" s="3" t="s">
        <v>221</v>
      </c>
      <c r="J840" s="3" t="s">
        <v>222</v>
      </c>
      <c r="K840" s="3" t="s">
        <v>46</v>
      </c>
      <c r="L840" s="3" t="s">
        <v>47</v>
      </c>
      <c r="M840" s="3" t="s">
        <v>2634</v>
      </c>
      <c r="N840" s="3" t="s">
        <v>65</v>
      </c>
      <c r="O840" s="3" t="s">
        <v>43</v>
      </c>
      <c r="P840" s="5" t="n">
        <v>1</v>
      </c>
      <c r="Q840" s="6" t="n">
        <v>1470.57</v>
      </c>
      <c r="R840" s="3" t="s">
        <v>66</v>
      </c>
      <c r="S840" s="7" t="n">
        <v>0</v>
      </c>
      <c r="T840" s="3" t="s">
        <v>51</v>
      </c>
      <c r="U840" s="7" t="n">
        <f aca="false">IF(T840="Valid",S840,0)</f>
        <v>0</v>
      </c>
      <c r="V840" s="6" t="n">
        <v>1470.57</v>
      </c>
      <c r="W840" s="6" t="n">
        <v>834.02</v>
      </c>
      <c r="X840" s="6" t="n">
        <v>636.55</v>
      </c>
      <c r="Y840" s="6" t="n">
        <f aca="false">P840*Q840*(1-U840)</f>
        <v>1470.57</v>
      </c>
      <c r="Z840" s="6" t="n">
        <f aca="false">Y840-W840</f>
        <v>636.55</v>
      </c>
      <c r="AA840" s="8" t="n">
        <f aca="false">IF(Y840=0,0,Z840/Y840)</f>
        <v>0.432859367456156</v>
      </c>
      <c r="AB840" s="3" t="str">
        <f aca="false">IF(ABS(V840-Y840)&gt;1,"Mismatch","OK")</f>
        <v>OK</v>
      </c>
      <c r="AC840" s="3" t="str">
        <f aca="false">IF(ABS(X840-Z840)&gt;1,"Mismatch","OK")</f>
        <v>OK</v>
      </c>
      <c r="AD840" s="5" t="n">
        <f aca="false">IF(OR(B840="",C840=""),"",C840-B840)</f>
        <v>4</v>
      </c>
      <c r="AE840" s="3" t="str">
        <f aca="false">IF(AD840="","Unknown",IF(AD840&lt;0,"Invalid - Ship Before Order","OK"))</f>
        <v>OK</v>
      </c>
      <c r="AF840" s="5" t="n">
        <f aca="false">IF(B840="","",MONTH(B840))</f>
        <v>4</v>
      </c>
      <c r="AG840" s="5" t="n">
        <f aca="false">IF(B840="","",YEAR(B840))</f>
        <v>2025</v>
      </c>
      <c r="AH840" s="3" t="s">
        <v>52</v>
      </c>
      <c r="AI840" s="3" t="s">
        <v>130</v>
      </c>
      <c r="AJ840" s="3" t="str">
        <f aca="false">IF(AND(AI840="Completed",AH840="Failed"),"Inconsistent - Completed Order with Failed Payment","OK")</f>
        <v>OK</v>
      </c>
      <c r="AK840" s="3" t="s">
        <v>54</v>
      </c>
      <c r="AL840" s="3" t="str">
        <f aca="false">IF(OR(T840="Negative - Invalid",T840="Above Allowed Range - Invalid",AE840="Invalid - Ship Before Order",AK840&lt;&gt;"Unique",AB840="Mismatch",AC840="Mismatch",AJ840&lt;&gt;"OK"),"Invalid",IF(OR(H840="Yes",O840="Yes",T840="Missing"),"Warning","Clean"))</f>
        <v>Clean</v>
      </c>
    </row>
    <row r="841" customFormat="false" ht="15" hidden="false" customHeight="true" outlineLevel="0" collapsed="false">
      <c r="A841" s="3" t="s">
        <v>2635</v>
      </c>
      <c r="B841" s="4" t="n">
        <v>45555</v>
      </c>
      <c r="C841" s="4" t="n">
        <v>45557</v>
      </c>
      <c r="D841" s="3" t="s">
        <v>2636</v>
      </c>
      <c r="E841" s="3" t="s">
        <v>168</v>
      </c>
      <c r="F841" s="3" t="s">
        <v>121</v>
      </c>
      <c r="G841" s="3" t="s">
        <v>59</v>
      </c>
      <c r="H841" s="3" t="s">
        <v>43</v>
      </c>
      <c r="I841" s="3" t="s">
        <v>60</v>
      </c>
      <c r="J841" s="3" t="s">
        <v>61</v>
      </c>
      <c r="K841" s="3" t="s">
        <v>99</v>
      </c>
      <c r="L841" s="3" t="s">
        <v>201</v>
      </c>
      <c r="M841" s="3" t="s">
        <v>2637</v>
      </c>
      <c r="N841" s="3" t="s">
        <v>83</v>
      </c>
      <c r="O841" s="3" t="s">
        <v>43</v>
      </c>
      <c r="P841" s="5" t="n">
        <v>8</v>
      </c>
      <c r="Q841" s="6" t="n">
        <v>531.43</v>
      </c>
      <c r="R841" s="3" t="s">
        <v>203</v>
      </c>
      <c r="S841" s="7" t="n">
        <v>0.1</v>
      </c>
      <c r="T841" s="3" t="s">
        <v>51</v>
      </c>
      <c r="U841" s="7" t="n">
        <f aca="false">IF(T841="Valid",S841,0)</f>
        <v>0.1</v>
      </c>
      <c r="V841" s="6" t="n">
        <v>3826.3</v>
      </c>
      <c r="W841" s="6" t="n">
        <v>2194.12</v>
      </c>
      <c r="X841" s="6" t="n">
        <v>1632.18</v>
      </c>
      <c r="Y841" s="6" t="n">
        <f aca="false">P841*Q841*(1-U841)</f>
        <v>3826.296</v>
      </c>
      <c r="Z841" s="6" t="n">
        <f aca="false">Y841-W841</f>
        <v>1632.176</v>
      </c>
      <c r="AA841" s="8" t="n">
        <f aca="false">IF(Y841=0,0,Z841/Y841)</f>
        <v>0.426568148412982</v>
      </c>
      <c r="AB841" s="3" t="str">
        <f aca="false">IF(ABS(V841-Y841)&gt;1,"Mismatch","OK")</f>
        <v>OK</v>
      </c>
      <c r="AC841" s="3" t="str">
        <f aca="false">IF(ABS(X841-Z841)&gt;1,"Mismatch","OK")</f>
        <v>OK</v>
      </c>
      <c r="AD841" s="5" t="n">
        <f aca="false">IF(OR(B841="",C841=""),"",C841-B841)</f>
        <v>2</v>
      </c>
      <c r="AE841" s="3" t="str">
        <f aca="false">IF(AD841="","Unknown",IF(AD841&lt;0,"Invalid - Ship Before Order","OK"))</f>
        <v>OK</v>
      </c>
      <c r="AF841" s="5" t="n">
        <f aca="false">IF(B841="","",MONTH(B841))</f>
        <v>9</v>
      </c>
      <c r="AG841" s="5" t="n">
        <f aca="false">IF(B841="","",YEAR(B841))</f>
        <v>2024</v>
      </c>
      <c r="AH841" s="3" t="s">
        <v>52</v>
      </c>
      <c r="AI841" s="3" t="s">
        <v>53</v>
      </c>
      <c r="AJ841" s="3" t="str">
        <f aca="false">IF(AND(AI841="Completed",AH841="Failed"),"Inconsistent - Completed Order with Failed Payment","OK")</f>
        <v>OK</v>
      </c>
      <c r="AK841" s="3" t="s">
        <v>54</v>
      </c>
      <c r="AL841" s="3" t="str">
        <f aca="false">IF(OR(T841="Negative - Invalid",T841="Above Allowed Range - Invalid",AE841="Invalid - Ship Before Order",AK841&lt;&gt;"Unique",AB841="Mismatch",AC841="Mismatch",AJ841&lt;&gt;"OK"),"Invalid",IF(OR(H841="Yes",O841="Yes",T841="Missing"),"Warning","Clean"))</f>
        <v>Clean</v>
      </c>
    </row>
    <row r="842" customFormat="false" ht="15" hidden="false" customHeight="true" outlineLevel="0" collapsed="false">
      <c r="A842" s="3" t="s">
        <v>2638</v>
      </c>
      <c r="B842" s="4" t="n">
        <v>45919</v>
      </c>
      <c r="C842" s="4" t="n">
        <v>45919</v>
      </c>
      <c r="D842" s="3" t="s">
        <v>2639</v>
      </c>
      <c r="E842" s="3" t="s">
        <v>104</v>
      </c>
      <c r="F842" s="3" t="s">
        <v>121</v>
      </c>
      <c r="G842" s="3" t="s">
        <v>42</v>
      </c>
      <c r="H842" s="3" t="s">
        <v>43</v>
      </c>
      <c r="I842" s="3" t="s">
        <v>384</v>
      </c>
      <c r="J842" s="3" t="s">
        <v>385</v>
      </c>
      <c r="K842" s="3" t="s">
        <v>62</v>
      </c>
      <c r="L842" s="3" t="s">
        <v>91</v>
      </c>
      <c r="M842" s="3" t="s">
        <v>2640</v>
      </c>
      <c r="N842" s="3" t="s">
        <v>65</v>
      </c>
      <c r="O842" s="3" t="s">
        <v>43</v>
      </c>
      <c r="P842" s="5" t="n">
        <v>4</v>
      </c>
      <c r="Q842" s="6" t="n">
        <v>1584.11</v>
      </c>
      <c r="R842" s="3" t="s">
        <v>66</v>
      </c>
      <c r="S842" s="7" t="n">
        <v>0</v>
      </c>
      <c r="T842" s="3" t="s">
        <v>51</v>
      </c>
      <c r="U842" s="7" t="n">
        <f aca="false">IF(T842="Valid",S842,0)</f>
        <v>0</v>
      </c>
      <c r="V842" s="6" t="n">
        <v>6336.44</v>
      </c>
      <c r="W842" s="6" t="n">
        <v>4680.68</v>
      </c>
      <c r="X842" s="6" t="n">
        <v>1655.76</v>
      </c>
      <c r="Y842" s="6" t="n">
        <f aca="false">P842*Q842*(1-U842)</f>
        <v>6336.44</v>
      </c>
      <c r="Z842" s="6" t="n">
        <f aca="false">Y842-W842</f>
        <v>1655.76</v>
      </c>
      <c r="AA842" s="8" t="n">
        <f aca="false">IF(Y842=0,0,Z842/Y842)</f>
        <v>0.261307611213868</v>
      </c>
      <c r="AB842" s="3" t="str">
        <f aca="false">IF(ABS(V842-Y842)&gt;1,"Mismatch","OK")</f>
        <v>OK</v>
      </c>
      <c r="AC842" s="3" t="str">
        <f aca="false">IF(ABS(X842-Z842)&gt;1,"Mismatch","OK")</f>
        <v>OK</v>
      </c>
      <c r="AD842" s="5" t="n">
        <f aca="false">IF(OR(B842="",C842=""),"",C842-B842)</f>
        <v>0</v>
      </c>
      <c r="AE842" s="3" t="str">
        <f aca="false">IF(AD842="","Unknown",IF(AD842&lt;0,"Invalid - Ship Before Order","OK"))</f>
        <v>OK</v>
      </c>
      <c r="AF842" s="5" t="n">
        <f aca="false">IF(B842="","",MONTH(B842))</f>
        <v>9</v>
      </c>
      <c r="AG842" s="5" t="n">
        <f aca="false">IF(B842="","",YEAR(B842))</f>
        <v>2025</v>
      </c>
      <c r="AH842" s="3" t="s">
        <v>52</v>
      </c>
      <c r="AI842" s="3" t="s">
        <v>53</v>
      </c>
      <c r="AJ842" s="3" t="str">
        <f aca="false">IF(AND(AI842="Completed",AH842="Failed"),"Inconsistent - Completed Order with Failed Payment","OK")</f>
        <v>OK</v>
      </c>
      <c r="AK842" s="3" t="s">
        <v>54</v>
      </c>
      <c r="AL842" s="3" t="str">
        <f aca="false">IF(OR(T842="Negative - Invalid",T842="Above Allowed Range - Invalid",AE842="Invalid - Ship Before Order",AK842&lt;&gt;"Unique",AB842="Mismatch",AC842="Mismatch",AJ842&lt;&gt;"OK"),"Invalid",IF(OR(H842="Yes",O842="Yes",T842="Missing"),"Warning","Clean"))</f>
        <v>Clean</v>
      </c>
    </row>
    <row r="843" customFormat="false" ht="15" hidden="false" customHeight="true" outlineLevel="0" collapsed="false">
      <c r="A843" s="3" t="s">
        <v>2641</v>
      </c>
      <c r="B843" s="4" t="n">
        <v>45694</v>
      </c>
      <c r="C843" s="4" t="n">
        <v>45700</v>
      </c>
      <c r="D843" s="3" t="s">
        <v>2642</v>
      </c>
      <c r="E843" s="3" t="s">
        <v>87</v>
      </c>
      <c r="F843" s="3" t="s">
        <v>58</v>
      </c>
      <c r="G843" s="3" t="s">
        <v>59</v>
      </c>
      <c r="H843" s="3" t="s">
        <v>43</v>
      </c>
      <c r="I843" s="3" t="s">
        <v>174</v>
      </c>
      <c r="J843" s="3" t="s">
        <v>175</v>
      </c>
      <c r="K843" s="3" t="s">
        <v>46</v>
      </c>
      <c r="L843" s="3" t="s">
        <v>70</v>
      </c>
      <c r="M843" s="3" t="s">
        <v>2643</v>
      </c>
      <c r="N843" s="3" t="s">
        <v>83</v>
      </c>
      <c r="O843" s="3" t="s">
        <v>43</v>
      </c>
      <c r="P843" s="5" t="n">
        <v>9</v>
      </c>
      <c r="Q843" s="6" t="n">
        <v>3237.16</v>
      </c>
      <c r="R843" s="3" t="s">
        <v>84</v>
      </c>
      <c r="S843" s="7" t="n">
        <v>0.25</v>
      </c>
      <c r="T843" s="3" t="s">
        <v>51</v>
      </c>
      <c r="U843" s="7" t="n">
        <f aca="false">IF(T843="Valid",S843,0)</f>
        <v>0.25</v>
      </c>
      <c r="V843" s="6" t="n">
        <v>21850.83</v>
      </c>
      <c r="W843" s="6" t="n">
        <v>16600.13</v>
      </c>
      <c r="X843" s="6" t="n">
        <v>5250.7</v>
      </c>
      <c r="Y843" s="6" t="n">
        <f aca="false">P843*Q843*(1-U843)</f>
        <v>21850.83</v>
      </c>
      <c r="Z843" s="6" t="n">
        <f aca="false">Y843-W843</f>
        <v>5250.7</v>
      </c>
      <c r="AA843" s="8" t="n">
        <f aca="false">IF(Y843=0,0,Z843/Y843)</f>
        <v>0.240297508149576</v>
      </c>
      <c r="AB843" s="3" t="str">
        <f aca="false">IF(ABS(V843-Y843)&gt;1,"Mismatch","OK")</f>
        <v>OK</v>
      </c>
      <c r="AC843" s="3" t="str">
        <f aca="false">IF(ABS(X843-Z843)&gt;1,"Mismatch","OK")</f>
        <v>OK</v>
      </c>
      <c r="AD843" s="5" t="n">
        <f aca="false">IF(OR(B843="",C843=""),"",C843-B843)</f>
        <v>6</v>
      </c>
      <c r="AE843" s="3" t="str">
        <f aca="false">IF(AD843="","Unknown",IF(AD843&lt;0,"Invalid - Ship Before Order","OK"))</f>
        <v>OK</v>
      </c>
      <c r="AF843" s="5" t="n">
        <f aca="false">IF(B843="","",MONTH(B843))</f>
        <v>2</v>
      </c>
      <c r="AG843" s="5" t="n">
        <f aca="false">IF(B843="","",YEAR(B843))</f>
        <v>2025</v>
      </c>
      <c r="AH843" s="3" t="s">
        <v>52</v>
      </c>
      <c r="AI843" s="3" t="s">
        <v>53</v>
      </c>
      <c r="AJ843" s="3" t="str">
        <f aca="false">IF(AND(AI843="Completed",AH843="Failed"),"Inconsistent - Completed Order with Failed Payment","OK")</f>
        <v>OK</v>
      </c>
      <c r="AK843" s="3" t="s">
        <v>54</v>
      </c>
      <c r="AL843" s="3" t="str">
        <f aca="false">IF(OR(T843="Negative - Invalid",T843="Above Allowed Range - Invalid",AE843="Invalid - Ship Before Order",AK843&lt;&gt;"Unique",AB843="Mismatch",AC843="Mismatch",AJ843&lt;&gt;"OK"),"Invalid",IF(OR(H843="Yes",O843="Yes",T843="Missing"),"Warning","Clean"))</f>
        <v>Clean</v>
      </c>
    </row>
    <row r="844" customFormat="false" ht="15" hidden="false" customHeight="true" outlineLevel="0" collapsed="false">
      <c r="A844" s="3" t="s">
        <v>2644</v>
      </c>
      <c r="B844" s="4" t="n">
        <v>45382</v>
      </c>
      <c r="C844" s="4" t="n">
        <v>45381</v>
      </c>
      <c r="D844" s="3" t="s">
        <v>2645</v>
      </c>
      <c r="E844" s="3" t="s">
        <v>298</v>
      </c>
      <c r="F844" s="3" t="s">
        <v>41</v>
      </c>
      <c r="G844" s="3" t="s">
        <v>42</v>
      </c>
      <c r="H844" s="3" t="s">
        <v>43</v>
      </c>
      <c r="I844" s="3" t="s">
        <v>270</v>
      </c>
      <c r="J844" s="3" t="s">
        <v>271</v>
      </c>
      <c r="K844" s="3" t="s">
        <v>99</v>
      </c>
      <c r="L844" s="3" t="s">
        <v>308</v>
      </c>
      <c r="M844" s="3" t="s">
        <v>2646</v>
      </c>
      <c r="N844" s="3" t="s">
        <v>72</v>
      </c>
      <c r="O844" s="3" t="s">
        <v>43</v>
      </c>
      <c r="P844" s="5" t="n">
        <v>4</v>
      </c>
      <c r="Q844" s="6" t="n">
        <v>2192.08</v>
      </c>
      <c r="R844" s="3" t="s">
        <v>107</v>
      </c>
      <c r="S844" s="7" t="n">
        <v>0.15</v>
      </c>
      <c r="T844" s="3" t="s">
        <v>51</v>
      </c>
      <c r="U844" s="7" t="n">
        <f aca="false">IF(T844="Valid",S844,0)</f>
        <v>0.15</v>
      </c>
      <c r="V844" s="6" t="n">
        <v>7453.07</v>
      </c>
      <c r="W844" s="6" t="n">
        <v>5133.78</v>
      </c>
      <c r="X844" s="6" t="n">
        <v>2319.29</v>
      </c>
      <c r="Y844" s="6" t="n">
        <f aca="false">P844*Q844*(1-U844)</f>
        <v>7453.072</v>
      </c>
      <c r="Z844" s="6" t="n">
        <f aca="false">Y844-W844</f>
        <v>2319.292</v>
      </c>
      <c r="AA844" s="8" t="n">
        <f aca="false">IF(Y844=0,0,Z844/Y844)</f>
        <v>0.311186045163659</v>
      </c>
      <c r="AB844" s="3" t="str">
        <f aca="false">IF(ABS(V844-Y844)&gt;1,"Mismatch","OK")</f>
        <v>OK</v>
      </c>
      <c r="AC844" s="3" t="str">
        <f aca="false">IF(ABS(X844-Z844)&gt;1,"Mismatch","OK")</f>
        <v>OK</v>
      </c>
      <c r="AD844" s="5" t="n">
        <f aca="false">IF(OR(B844="",C844=""),"",C844-B844)</f>
        <v>-1</v>
      </c>
      <c r="AE844" s="3" t="str">
        <f aca="false">IF(AD844="","Unknown",IF(AD844&lt;0,"Invalid - Ship Before Order","OK"))</f>
        <v>Invalid - Ship Before Order</v>
      </c>
      <c r="AF844" s="5" t="n">
        <f aca="false">IF(B844="","",MONTH(B844))</f>
        <v>3</v>
      </c>
      <c r="AG844" s="5" t="n">
        <f aca="false">IF(B844="","",YEAR(B844))</f>
        <v>2024</v>
      </c>
      <c r="AH844" s="3" t="s">
        <v>52</v>
      </c>
      <c r="AI844" s="3" t="s">
        <v>130</v>
      </c>
      <c r="AJ844" s="3" t="str">
        <f aca="false">IF(AND(AI844="Completed",AH844="Failed"),"Inconsistent - Completed Order with Failed Payment","OK")</f>
        <v>OK</v>
      </c>
      <c r="AK844" s="3" t="s">
        <v>54</v>
      </c>
      <c r="AL844" s="3" t="str">
        <f aca="false">IF(OR(T844="Negative - Invalid",T844="Above Allowed Range - Invalid",AE844="Invalid - Ship Before Order",AK844&lt;&gt;"Unique",AB844="Mismatch",AC844="Mismatch",AJ844&lt;&gt;"OK"),"Invalid",IF(OR(H844="Yes",O844="Yes",T844="Missing"),"Warning","Clean"))</f>
        <v>Invalid</v>
      </c>
    </row>
    <row r="845" customFormat="false" ht="15" hidden="false" customHeight="true" outlineLevel="0" collapsed="false">
      <c r="A845" s="3" t="s">
        <v>2647</v>
      </c>
      <c r="B845" s="4" t="n">
        <v>45856</v>
      </c>
      <c r="C845" s="4" t="n">
        <v>45863</v>
      </c>
      <c r="D845" s="3" t="s">
        <v>2648</v>
      </c>
      <c r="E845" s="3" t="s">
        <v>141</v>
      </c>
      <c r="F845" s="3" t="s">
        <v>58</v>
      </c>
      <c r="G845" s="3" t="s">
        <v>42</v>
      </c>
      <c r="H845" s="3" t="s">
        <v>43</v>
      </c>
      <c r="I845" s="3" t="s">
        <v>163</v>
      </c>
      <c r="J845" s="3" t="s">
        <v>164</v>
      </c>
      <c r="K845" s="3" t="s">
        <v>99</v>
      </c>
      <c r="L845" s="3" t="s">
        <v>201</v>
      </c>
      <c r="M845" s="3" t="s">
        <v>2649</v>
      </c>
      <c r="N845" s="3" t="s">
        <v>72</v>
      </c>
      <c r="O845" s="3" t="s">
        <v>43</v>
      </c>
      <c r="P845" s="5" t="n">
        <v>9</v>
      </c>
      <c r="Q845" s="6" t="n">
        <v>3989.52</v>
      </c>
      <c r="R845" s="3" t="s">
        <v>2650</v>
      </c>
      <c r="S845" s="7" t="n">
        <v>-0.02</v>
      </c>
      <c r="T845" s="3" t="s">
        <v>171</v>
      </c>
      <c r="U845" s="7" t="n">
        <f aca="false">IF(T845="Valid",S845,0)</f>
        <v>0</v>
      </c>
      <c r="V845" s="6" t="n">
        <v>35905.68</v>
      </c>
      <c r="W845" s="6" t="n">
        <v>23916.1</v>
      </c>
      <c r="X845" s="6" t="n">
        <v>11989.58</v>
      </c>
      <c r="Y845" s="6" t="n">
        <f aca="false">P845*Q845*(1-U845)</f>
        <v>35905.68</v>
      </c>
      <c r="Z845" s="6" t="n">
        <f aca="false">Y845-W845</f>
        <v>11989.58</v>
      </c>
      <c r="AA845" s="8" t="n">
        <f aca="false">IF(Y845=0,0,Z845/Y845)</f>
        <v>0.333918756029687</v>
      </c>
      <c r="AB845" s="3" t="str">
        <f aca="false">IF(ABS(V845-Y845)&gt;1,"Mismatch","OK")</f>
        <v>OK</v>
      </c>
      <c r="AC845" s="3" t="str">
        <f aca="false">IF(ABS(X845-Z845)&gt;1,"Mismatch","OK")</f>
        <v>OK</v>
      </c>
      <c r="AD845" s="5" t="n">
        <f aca="false">IF(OR(B845="",C845=""),"",C845-B845)</f>
        <v>7</v>
      </c>
      <c r="AE845" s="3" t="str">
        <f aca="false">IF(AD845="","Unknown",IF(AD845&lt;0,"Invalid - Ship Before Order","OK"))</f>
        <v>OK</v>
      </c>
      <c r="AF845" s="5" t="n">
        <f aca="false">IF(B845="","",MONTH(B845))</f>
        <v>7</v>
      </c>
      <c r="AG845" s="5" t="n">
        <f aca="false">IF(B845="","",YEAR(B845))</f>
        <v>2025</v>
      </c>
      <c r="AH845" s="3" t="s">
        <v>52</v>
      </c>
      <c r="AI845" s="3" t="s">
        <v>53</v>
      </c>
      <c r="AJ845" s="3" t="str">
        <f aca="false">IF(AND(AI845="Completed",AH845="Failed"),"Inconsistent - Completed Order with Failed Payment","OK")</f>
        <v>OK</v>
      </c>
      <c r="AK845" s="3" t="s">
        <v>54</v>
      </c>
      <c r="AL845" s="3" t="str">
        <f aca="false">IF(OR(T845="Negative - Invalid",T845="Above Allowed Range - Invalid",AE845="Invalid - Ship Before Order",AK845&lt;&gt;"Unique",AB845="Mismatch",AC845="Mismatch",AJ845&lt;&gt;"OK"),"Invalid",IF(OR(H845="Yes",O845="Yes",T845="Missing"),"Warning","Clean"))</f>
        <v>Invalid</v>
      </c>
    </row>
    <row r="846" customFormat="false" ht="15" hidden="false" customHeight="true" outlineLevel="0" collapsed="false">
      <c r="A846" s="3" t="s">
        <v>2651</v>
      </c>
      <c r="B846" s="4" t="n">
        <v>45677</v>
      </c>
      <c r="C846" s="4" t="n">
        <v>45682</v>
      </c>
      <c r="D846" s="3" t="s">
        <v>2652</v>
      </c>
      <c r="E846" s="3" t="s">
        <v>115</v>
      </c>
      <c r="F846" s="3" t="s">
        <v>121</v>
      </c>
      <c r="G846" s="3" t="s">
        <v>88</v>
      </c>
      <c r="H846" s="3" t="s">
        <v>43</v>
      </c>
      <c r="I846" s="3" t="s">
        <v>221</v>
      </c>
      <c r="J846" s="3" t="s">
        <v>222</v>
      </c>
      <c r="K846" s="3" t="s">
        <v>46</v>
      </c>
      <c r="L846" s="3" t="s">
        <v>70</v>
      </c>
      <c r="M846" s="3" t="s">
        <v>2653</v>
      </c>
      <c r="N846" s="3" t="s">
        <v>72</v>
      </c>
      <c r="O846" s="3" t="s">
        <v>43</v>
      </c>
      <c r="P846" s="5" t="n">
        <v>1</v>
      </c>
      <c r="Q846" s="6" t="n">
        <v>3515.15</v>
      </c>
      <c r="R846" s="3" t="s">
        <v>66</v>
      </c>
      <c r="S846" s="7" t="n">
        <v>0</v>
      </c>
      <c r="T846" s="3" t="s">
        <v>51</v>
      </c>
      <c r="U846" s="7" t="n">
        <f aca="false">IF(T846="Valid",S846,0)</f>
        <v>0</v>
      </c>
      <c r="V846" s="6" t="n">
        <v>3515.15</v>
      </c>
      <c r="W846" s="6" t="n">
        <v>2216.34</v>
      </c>
      <c r="X846" s="6" t="n">
        <v>1298.81</v>
      </c>
      <c r="Y846" s="6" t="n">
        <f aca="false">P846*Q846*(1-U846)</f>
        <v>3515.15</v>
      </c>
      <c r="Z846" s="6" t="n">
        <f aca="false">Y846-W846</f>
        <v>1298.81</v>
      </c>
      <c r="AA846" s="8" t="n">
        <f aca="false">IF(Y846=0,0,Z846/Y846)</f>
        <v>0.369489210986729</v>
      </c>
      <c r="AB846" s="3" t="str">
        <f aca="false">IF(ABS(V846-Y846)&gt;1,"Mismatch","OK")</f>
        <v>OK</v>
      </c>
      <c r="AC846" s="3" t="str">
        <f aca="false">IF(ABS(X846-Z846)&gt;1,"Mismatch","OK")</f>
        <v>OK</v>
      </c>
      <c r="AD846" s="5" t="n">
        <f aca="false">IF(OR(B846="",C846=""),"",C846-B846)</f>
        <v>5</v>
      </c>
      <c r="AE846" s="3" t="str">
        <f aca="false">IF(AD846="","Unknown",IF(AD846&lt;0,"Invalid - Ship Before Order","OK"))</f>
        <v>OK</v>
      </c>
      <c r="AF846" s="5" t="n">
        <f aca="false">IF(B846="","",MONTH(B846))</f>
        <v>1</v>
      </c>
      <c r="AG846" s="5" t="n">
        <f aca="false">IF(B846="","",YEAR(B846))</f>
        <v>2025</v>
      </c>
      <c r="AH846" s="3" t="s">
        <v>52</v>
      </c>
      <c r="AI846" s="3" t="s">
        <v>53</v>
      </c>
      <c r="AJ846" s="3" t="str">
        <f aca="false">IF(AND(AI846="Completed",AH846="Failed"),"Inconsistent - Completed Order with Failed Payment","OK")</f>
        <v>OK</v>
      </c>
      <c r="AK846" s="3" t="s">
        <v>54</v>
      </c>
      <c r="AL846" s="3" t="str">
        <f aca="false">IF(OR(T846="Negative - Invalid",T846="Above Allowed Range - Invalid",AE846="Invalid - Ship Before Order",AK846&lt;&gt;"Unique",AB846="Mismatch",AC846="Mismatch",AJ846&lt;&gt;"OK"),"Invalid",IF(OR(H846="Yes",O846="Yes",T846="Missing"),"Warning","Clean"))</f>
        <v>Clean</v>
      </c>
    </row>
    <row r="847" customFormat="false" ht="15" hidden="false" customHeight="true" outlineLevel="0" collapsed="false">
      <c r="A847" s="3" t="s">
        <v>2654</v>
      </c>
      <c r="B847" s="4" t="n">
        <v>45345</v>
      </c>
      <c r="C847" s="4" t="n">
        <v>45349</v>
      </c>
      <c r="D847" s="3" t="s">
        <v>630</v>
      </c>
      <c r="E847" s="3" t="s">
        <v>40</v>
      </c>
      <c r="F847" s="3" t="s">
        <v>41</v>
      </c>
      <c r="G847" s="3" t="s">
        <v>59</v>
      </c>
      <c r="H847" s="3" t="s">
        <v>43</v>
      </c>
      <c r="I847" s="3" t="s">
        <v>60</v>
      </c>
      <c r="J847" s="3" t="s">
        <v>61</v>
      </c>
      <c r="K847" s="3" t="s">
        <v>62</v>
      </c>
      <c r="L847" s="3" t="s">
        <v>63</v>
      </c>
      <c r="M847" s="3" t="s">
        <v>2655</v>
      </c>
      <c r="N847" s="3" t="s">
        <v>72</v>
      </c>
      <c r="O847" s="3" t="s">
        <v>43</v>
      </c>
      <c r="P847" s="5" t="n">
        <v>9</v>
      </c>
      <c r="Q847" s="6" t="n">
        <v>3616.23</v>
      </c>
      <c r="R847" s="3" t="s">
        <v>84</v>
      </c>
      <c r="S847" s="7" t="n">
        <v>0.25</v>
      </c>
      <c r="T847" s="3" t="s">
        <v>51</v>
      </c>
      <c r="U847" s="7" t="n">
        <f aca="false">IF(T847="Valid",S847,0)</f>
        <v>0.25</v>
      </c>
      <c r="V847" s="6" t="n">
        <v>24409.55</v>
      </c>
      <c r="W847" s="6" t="n">
        <v>17157.58</v>
      </c>
      <c r="X847" s="6" t="n">
        <v>7251.97</v>
      </c>
      <c r="Y847" s="6" t="n">
        <f aca="false">P847*Q847*(1-U847)</f>
        <v>24409.5525</v>
      </c>
      <c r="Z847" s="6" t="n">
        <f aca="false">Y847-W847</f>
        <v>7251.9725</v>
      </c>
      <c r="AA847" s="8" t="n">
        <f aca="false">IF(Y847=0,0,Z847/Y847)</f>
        <v>0.297095675965383</v>
      </c>
      <c r="AB847" s="3" t="str">
        <f aca="false">IF(ABS(V847-Y847)&gt;1,"Mismatch","OK")</f>
        <v>OK</v>
      </c>
      <c r="AC847" s="3" t="str">
        <f aca="false">IF(ABS(X847-Z847)&gt;1,"Mismatch","OK")</f>
        <v>OK</v>
      </c>
      <c r="AD847" s="5" t="n">
        <f aca="false">IF(OR(B847="",C847=""),"",C847-B847)</f>
        <v>4</v>
      </c>
      <c r="AE847" s="3" t="str">
        <f aca="false">IF(AD847="","Unknown",IF(AD847&lt;0,"Invalid - Ship Before Order","OK"))</f>
        <v>OK</v>
      </c>
      <c r="AF847" s="5" t="n">
        <f aca="false">IF(B847="","",MONTH(B847))</f>
        <v>2</v>
      </c>
      <c r="AG847" s="5" t="n">
        <f aca="false">IF(B847="","",YEAR(B847))</f>
        <v>2024</v>
      </c>
      <c r="AH847" s="3" t="s">
        <v>138</v>
      </c>
      <c r="AI847" s="3" t="s">
        <v>130</v>
      </c>
      <c r="AJ847" s="3" t="str">
        <f aca="false">IF(AND(AI847="Completed",AH847="Failed"),"Inconsistent - Completed Order with Failed Payment","OK")</f>
        <v>OK</v>
      </c>
      <c r="AK847" s="3" t="s">
        <v>54</v>
      </c>
      <c r="AL847" s="3" t="str">
        <f aca="false">IF(OR(T847="Negative - Invalid",T847="Above Allowed Range - Invalid",AE847="Invalid - Ship Before Order",AK847&lt;&gt;"Unique",AB847="Mismatch",AC847="Mismatch",AJ847&lt;&gt;"OK"),"Invalid",IF(OR(H847="Yes",O847="Yes",T847="Missing"),"Warning","Clean"))</f>
        <v>Clean</v>
      </c>
    </row>
    <row r="848" customFormat="false" ht="15" hidden="false" customHeight="true" outlineLevel="0" collapsed="false">
      <c r="A848" s="3" t="s">
        <v>2656</v>
      </c>
      <c r="B848" s="4" t="n">
        <v>45396</v>
      </c>
      <c r="C848" s="4" t="n">
        <v>45404</v>
      </c>
      <c r="D848" s="3" t="s">
        <v>2657</v>
      </c>
      <c r="E848" s="3" t="s">
        <v>141</v>
      </c>
      <c r="F848" s="3" t="s">
        <v>58</v>
      </c>
      <c r="G848" s="3" t="s">
        <v>88</v>
      </c>
      <c r="H848" s="3" t="s">
        <v>43</v>
      </c>
      <c r="I848" s="3" t="s">
        <v>211</v>
      </c>
      <c r="J848" s="3" t="s">
        <v>212</v>
      </c>
      <c r="K848" s="3" t="s">
        <v>62</v>
      </c>
      <c r="L848" s="3" t="s">
        <v>188</v>
      </c>
      <c r="M848" s="3" t="s">
        <v>2658</v>
      </c>
      <c r="N848" s="3" t="s">
        <v>83</v>
      </c>
      <c r="O848" s="3" t="s">
        <v>43</v>
      </c>
      <c r="P848" s="5" t="n">
        <v>2</v>
      </c>
      <c r="Q848" s="6" t="n">
        <v>3977.52</v>
      </c>
      <c r="R848" s="3" t="s">
        <v>66</v>
      </c>
      <c r="S848" s="7" t="n">
        <v>0</v>
      </c>
      <c r="T848" s="3" t="s">
        <v>51</v>
      </c>
      <c r="U848" s="7" t="n">
        <f aca="false">IF(T848="Valid",S848,0)</f>
        <v>0</v>
      </c>
      <c r="V848" s="6" t="n">
        <v>7955.04</v>
      </c>
      <c r="W848" s="6" t="n">
        <v>5580.68</v>
      </c>
      <c r="X848" s="6" t="n">
        <v>2374.36</v>
      </c>
      <c r="Y848" s="6" t="n">
        <f aca="false">P848*Q848*(1-U848)</f>
        <v>7955.04</v>
      </c>
      <c r="Z848" s="6" t="n">
        <f aca="false">Y848-W848</f>
        <v>2374.36</v>
      </c>
      <c r="AA848" s="8" t="n">
        <f aca="false">IF(Y848=0,0,Z848/Y848)</f>
        <v>0.298472414972143</v>
      </c>
      <c r="AB848" s="3" t="str">
        <f aca="false">IF(ABS(V848-Y848)&gt;1,"Mismatch","OK")</f>
        <v>OK</v>
      </c>
      <c r="AC848" s="3" t="str">
        <f aca="false">IF(ABS(X848-Z848)&gt;1,"Mismatch","OK")</f>
        <v>OK</v>
      </c>
      <c r="AD848" s="5" t="n">
        <f aca="false">IF(OR(B848="",C848=""),"",C848-B848)</f>
        <v>8</v>
      </c>
      <c r="AE848" s="3" t="str">
        <f aca="false">IF(AD848="","Unknown",IF(AD848&lt;0,"Invalid - Ship Before Order","OK"))</f>
        <v>OK</v>
      </c>
      <c r="AF848" s="5" t="n">
        <f aca="false">IF(B848="","",MONTH(B848))</f>
        <v>4</v>
      </c>
      <c r="AG848" s="5" t="n">
        <f aca="false">IF(B848="","",YEAR(B848))</f>
        <v>2024</v>
      </c>
      <c r="AH848" s="3" t="s">
        <v>138</v>
      </c>
      <c r="AI848" s="3" t="s">
        <v>130</v>
      </c>
      <c r="AJ848" s="3" t="str">
        <f aca="false">IF(AND(AI848="Completed",AH848="Failed"),"Inconsistent - Completed Order with Failed Payment","OK")</f>
        <v>OK</v>
      </c>
      <c r="AK848" s="3" t="s">
        <v>54</v>
      </c>
      <c r="AL848" s="3" t="str">
        <f aca="false">IF(OR(T848="Negative - Invalid",T848="Above Allowed Range - Invalid",AE848="Invalid - Ship Before Order",AK848&lt;&gt;"Unique",AB848="Mismatch",AC848="Mismatch",AJ848&lt;&gt;"OK"),"Invalid",IF(OR(H848="Yes",O848="Yes",T848="Missing"),"Warning","Clean"))</f>
        <v>Clean</v>
      </c>
    </row>
    <row r="849" customFormat="false" ht="15" hidden="false" customHeight="true" outlineLevel="0" collapsed="false">
      <c r="A849" s="3" t="s">
        <v>2659</v>
      </c>
      <c r="B849" s="4" t="n">
        <v>45797</v>
      </c>
      <c r="C849" s="4" t="n">
        <v>45799</v>
      </c>
      <c r="D849" s="3" t="s">
        <v>2660</v>
      </c>
      <c r="E849" s="3" t="s">
        <v>192</v>
      </c>
      <c r="F849" s="3" t="s">
        <v>121</v>
      </c>
      <c r="G849" s="3" t="s">
        <v>59</v>
      </c>
      <c r="H849" s="3" t="s">
        <v>43</v>
      </c>
      <c r="I849" s="3" t="s">
        <v>60</v>
      </c>
      <c r="J849" s="3" t="s">
        <v>61</v>
      </c>
      <c r="K849" s="3" t="s">
        <v>62</v>
      </c>
      <c r="L849" s="3" t="s">
        <v>63</v>
      </c>
      <c r="M849" s="3" t="s">
        <v>2661</v>
      </c>
      <c r="N849" s="3" t="s">
        <v>49</v>
      </c>
      <c r="O849" s="3" t="s">
        <v>43</v>
      </c>
      <c r="P849" s="5" t="n">
        <v>2</v>
      </c>
      <c r="Q849" s="6" t="n">
        <v>210.08</v>
      </c>
      <c r="R849" s="3" t="s">
        <v>50</v>
      </c>
      <c r="S849" s="7" t="n">
        <v>0.2</v>
      </c>
      <c r="T849" s="3" t="s">
        <v>51</v>
      </c>
      <c r="U849" s="7" t="n">
        <f aca="false">IF(T849="Valid",S849,0)</f>
        <v>0.2</v>
      </c>
      <c r="V849" s="6" t="n">
        <v>336.13</v>
      </c>
      <c r="W849" s="6" t="n">
        <v>242.19</v>
      </c>
      <c r="X849" s="6" t="n">
        <v>93.94</v>
      </c>
      <c r="Y849" s="6" t="n">
        <f aca="false">P849*Q849*(1-U849)</f>
        <v>336.128</v>
      </c>
      <c r="Z849" s="6" t="n">
        <f aca="false">Y849-W849</f>
        <v>93.9380000000001</v>
      </c>
      <c r="AA849" s="8" t="n">
        <f aca="false">IF(Y849=0,0,Z849/Y849)</f>
        <v>0.279470915841584</v>
      </c>
      <c r="AB849" s="3" t="str">
        <f aca="false">IF(ABS(V849-Y849)&gt;1,"Mismatch","OK")</f>
        <v>OK</v>
      </c>
      <c r="AC849" s="3" t="str">
        <f aca="false">IF(ABS(X849-Z849)&gt;1,"Mismatch","OK")</f>
        <v>OK</v>
      </c>
      <c r="AD849" s="5" t="n">
        <f aca="false">IF(OR(B849="",C849=""),"",C849-B849)</f>
        <v>2</v>
      </c>
      <c r="AE849" s="3" t="str">
        <f aca="false">IF(AD849="","Unknown",IF(AD849&lt;0,"Invalid - Ship Before Order","OK"))</f>
        <v>OK</v>
      </c>
      <c r="AF849" s="5" t="n">
        <f aca="false">IF(B849="","",MONTH(B849))</f>
        <v>5</v>
      </c>
      <c r="AG849" s="5" t="n">
        <f aca="false">IF(B849="","",YEAR(B849))</f>
        <v>2025</v>
      </c>
      <c r="AH849" s="3" t="s">
        <v>52</v>
      </c>
      <c r="AI849" s="3" t="s">
        <v>53</v>
      </c>
      <c r="AJ849" s="3" t="str">
        <f aca="false">IF(AND(AI849="Completed",AH849="Failed"),"Inconsistent - Completed Order with Failed Payment","OK")</f>
        <v>OK</v>
      </c>
      <c r="AK849" s="3" t="s">
        <v>54</v>
      </c>
      <c r="AL849" s="3" t="str">
        <f aca="false">IF(OR(T849="Negative - Invalid",T849="Above Allowed Range - Invalid",AE849="Invalid - Ship Before Order",AK849&lt;&gt;"Unique",AB849="Mismatch",AC849="Mismatch",AJ849&lt;&gt;"OK"),"Invalid",IF(OR(H849="Yes",O849="Yes",T849="Missing"),"Warning","Clean"))</f>
        <v>Clean</v>
      </c>
    </row>
    <row r="850" customFormat="false" ht="15" hidden="false" customHeight="true" outlineLevel="0" collapsed="false">
      <c r="A850" s="3" t="s">
        <v>2662</v>
      </c>
      <c r="B850" s="4" t="n">
        <v>45804</v>
      </c>
      <c r="C850" s="4" t="n">
        <v>45806</v>
      </c>
      <c r="D850" s="3" t="s">
        <v>2663</v>
      </c>
      <c r="E850" s="3" t="s">
        <v>145</v>
      </c>
      <c r="F850" s="3" t="s">
        <v>121</v>
      </c>
      <c r="G850" s="3" t="s">
        <v>78</v>
      </c>
      <c r="H850" s="3" t="s">
        <v>43</v>
      </c>
      <c r="I850" s="3" t="s">
        <v>281</v>
      </c>
      <c r="J850" s="3" t="s">
        <v>282</v>
      </c>
      <c r="K850" s="3" t="s">
        <v>62</v>
      </c>
      <c r="L850" s="3" t="s">
        <v>81</v>
      </c>
      <c r="M850" s="3" t="s">
        <v>2664</v>
      </c>
      <c r="N850" s="3" t="s">
        <v>49</v>
      </c>
      <c r="O850" s="3" t="s">
        <v>43</v>
      </c>
      <c r="P850" s="5" t="n">
        <v>1</v>
      </c>
      <c r="Q850" s="6" t="n">
        <v>1744.35</v>
      </c>
      <c r="R850" s="3" t="s">
        <v>84</v>
      </c>
      <c r="S850" s="7" t="n">
        <v>0.25</v>
      </c>
      <c r="T850" s="3" t="s">
        <v>51</v>
      </c>
      <c r="U850" s="7" t="n">
        <f aca="false">IF(T850="Valid",S850,0)</f>
        <v>0.25</v>
      </c>
      <c r="V850" s="6" t="n">
        <v>1308.26</v>
      </c>
      <c r="W850" s="6" t="n">
        <v>1083.56</v>
      </c>
      <c r="X850" s="6" t="n">
        <v>224.7</v>
      </c>
      <c r="Y850" s="6" t="n">
        <f aca="false">P850*Q850*(1-U850)</f>
        <v>1308.2625</v>
      </c>
      <c r="Z850" s="6" t="n">
        <f aca="false">Y850-W850</f>
        <v>224.7025</v>
      </c>
      <c r="AA850" s="8" t="n">
        <f aca="false">IF(Y850=0,0,Z850/Y850)</f>
        <v>0.171756432673106</v>
      </c>
      <c r="AB850" s="3" t="str">
        <f aca="false">IF(ABS(V850-Y850)&gt;1,"Mismatch","OK")</f>
        <v>OK</v>
      </c>
      <c r="AC850" s="3" t="str">
        <f aca="false">IF(ABS(X850-Z850)&gt;1,"Mismatch","OK")</f>
        <v>OK</v>
      </c>
      <c r="AD850" s="5" t="n">
        <f aca="false">IF(OR(B850="",C850=""),"",C850-B850)</f>
        <v>2</v>
      </c>
      <c r="AE850" s="3" t="str">
        <f aca="false">IF(AD850="","Unknown",IF(AD850&lt;0,"Invalid - Ship Before Order","OK"))</f>
        <v>OK</v>
      </c>
      <c r="AF850" s="5" t="n">
        <f aca="false">IF(B850="","",MONTH(B850))</f>
        <v>5</v>
      </c>
      <c r="AG850" s="5" t="n">
        <f aca="false">IF(B850="","",YEAR(B850))</f>
        <v>2025</v>
      </c>
      <c r="AH850" s="3" t="s">
        <v>52</v>
      </c>
      <c r="AI850" s="3" t="s">
        <v>53</v>
      </c>
      <c r="AJ850" s="3" t="str">
        <f aca="false">IF(AND(AI850="Completed",AH850="Failed"),"Inconsistent - Completed Order with Failed Payment","OK")</f>
        <v>OK</v>
      </c>
      <c r="AK850" s="3" t="s">
        <v>54</v>
      </c>
      <c r="AL850" s="3" t="str">
        <f aca="false">IF(OR(T850="Negative - Invalid",T850="Above Allowed Range - Invalid",AE850="Invalid - Ship Before Order",AK850&lt;&gt;"Unique",AB850="Mismatch",AC850="Mismatch",AJ850&lt;&gt;"OK"),"Invalid",IF(OR(H850="Yes",O850="Yes",T850="Missing"),"Warning","Clean"))</f>
        <v>Clean</v>
      </c>
    </row>
    <row r="851" customFormat="false" ht="15" hidden="false" customHeight="true" outlineLevel="0" collapsed="false">
      <c r="A851" s="3" t="s">
        <v>2665</v>
      </c>
      <c r="B851" s="4" t="n">
        <v>45357</v>
      </c>
      <c r="C851" s="4" t="n">
        <v>45363</v>
      </c>
      <c r="D851" s="3" t="s">
        <v>2666</v>
      </c>
      <c r="E851" s="3" t="s">
        <v>69</v>
      </c>
      <c r="F851" s="3" t="s">
        <v>121</v>
      </c>
      <c r="G851" s="3" t="s">
        <v>88</v>
      </c>
      <c r="H851" s="3" t="s">
        <v>43</v>
      </c>
      <c r="I851" s="3" t="s">
        <v>211</v>
      </c>
      <c r="J851" s="3" t="s">
        <v>212</v>
      </c>
      <c r="K851" s="3" t="s">
        <v>62</v>
      </c>
      <c r="L851" s="3" t="s">
        <v>188</v>
      </c>
      <c r="M851" s="3" t="s">
        <v>2667</v>
      </c>
      <c r="N851" s="3" t="s">
        <v>83</v>
      </c>
      <c r="O851" s="3" t="s">
        <v>43</v>
      </c>
      <c r="P851" s="5" t="n">
        <v>3</v>
      </c>
      <c r="Q851" s="6" t="n">
        <v>679.63</v>
      </c>
      <c r="R851" s="3" t="s">
        <v>50</v>
      </c>
      <c r="S851" s="7" t="n">
        <v>0.2</v>
      </c>
      <c r="T851" s="3" t="s">
        <v>51</v>
      </c>
      <c r="U851" s="7" t="n">
        <f aca="false">IF(T851="Valid",S851,0)</f>
        <v>0.2</v>
      </c>
      <c r="V851" s="6" t="n">
        <v>1631.11</v>
      </c>
      <c r="W851" s="6" t="n">
        <v>898.73</v>
      </c>
      <c r="X851" s="6" t="n">
        <v>396.58</v>
      </c>
      <c r="Y851" s="6" t="n">
        <f aca="false">P851*Q851*(1-U851)</f>
        <v>1631.112</v>
      </c>
      <c r="Z851" s="6" t="n">
        <f aca="false">Y851-W851</f>
        <v>732.382</v>
      </c>
      <c r="AA851" s="8" t="n">
        <f aca="false">IF(Y851=0,0,Z851/Y851)</f>
        <v>0.449007793456243</v>
      </c>
      <c r="AB851" s="3" t="str">
        <f aca="false">IF(ABS(V851-Y851)&gt;1,"Mismatch","OK")</f>
        <v>OK</v>
      </c>
      <c r="AC851" s="3" t="str">
        <f aca="false">IF(ABS(X851-Z851)&gt;1,"Mismatch","OK")</f>
        <v>Mismatch</v>
      </c>
      <c r="AD851" s="5" t="n">
        <f aca="false">IF(OR(B851="",C851=""),"",C851-B851)</f>
        <v>6</v>
      </c>
      <c r="AE851" s="3" t="str">
        <f aca="false">IF(AD851="","Unknown",IF(AD851&lt;0,"Invalid - Ship Before Order","OK"))</f>
        <v>OK</v>
      </c>
      <c r="AF851" s="5" t="n">
        <f aca="false">IF(B851="","",MONTH(B851))</f>
        <v>3</v>
      </c>
      <c r="AG851" s="5" t="n">
        <f aca="false">IF(B851="","",YEAR(B851))</f>
        <v>2024</v>
      </c>
      <c r="AH851" s="3" t="s">
        <v>52</v>
      </c>
      <c r="AI851" s="3" t="s">
        <v>53</v>
      </c>
      <c r="AJ851" s="3" t="str">
        <f aca="false">IF(AND(AI851="Completed",AH851="Failed"),"Inconsistent - Completed Order with Failed Payment","OK")</f>
        <v>OK</v>
      </c>
      <c r="AK851" s="3" t="s">
        <v>54</v>
      </c>
      <c r="AL851" s="3" t="str">
        <f aca="false">IF(OR(T851="Negative - Invalid",T851="Above Allowed Range - Invalid",AE851="Invalid - Ship Before Order",AK851&lt;&gt;"Unique",AB851="Mismatch",AC851="Mismatch",AJ851&lt;&gt;"OK"),"Invalid",IF(OR(H851="Yes",O851="Yes",T851="Missing"),"Warning","Clean"))</f>
        <v>Invalid</v>
      </c>
    </row>
    <row r="852" customFormat="false" ht="15" hidden="false" customHeight="true" outlineLevel="0" collapsed="false">
      <c r="A852" s="3" t="s">
        <v>2668</v>
      </c>
      <c r="B852" s="4" t="n">
        <v>45473</v>
      </c>
      <c r="C852" s="4" t="n">
        <v>45476</v>
      </c>
      <c r="D852" s="3" t="s">
        <v>2669</v>
      </c>
      <c r="E852" s="3" t="s">
        <v>141</v>
      </c>
      <c r="F852" s="3" t="s">
        <v>121</v>
      </c>
      <c r="G852" s="3" t="s">
        <v>59</v>
      </c>
      <c r="H852" s="3" t="s">
        <v>43</v>
      </c>
      <c r="I852" s="3" t="s">
        <v>125</v>
      </c>
      <c r="J852" s="3" t="s">
        <v>126</v>
      </c>
      <c r="K852" s="3" t="s">
        <v>46</v>
      </c>
      <c r="L852" s="3" t="s">
        <v>47</v>
      </c>
      <c r="M852" s="3" t="s">
        <v>2670</v>
      </c>
      <c r="N852" s="3" t="s">
        <v>72</v>
      </c>
      <c r="O852" s="3" t="s">
        <v>43</v>
      </c>
      <c r="P852" s="5" t="n">
        <v>6</v>
      </c>
      <c r="Q852" s="6" t="n">
        <v>1211.01</v>
      </c>
      <c r="R852" s="3" t="s">
        <v>66</v>
      </c>
      <c r="S852" s="7" t="n">
        <v>0</v>
      </c>
      <c r="T852" s="3" t="s">
        <v>51</v>
      </c>
      <c r="U852" s="7" t="n">
        <f aca="false">IF(T852="Valid",S852,0)</f>
        <v>0</v>
      </c>
      <c r="V852" s="6" t="n">
        <v>7266.06</v>
      </c>
      <c r="W852" s="6" t="n">
        <v>6216.89</v>
      </c>
      <c r="X852" s="6" t="n">
        <v>1049.17</v>
      </c>
      <c r="Y852" s="6" t="n">
        <f aca="false">P852*Q852*(1-U852)</f>
        <v>7266.06</v>
      </c>
      <c r="Z852" s="6" t="n">
        <f aca="false">Y852-W852</f>
        <v>1049.17</v>
      </c>
      <c r="AA852" s="8" t="n">
        <f aca="false">IF(Y852=0,0,Z852/Y852)</f>
        <v>0.144393247509654</v>
      </c>
      <c r="AB852" s="3" t="str">
        <f aca="false">IF(ABS(V852-Y852)&gt;1,"Mismatch","OK")</f>
        <v>OK</v>
      </c>
      <c r="AC852" s="3" t="str">
        <f aca="false">IF(ABS(X852-Z852)&gt;1,"Mismatch","OK")</f>
        <v>OK</v>
      </c>
      <c r="AD852" s="5" t="n">
        <f aca="false">IF(OR(B852="",C852=""),"",C852-B852)</f>
        <v>3</v>
      </c>
      <c r="AE852" s="3" t="str">
        <f aca="false">IF(AD852="","Unknown",IF(AD852&lt;0,"Invalid - Ship Before Order","OK"))</f>
        <v>OK</v>
      </c>
      <c r="AF852" s="5" t="n">
        <f aca="false">IF(B852="","",MONTH(B852))</f>
        <v>6</v>
      </c>
      <c r="AG852" s="5" t="n">
        <f aca="false">IF(B852="","",YEAR(B852))</f>
        <v>2024</v>
      </c>
      <c r="AH852" s="3" t="s">
        <v>52</v>
      </c>
      <c r="AI852" s="3" t="s">
        <v>53</v>
      </c>
      <c r="AJ852" s="3" t="str">
        <f aca="false">IF(AND(AI852="Completed",AH852="Failed"),"Inconsistent - Completed Order with Failed Payment","OK")</f>
        <v>OK</v>
      </c>
      <c r="AK852" s="3" t="s">
        <v>54</v>
      </c>
      <c r="AL852" s="3" t="str">
        <f aca="false">IF(OR(T852="Negative - Invalid",T852="Above Allowed Range - Invalid",AE852="Invalid - Ship Before Order",AK852&lt;&gt;"Unique",AB852="Mismatch",AC852="Mismatch",AJ852&lt;&gt;"OK"),"Invalid",IF(OR(H852="Yes",O852="Yes",T852="Missing"),"Warning","Clean"))</f>
        <v>Clean</v>
      </c>
    </row>
    <row r="853" customFormat="false" ht="15" hidden="false" customHeight="true" outlineLevel="0" collapsed="false">
      <c r="A853" s="3" t="s">
        <v>2671</v>
      </c>
      <c r="B853" s="4" t="n">
        <v>45377</v>
      </c>
      <c r="C853" s="4" t="n">
        <v>45383</v>
      </c>
      <c r="D853" s="3" t="s">
        <v>2672</v>
      </c>
      <c r="E853" s="3" t="s">
        <v>40</v>
      </c>
      <c r="F853" s="3" t="s">
        <v>58</v>
      </c>
      <c r="G853" s="3" t="s">
        <v>88</v>
      </c>
      <c r="H853" s="3" t="s">
        <v>43</v>
      </c>
      <c r="I853" s="3" t="s">
        <v>211</v>
      </c>
      <c r="J853" s="3" t="s">
        <v>212</v>
      </c>
      <c r="K853" s="3" t="s">
        <v>99</v>
      </c>
      <c r="L853" s="3" t="s">
        <v>100</v>
      </c>
      <c r="M853" s="3" t="s">
        <v>2673</v>
      </c>
      <c r="N853" s="3" t="s">
        <v>72</v>
      </c>
      <c r="O853" s="3" t="s">
        <v>43</v>
      </c>
      <c r="P853" s="5" t="n">
        <v>2</v>
      </c>
      <c r="Q853" s="6" t="n">
        <v>1161.3</v>
      </c>
      <c r="R853" s="3" t="s">
        <v>50</v>
      </c>
      <c r="S853" s="7" t="n">
        <v>0.2</v>
      </c>
      <c r="T853" s="3" t="s">
        <v>51</v>
      </c>
      <c r="U853" s="7" t="n">
        <f aca="false">IF(T853="Valid",S853,0)</f>
        <v>0.2</v>
      </c>
      <c r="V853" s="6" t="n">
        <v>1858.08</v>
      </c>
      <c r="W853" s="6" t="n">
        <v>1590.75</v>
      </c>
      <c r="X853" s="6" t="n">
        <v>267.33</v>
      </c>
      <c r="Y853" s="6" t="n">
        <f aca="false">P853*Q853*(1-U853)</f>
        <v>1858.08</v>
      </c>
      <c r="Z853" s="6" t="n">
        <f aca="false">Y853-W853</f>
        <v>267.33</v>
      </c>
      <c r="AA853" s="8" t="n">
        <f aca="false">IF(Y853=0,0,Z853/Y853)</f>
        <v>0.143874321880651</v>
      </c>
      <c r="AB853" s="3" t="str">
        <f aca="false">IF(ABS(V853-Y853)&gt;1,"Mismatch","OK")</f>
        <v>OK</v>
      </c>
      <c r="AC853" s="3" t="str">
        <f aca="false">IF(ABS(X853-Z853)&gt;1,"Mismatch","OK")</f>
        <v>OK</v>
      </c>
      <c r="AD853" s="5" t="n">
        <f aca="false">IF(OR(B853="",C853=""),"",C853-B853)</f>
        <v>6</v>
      </c>
      <c r="AE853" s="3" t="str">
        <f aca="false">IF(AD853="","Unknown",IF(AD853&lt;0,"Invalid - Ship Before Order","OK"))</f>
        <v>OK</v>
      </c>
      <c r="AF853" s="5" t="n">
        <f aca="false">IF(B853="","",MONTH(B853))</f>
        <v>3</v>
      </c>
      <c r="AG853" s="5" t="n">
        <f aca="false">IF(B853="","",YEAR(B853))</f>
        <v>2024</v>
      </c>
      <c r="AH853" s="3" t="s">
        <v>52</v>
      </c>
      <c r="AI853" s="3" t="s">
        <v>53</v>
      </c>
      <c r="AJ853" s="3" t="str">
        <f aca="false">IF(AND(AI853="Completed",AH853="Failed"),"Inconsistent - Completed Order with Failed Payment","OK")</f>
        <v>OK</v>
      </c>
      <c r="AK853" s="3" t="s">
        <v>54</v>
      </c>
      <c r="AL853" s="3" t="str">
        <f aca="false">IF(OR(T853="Negative - Invalid",T853="Above Allowed Range - Invalid",AE853="Invalid - Ship Before Order",AK853&lt;&gt;"Unique",AB853="Mismatch",AC853="Mismatch",AJ853&lt;&gt;"OK"),"Invalid",IF(OR(H853="Yes",O853="Yes",T853="Missing"),"Warning","Clean"))</f>
        <v>Clean</v>
      </c>
    </row>
    <row r="854" customFormat="false" ht="15" hidden="false" customHeight="true" outlineLevel="0" collapsed="false">
      <c r="A854" s="3" t="s">
        <v>2674</v>
      </c>
      <c r="B854" s="4" t="n">
        <v>45383</v>
      </c>
      <c r="C854" s="4" t="n">
        <v>45390</v>
      </c>
      <c r="D854" s="3" t="s">
        <v>2675</v>
      </c>
      <c r="E854" s="3" t="s">
        <v>87</v>
      </c>
      <c r="F854" s="3" t="s">
        <v>41</v>
      </c>
      <c r="G854" s="3" t="s">
        <v>59</v>
      </c>
      <c r="H854" s="3" t="s">
        <v>43</v>
      </c>
      <c r="I854" s="3" t="s">
        <v>196</v>
      </c>
      <c r="J854" s="3" t="s">
        <v>197</v>
      </c>
      <c r="K854" s="3" t="s">
        <v>62</v>
      </c>
      <c r="L854" s="3" t="s">
        <v>63</v>
      </c>
      <c r="M854" s="3" t="s">
        <v>2676</v>
      </c>
      <c r="N854" s="3" t="s">
        <v>49</v>
      </c>
      <c r="O854" s="3" t="s">
        <v>43</v>
      </c>
      <c r="P854" s="5" t="n">
        <v>7</v>
      </c>
      <c r="Q854" s="6" t="n">
        <v>4205.35</v>
      </c>
      <c r="R854" s="3" t="s">
        <v>107</v>
      </c>
      <c r="S854" s="7" t="n">
        <v>0.15</v>
      </c>
      <c r="T854" s="3" t="s">
        <v>51</v>
      </c>
      <c r="U854" s="7" t="n">
        <f aca="false">IF(T854="Valid",S854,0)</f>
        <v>0.15</v>
      </c>
      <c r="V854" s="6" t="n">
        <v>25021.83</v>
      </c>
      <c r="W854" s="6" t="n">
        <v>15544.44</v>
      </c>
      <c r="X854" s="6" t="n">
        <v>9477.39</v>
      </c>
      <c r="Y854" s="6" t="n">
        <f aca="false">P854*Q854*(1-U854)</f>
        <v>25021.8325</v>
      </c>
      <c r="Z854" s="6" t="n">
        <f aca="false">Y854-W854</f>
        <v>9477.3925</v>
      </c>
      <c r="AA854" s="8" t="n">
        <f aca="false">IF(Y854=0,0,Z854/Y854)</f>
        <v>0.378764924591354</v>
      </c>
      <c r="AB854" s="3" t="str">
        <f aca="false">IF(ABS(V854-Y854)&gt;1,"Mismatch","OK")</f>
        <v>OK</v>
      </c>
      <c r="AC854" s="3" t="str">
        <f aca="false">IF(ABS(X854-Z854)&gt;1,"Mismatch","OK")</f>
        <v>OK</v>
      </c>
      <c r="AD854" s="5" t="n">
        <f aca="false">IF(OR(B854="",C854=""),"",C854-B854)</f>
        <v>7</v>
      </c>
      <c r="AE854" s="3" t="str">
        <f aca="false">IF(AD854="","Unknown",IF(AD854&lt;0,"Invalid - Ship Before Order","OK"))</f>
        <v>OK</v>
      </c>
      <c r="AF854" s="5" t="n">
        <f aca="false">IF(B854="","",MONTH(B854))</f>
        <v>4</v>
      </c>
      <c r="AG854" s="5" t="n">
        <f aca="false">IF(B854="","",YEAR(B854))</f>
        <v>2024</v>
      </c>
      <c r="AH854" s="3" t="s">
        <v>138</v>
      </c>
      <c r="AI854" s="3" t="s">
        <v>93</v>
      </c>
      <c r="AJ854" s="3" t="str">
        <f aca="false">IF(AND(AI854="Completed",AH854="Failed"),"Inconsistent - Completed Order with Failed Payment","OK")</f>
        <v>OK</v>
      </c>
      <c r="AK854" s="3" t="s">
        <v>54</v>
      </c>
      <c r="AL854" s="3" t="str">
        <f aca="false">IF(OR(T854="Negative - Invalid",T854="Above Allowed Range - Invalid",AE854="Invalid - Ship Before Order",AK854&lt;&gt;"Unique",AB854="Mismatch",AC854="Mismatch",AJ854&lt;&gt;"OK"),"Invalid",IF(OR(H854="Yes",O854="Yes",T854="Missing"),"Warning","Clean"))</f>
        <v>Clean</v>
      </c>
    </row>
    <row r="855" customFormat="false" ht="15" hidden="false" customHeight="true" outlineLevel="0" collapsed="false">
      <c r="A855" s="3" t="s">
        <v>2677</v>
      </c>
      <c r="B855" s="4" t="n">
        <v>45793</v>
      </c>
      <c r="C855" s="4" t="n">
        <v>45799</v>
      </c>
      <c r="D855" s="3" t="s">
        <v>2678</v>
      </c>
      <c r="E855" s="3" t="s">
        <v>77</v>
      </c>
      <c r="F855" s="3" t="s">
        <v>116</v>
      </c>
      <c r="G855" s="3" t="s">
        <v>78</v>
      </c>
      <c r="H855" s="3" t="s">
        <v>43</v>
      </c>
      <c r="I855" s="3" t="s">
        <v>281</v>
      </c>
      <c r="J855" s="3" t="s">
        <v>282</v>
      </c>
      <c r="K855" s="3" t="s">
        <v>99</v>
      </c>
      <c r="L855" s="3" t="s">
        <v>100</v>
      </c>
      <c r="M855" s="3" t="s">
        <v>2679</v>
      </c>
      <c r="N855" s="3" t="s">
        <v>65</v>
      </c>
      <c r="O855" s="3" t="s">
        <v>43</v>
      </c>
      <c r="P855" s="5" t="n">
        <v>8</v>
      </c>
      <c r="Q855" s="6" t="n">
        <v>579.8</v>
      </c>
      <c r="R855" s="3" t="s">
        <v>50</v>
      </c>
      <c r="S855" s="7" t="n">
        <v>0.2</v>
      </c>
      <c r="T855" s="3" t="s">
        <v>51</v>
      </c>
      <c r="U855" s="7" t="n">
        <f aca="false">IF(T855="Valid",S855,0)</f>
        <v>0.2</v>
      </c>
      <c r="V855" s="6" t="n">
        <v>3710.72</v>
      </c>
      <c r="W855" s="6" t="n">
        <v>3115.29</v>
      </c>
      <c r="X855" s="6" t="n">
        <v>595.43</v>
      </c>
      <c r="Y855" s="6" t="n">
        <f aca="false">P855*Q855*(1-U855)</f>
        <v>3710.72</v>
      </c>
      <c r="Z855" s="6" t="n">
        <f aca="false">Y855-W855</f>
        <v>595.43</v>
      </c>
      <c r="AA855" s="8" t="n">
        <f aca="false">IF(Y855=0,0,Z855/Y855)</f>
        <v>0.160462120558813</v>
      </c>
      <c r="AB855" s="3" t="str">
        <f aca="false">IF(ABS(V855-Y855)&gt;1,"Mismatch","OK")</f>
        <v>OK</v>
      </c>
      <c r="AC855" s="3" t="str">
        <f aca="false">IF(ABS(X855-Z855)&gt;1,"Mismatch","OK")</f>
        <v>OK</v>
      </c>
      <c r="AD855" s="5" t="n">
        <f aca="false">IF(OR(B855="",C855=""),"",C855-B855)</f>
        <v>6</v>
      </c>
      <c r="AE855" s="3" t="str">
        <f aca="false">IF(AD855="","Unknown",IF(AD855&lt;0,"Invalid - Ship Before Order","OK"))</f>
        <v>OK</v>
      </c>
      <c r="AF855" s="5" t="n">
        <f aca="false">IF(B855="","",MONTH(B855))</f>
        <v>5</v>
      </c>
      <c r="AG855" s="5" t="n">
        <f aca="false">IF(B855="","",YEAR(B855))</f>
        <v>2025</v>
      </c>
      <c r="AH855" s="3" t="s">
        <v>52</v>
      </c>
      <c r="AI855" s="3" t="s">
        <v>53</v>
      </c>
      <c r="AJ855" s="3" t="str">
        <f aca="false">IF(AND(AI855="Completed",AH855="Failed"),"Inconsistent - Completed Order with Failed Payment","OK")</f>
        <v>OK</v>
      </c>
      <c r="AK855" s="3" t="s">
        <v>54</v>
      </c>
      <c r="AL855" s="3" t="str">
        <f aca="false">IF(OR(T855="Negative - Invalid",T855="Above Allowed Range - Invalid",AE855="Invalid - Ship Before Order",AK855&lt;&gt;"Unique",AB855="Mismatch",AC855="Mismatch",AJ855&lt;&gt;"OK"),"Invalid",IF(OR(H855="Yes",O855="Yes",T855="Missing"),"Warning","Clean"))</f>
        <v>Clean</v>
      </c>
    </row>
    <row r="856" customFormat="false" ht="15" hidden="false" customHeight="true" outlineLevel="0" collapsed="false">
      <c r="A856" s="3" t="s">
        <v>2680</v>
      </c>
      <c r="B856" s="4" t="n">
        <v>45741</v>
      </c>
      <c r="C856" s="4" t="n">
        <v>45749</v>
      </c>
      <c r="D856" s="3" t="s">
        <v>2681</v>
      </c>
      <c r="E856" s="3" t="s">
        <v>141</v>
      </c>
      <c r="F856" s="3" t="s">
        <v>41</v>
      </c>
      <c r="G856" s="3" t="s">
        <v>78</v>
      </c>
      <c r="H856" s="3" t="s">
        <v>43</v>
      </c>
      <c r="I856" s="3" t="s">
        <v>206</v>
      </c>
      <c r="J856" s="3" t="s">
        <v>207</v>
      </c>
      <c r="K856" s="3" t="s">
        <v>62</v>
      </c>
      <c r="L856" s="3" t="s">
        <v>188</v>
      </c>
      <c r="M856" s="3" t="s">
        <v>2682</v>
      </c>
      <c r="N856" s="3" t="s">
        <v>49</v>
      </c>
      <c r="O856" s="3" t="s">
        <v>43</v>
      </c>
      <c r="P856" s="5" t="n">
        <v>4</v>
      </c>
      <c r="Q856" s="6" t="n">
        <v>2233.64</v>
      </c>
      <c r="R856" s="3" t="s">
        <v>128</v>
      </c>
      <c r="S856" s="7" t="n">
        <v>0.05</v>
      </c>
      <c r="T856" s="3" t="s">
        <v>51</v>
      </c>
      <c r="U856" s="7" t="n">
        <f aca="false">IF(T856="Valid",S856,0)</f>
        <v>0.05</v>
      </c>
      <c r="V856" s="6" t="n">
        <v>8487.83</v>
      </c>
      <c r="W856" s="6" t="n">
        <v>5245.72</v>
      </c>
      <c r="X856" s="6" t="n">
        <v>3242.11</v>
      </c>
      <c r="Y856" s="6" t="n">
        <f aca="false">P856*Q856*(1-U856)</f>
        <v>8487.832</v>
      </c>
      <c r="Z856" s="6" t="n">
        <f aca="false">Y856-W856</f>
        <v>3242.112</v>
      </c>
      <c r="AA856" s="8" t="n">
        <f aca="false">IF(Y856=0,0,Z856/Y856)</f>
        <v>0.381971744963849</v>
      </c>
      <c r="AB856" s="3" t="str">
        <f aca="false">IF(ABS(V856-Y856)&gt;1,"Mismatch","OK")</f>
        <v>OK</v>
      </c>
      <c r="AC856" s="3" t="str">
        <f aca="false">IF(ABS(X856-Z856)&gt;1,"Mismatch","OK")</f>
        <v>OK</v>
      </c>
      <c r="AD856" s="5" t="n">
        <f aca="false">IF(OR(B856="",C856=""),"",C856-B856)</f>
        <v>8</v>
      </c>
      <c r="AE856" s="3" t="str">
        <f aca="false">IF(AD856="","Unknown",IF(AD856&lt;0,"Invalid - Ship Before Order","OK"))</f>
        <v>OK</v>
      </c>
      <c r="AF856" s="5" t="n">
        <f aca="false">IF(B856="","",MONTH(B856))</f>
        <v>3</v>
      </c>
      <c r="AG856" s="5" t="n">
        <f aca="false">IF(B856="","",YEAR(B856))</f>
        <v>2025</v>
      </c>
      <c r="AH856" s="3" t="s">
        <v>52</v>
      </c>
      <c r="AI856" s="3" t="s">
        <v>53</v>
      </c>
      <c r="AJ856" s="3" t="str">
        <f aca="false">IF(AND(AI856="Completed",AH856="Failed"),"Inconsistent - Completed Order with Failed Payment","OK")</f>
        <v>OK</v>
      </c>
      <c r="AK856" s="3" t="s">
        <v>54</v>
      </c>
      <c r="AL856" s="3" t="str">
        <f aca="false">IF(OR(T856="Negative - Invalid",T856="Above Allowed Range - Invalid",AE856="Invalid - Ship Before Order",AK856&lt;&gt;"Unique",AB856="Mismatch",AC856="Mismatch",AJ856&lt;&gt;"OK"),"Invalid",IF(OR(H856="Yes",O856="Yes",T856="Missing"),"Warning","Clean"))</f>
        <v>Clean</v>
      </c>
    </row>
    <row r="857" customFormat="false" ht="15" hidden="false" customHeight="true" outlineLevel="0" collapsed="false">
      <c r="A857" s="3" t="s">
        <v>2683</v>
      </c>
      <c r="B857" s="4" t="n">
        <v>45498</v>
      </c>
      <c r="C857" s="4" t="n">
        <v>45506</v>
      </c>
      <c r="D857" s="3" t="s">
        <v>1162</v>
      </c>
      <c r="E857" s="3" t="s">
        <v>145</v>
      </c>
      <c r="F857" s="3" t="s">
        <v>41</v>
      </c>
      <c r="G857" s="3" t="s">
        <v>42</v>
      </c>
      <c r="H857" s="3" t="s">
        <v>43</v>
      </c>
      <c r="I857" s="3" t="s">
        <v>44</v>
      </c>
      <c r="J857" s="3" t="s">
        <v>45</v>
      </c>
      <c r="K857" s="3" t="s">
        <v>46</v>
      </c>
      <c r="L857" s="3" t="s">
        <v>117</v>
      </c>
      <c r="M857" s="3" t="s">
        <v>2684</v>
      </c>
      <c r="N857" s="3" t="s">
        <v>49</v>
      </c>
      <c r="O857" s="3" t="s">
        <v>43</v>
      </c>
      <c r="P857" s="5" t="n">
        <v>2</v>
      </c>
      <c r="Q857" s="6" t="n">
        <v>2073.53</v>
      </c>
      <c r="R857" s="3" t="s">
        <v>84</v>
      </c>
      <c r="S857" s="7" t="n">
        <v>0.25</v>
      </c>
      <c r="T857" s="3" t="s">
        <v>51</v>
      </c>
      <c r="U857" s="7" t="n">
        <f aca="false">IF(T857="Valid",S857,0)</f>
        <v>0.25</v>
      </c>
      <c r="V857" s="6" t="n">
        <v>3110.3</v>
      </c>
      <c r="W857" s="6" t="n">
        <v>2101.03</v>
      </c>
      <c r="X857" s="6" t="n">
        <v>1009.27</v>
      </c>
      <c r="Y857" s="6" t="n">
        <f aca="false">P857*Q857*(1-U857)</f>
        <v>3110.295</v>
      </c>
      <c r="Z857" s="6" t="n">
        <f aca="false">Y857-W857</f>
        <v>1009.265</v>
      </c>
      <c r="AA857" s="8" t="n">
        <f aca="false">IF(Y857=0,0,Z857/Y857)</f>
        <v>0.324491728276578</v>
      </c>
      <c r="AB857" s="3" t="str">
        <f aca="false">IF(ABS(V857-Y857)&gt;1,"Mismatch","OK")</f>
        <v>OK</v>
      </c>
      <c r="AC857" s="3" t="str">
        <f aca="false">IF(ABS(X857-Z857)&gt;1,"Mismatch","OK")</f>
        <v>OK</v>
      </c>
      <c r="AD857" s="5" t="n">
        <f aca="false">IF(OR(B857="",C857=""),"",C857-B857)</f>
        <v>8</v>
      </c>
      <c r="AE857" s="3" t="str">
        <f aca="false">IF(AD857="","Unknown",IF(AD857&lt;0,"Invalid - Ship Before Order","OK"))</f>
        <v>OK</v>
      </c>
      <c r="AF857" s="5" t="n">
        <f aca="false">IF(B857="","",MONTH(B857))</f>
        <v>7</v>
      </c>
      <c r="AG857" s="5" t="n">
        <f aca="false">IF(B857="","",YEAR(B857))</f>
        <v>2024</v>
      </c>
      <c r="AH857" s="3" t="s">
        <v>52</v>
      </c>
      <c r="AI857" s="3" t="s">
        <v>53</v>
      </c>
      <c r="AJ857" s="3" t="str">
        <f aca="false">IF(AND(AI857="Completed",AH857="Failed"),"Inconsistent - Completed Order with Failed Payment","OK")</f>
        <v>OK</v>
      </c>
      <c r="AK857" s="3" t="s">
        <v>54</v>
      </c>
      <c r="AL857" s="3" t="str">
        <f aca="false">IF(OR(T857="Negative - Invalid",T857="Above Allowed Range - Invalid",AE857="Invalid - Ship Before Order",AK857&lt;&gt;"Unique",AB857="Mismatch",AC857="Mismatch",AJ857&lt;&gt;"OK"),"Invalid",IF(OR(H857="Yes",O857="Yes",T857="Missing"),"Warning","Clean"))</f>
        <v>Clean</v>
      </c>
    </row>
    <row r="858" customFormat="false" ht="15" hidden="false" customHeight="true" outlineLevel="0" collapsed="false">
      <c r="A858" s="3" t="s">
        <v>2685</v>
      </c>
      <c r="B858" s="4" t="n">
        <v>45455</v>
      </c>
      <c r="C858" s="4" t="n">
        <v>45462</v>
      </c>
      <c r="D858" s="3" t="s">
        <v>1341</v>
      </c>
      <c r="E858" s="3" t="s">
        <v>168</v>
      </c>
      <c r="F858" s="3" t="s">
        <v>121</v>
      </c>
      <c r="G858" s="3" t="s">
        <v>78</v>
      </c>
      <c r="H858" s="3" t="s">
        <v>43</v>
      </c>
      <c r="I858" s="3" t="s">
        <v>281</v>
      </c>
      <c r="J858" s="3" t="s">
        <v>282</v>
      </c>
      <c r="K858" s="3" t="s">
        <v>46</v>
      </c>
      <c r="L858" s="3" t="s">
        <v>151</v>
      </c>
      <c r="M858" s="3" t="s">
        <v>2686</v>
      </c>
      <c r="N858" s="3" t="s">
        <v>83</v>
      </c>
      <c r="O858" s="3" t="s">
        <v>43</v>
      </c>
      <c r="P858" s="5" t="n">
        <v>4</v>
      </c>
      <c r="Q858" s="6" t="n">
        <v>395.1</v>
      </c>
      <c r="R858" s="3" t="s">
        <v>751</v>
      </c>
      <c r="S858" s="7" t="n">
        <v>-0.16</v>
      </c>
      <c r="T858" s="3" t="s">
        <v>171</v>
      </c>
      <c r="U858" s="7" t="n">
        <f aca="false">IF(T858="Valid",S858,0)</f>
        <v>0</v>
      </c>
      <c r="V858" s="6" t="n">
        <v>1185.3</v>
      </c>
      <c r="W858" s="6" t="n">
        <v>966.55</v>
      </c>
      <c r="X858" s="6" t="n">
        <v>218.75</v>
      </c>
      <c r="Y858" s="6" t="n">
        <f aca="false">P858*Q858*(1-U858)</f>
        <v>1580.4</v>
      </c>
      <c r="Z858" s="6" t="n">
        <f aca="false">Y858-W858</f>
        <v>613.85</v>
      </c>
      <c r="AA858" s="8" t="n">
        <f aca="false">IF(Y858=0,0,Z858/Y858)</f>
        <v>0.388414325487219</v>
      </c>
      <c r="AB858" s="3" t="str">
        <f aca="false">IF(ABS(V858-Y858)&gt;1,"Mismatch","OK")</f>
        <v>Mismatch</v>
      </c>
      <c r="AC858" s="3" t="str">
        <f aca="false">IF(ABS(X858-Z858)&gt;1,"Mismatch","OK")</f>
        <v>Mismatch</v>
      </c>
      <c r="AD858" s="5" t="n">
        <f aca="false">IF(OR(B858="",C858=""),"",C858-B858)</f>
        <v>7</v>
      </c>
      <c r="AE858" s="3" t="str">
        <f aca="false">IF(AD858="","Unknown",IF(AD858&lt;0,"Invalid - Ship Before Order","OK"))</f>
        <v>OK</v>
      </c>
      <c r="AF858" s="5" t="n">
        <f aca="false">IF(B858="","",MONTH(B858))</f>
        <v>6</v>
      </c>
      <c r="AG858" s="5" t="n">
        <f aca="false">IF(B858="","",YEAR(B858))</f>
        <v>2024</v>
      </c>
      <c r="AH858" s="3" t="s">
        <v>185</v>
      </c>
      <c r="AI858" s="3" t="s">
        <v>93</v>
      </c>
      <c r="AJ858" s="3" t="str">
        <f aca="false">IF(AND(AI858="Completed",AH858="Failed"),"Inconsistent - Completed Order with Failed Payment","OK")</f>
        <v>OK</v>
      </c>
      <c r="AK858" s="3" t="s">
        <v>54</v>
      </c>
      <c r="AL858" s="3" t="str">
        <f aca="false">IF(OR(T858="Negative - Invalid",T858="Above Allowed Range - Invalid",AE858="Invalid - Ship Before Order",AK858&lt;&gt;"Unique",AB858="Mismatch",AC858="Mismatch",AJ858&lt;&gt;"OK"),"Invalid",IF(OR(H858="Yes",O858="Yes",T858="Missing"),"Warning","Clean"))</f>
        <v>Invalid</v>
      </c>
    </row>
    <row r="859" customFormat="false" ht="15" hidden="false" customHeight="true" outlineLevel="0" collapsed="false">
      <c r="A859" s="3" t="s">
        <v>2687</v>
      </c>
      <c r="B859" s="4" t="n">
        <v>45447</v>
      </c>
      <c r="C859" s="4" t="n">
        <v>45447</v>
      </c>
      <c r="D859" s="3" t="s">
        <v>2193</v>
      </c>
      <c r="E859" s="3" t="s">
        <v>159</v>
      </c>
      <c r="F859" s="3" t="s">
        <v>121</v>
      </c>
      <c r="G859" s="3" t="s">
        <v>78</v>
      </c>
      <c r="H859" s="3" t="s">
        <v>43</v>
      </c>
      <c r="I859" s="3" t="s">
        <v>216</v>
      </c>
      <c r="J859" s="3" t="s">
        <v>217</v>
      </c>
      <c r="K859" s="3" t="s">
        <v>46</v>
      </c>
      <c r="L859" s="3" t="s">
        <v>151</v>
      </c>
      <c r="M859" s="3" t="s">
        <v>2688</v>
      </c>
      <c r="N859" s="3" t="s">
        <v>72</v>
      </c>
      <c r="O859" s="3" t="s">
        <v>43</v>
      </c>
      <c r="P859" s="5" t="n">
        <v>6</v>
      </c>
      <c r="Q859" s="6" t="n">
        <v>2708.97</v>
      </c>
      <c r="R859" s="3" t="s">
        <v>84</v>
      </c>
      <c r="S859" s="7" t="n">
        <v>0.25</v>
      </c>
      <c r="T859" s="3" t="s">
        <v>51</v>
      </c>
      <c r="U859" s="7" t="n">
        <f aca="false">IF(T859="Valid",S859,0)</f>
        <v>0.25</v>
      </c>
      <c r="V859" s="6" t="n">
        <v>12190.36</v>
      </c>
      <c r="W859" s="6" t="n">
        <v>10176.99</v>
      </c>
      <c r="X859" s="6" t="n">
        <v>2013.37</v>
      </c>
      <c r="Y859" s="6" t="n">
        <f aca="false">P859*Q859*(1-U859)</f>
        <v>12190.365</v>
      </c>
      <c r="Z859" s="6" t="n">
        <f aca="false">Y859-W859</f>
        <v>2013.375</v>
      </c>
      <c r="AA859" s="8" t="n">
        <f aca="false">IF(Y859=0,0,Z859/Y859)</f>
        <v>0.165161174419306</v>
      </c>
      <c r="AB859" s="3" t="str">
        <f aca="false">IF(ABS(V859-Y859)&gt;1,"Mismatch","OK")</f>
        <v>OK</v>
      </c>
      <c r="AC859" s="3" t="str">
        <f aca="false">IF(ABS(X859-Z859)&gt;1,"Mismatch","OK")</f>
        <v>OK</v>
      </c>
      <c r="AD859" s="5" t="n">
        <f aca="false">IF(OR(B859="",C859=""),"",C859-B859)</f>
        <v>0</v>
      </c>
      <c r="AE859" s="3" t="str">
        <f aca="false">IF(AD859="","Unknown",IF(AD859&lt;0,"Invalid - Ship Before Order","OK"))</f>
        <v>OK</v>
      </c>
      <c r="AF859" s="5" t="n">
        <f aca="false">IF(B859="","",MONTH(B859))</f>
        <v>6</v>
      </c>
      <c r="AG859" s="5" t="n">
        <f aca="false">IF(B859="","",YEAR(B859))</f>
        <v>2024</v>
      </c>
      <c r="AH859" s="3" t="s">
        <v>52</v>
      </c>
      <c r="AI859" s="3" t="s">
        <v>53</v>
      </c>
      <c r="AJ859" s="3" t="str">
        <f aca="false">IF(AND(AI859="Completed",AH859="Failed"),"Inconsistent - Completed Order with Failed Payment","OK")</f>
        <v>OK</v>
      </c>
      <c r="AK859" s="3" t="s">
        <v>54</v>
      </c>
      <c r="AL859" s="3" t="str">
        <f aca="false">IF(OR(T859="Negative - Invalid",T859="Above Allowed Range - Invalid",AE859="Invalid - Ship Before Order",AK859&lt;&gt;"Unique",AB859="Mismatch",AC859="Mismatch",AJ859&lt;&gt;"OK"),"Invalid",IF(OR(H859="Yes",O859="Yes",T859="Missing"),"Warning","Clean"))</f>
        <v>Clean</v>
      </c>
    </row>
    <row r="860" customFormat="false" ht="15" hidden="false" customHeight="true" outlineLevel="0" collapsed="false">
      <c r="A860" s="3" t="s">
        <v>2689</v>
      </c>
      <c r="B860" s="4" t="n">
        <v>45414</v>
      </c>
      <c r="C860" s="4" t="n">
        <v>45421</v>
      </c>
      <c r="D860" s="3" t="s">
        <v>2690</v>
      </c>
      <c r="E860" s="3" t="s">
        <v>77</v>
      </c>
      <c r="F860" s="3" t="s">
        <v>41</v>
      </c>
      <c r="G860" s="3" t="s">
        <v>59</v>
      </c>
      <c r="H860" s="3" t="s">
        <v>43</v>
      </c>
      <c r="I860" s="3" t="s">
        <v>60</v>
      </c>
      <c r="J860" s="3" t="s">
        <v>61</v>
      </c>
      <c r="K860" s="3" t="s">
        <v>99</v>
      </c>
      <c r="L860" s="3" t="s">
        <v>100</v>
      </c>
      <c r="M860" s="3" t="s">
        <v>2691</v>
      </c>
      <c r="N860" s="3" t="s">
        <v>49</v>
      </c>
      <c r="O860" s="3" t="s">
        <v>43</v>
      </c>
      <c r="P860" s="5" t="n">
        <v>4</v>
      </c>
      <c r="Q860" s="6" t="n">
        <v>2904.86</v>
      </c>
      <c r="R860" s="3" t="s">
        <v>66</v>
      </c>
      <c r="S860" s="7" t="n">
        <v>0</v>
      </c>
      <c r="T860" s="3" t="s">
        <v>51</v>
      </c>
      <c r="U860" s="7" t="n">
        <f aca="false">IF(T860="Valid",S860,0)</f>
        <v>0</v>
      </c>
      <c r="V860" s="6" t="n">
        <v>11619.44</v>
      </c>
      <c r="W860" s="6" t="n">
        <v>7184.32</v>
      </c>
      <c r="X860" s="6" t="n">
        <v>4494.64</v>
      </c>
      <c r="Y860" s="6" t="n">
        <f aca="false">P860*Q860*(1-U860)</f>
        <v>11619.44</v>
      </c>
      <c r="Z860" s="6" t="n">
        <f aca="false">Y860-W860</f>
        <v>4435.12</v>
      </c>
      <c r="AA860" s="8" t="n">
        <f aca="false">IF(Y860=0,0,Z860/Y860)</f>
        <v>0.381698257403111</v>
      </c>
      <c r="AB860" s="3" t="str">
        <f aca="false">IF(ABS(V860-Y860)&gt;1,"Mismatch","OK")</f>
        <v>OK</v>
      </c>
      <c r="AC860" s="3" t="str">
        <f aca="false">IF(ABS(X860-Z860)&gt;1,"Mismatch","OK")</f>
        <v>Mismatch</v>
      </c>
      <c r="AD860" s="5" t="n">
        <f aca="false">IF(OR(B860="",C860=""),"",C860-B860)</f>
        <v>7</v>
      </c>
      <c r="AE860" s="3" t="str">
        <f aca="false">IF(AD860="","Unknown",IF(AD860&lt;0,"Invalid - Ship Before Order","OK"))</f>
        <v>OK</v>
      </c>
      <c r="AF860" s="5" t="n">
        <f aca="false">IF(B860="","",MONTH(B860))</f>
        <v>5</v>
      </c>
      <c r="AG860" s="5" t="n">
        <f aca="false">IF(B860="","",YEAR(B860))</f>
        <v>2024</v>
      </c>
      <c r="AH860" s="3" t="s">
        <v>52</v>
      </c>
      <c r="AI860" s="3" t="s">
        <v>53</v>
      </c>
      <c r="AJ860" s="3" t="str">
        <f aca="false">IF(AND(AI860="Completed",AH860="Failed"),"Inconsistent - Completed Order with Failed Payment","OK")</f>
        <v>OK</v>
      </c>
      <c r="AK860" s="3" t="s">
        <v>54</v>
      </c>
      <c r="AL860" s="3" t="str">
        <f aca="false">IF(OR(T860="Negative - Invalid",T860="Above Allowed Range - Invalid",AE860="Invalid - Ship Before Order",AK860&lt;&gt;"Unique",AB860="Mismatch",AC860="Mismatch",AJ860&lt;&gt;"OK"),"Invalid",IF(OR(H860="Yes",O860="Yes",T860="Missing"),"Warning","Clean"))</f>
        <v>Invalid</v>
      </c>
    </row>
    <row r="861" customFormat="false" ht="15" hidden="false" customHeight="true" outlineLevel="0" collapsed="false">
      <c r="A861" s="3" t="s">
        <v>2692</v>
      </c>
      <c r="B861" s="4" t="n">
        <v>45592</v>
      </c>
      <c r="C861" s="4" t="n">
        <v>45597</v>
      </c>
      <c r="D861" s="3" t="s">
        <v>2693</v>
      </c>
      <c r="E861" s="3" t="s">
        <v>115</v>
      </c>
      <c r="F861" s="3" t="s">
        <v>116</v>
      </c>
      <c r="G861" s="3" t="s">
        <v>78</v>
      </c>
      <c r="H861" s="3" t="s">
        <v>43</v>
      </c>
      <c r="I861" s="3" t="s">
        <v>281</v>
      </c>
      <c r="J861" s="3" t="s">
        <v>282</v>
      </c>
      <c r="K861" s="3" t="s">
        <v>99</v>
      </c>
      <c r="L861" s="3" t="s">
        <v>201</v>
      </c>
      <c r="M861" s="3" t="s">
        <v>2694</v>
      </c>
      <c r="N861" s="3" t="s">
        <v>83</v>
      </c>
      <c r="O861" s="3" t="s">
        <v>43</v>
      </c>
      <c r="P861" s="5" t="n">
        <v>6</v>
      </c>
      <c r="Q861" s="6" t="n">
        <v>4399.2</v>
      </c>
      <c r="R861" s="3" t="s">
        <v>128</v>
      </c>
      <c r="S861" s="7" t="n">
        <v>0.05</v>
      </c>
      <c r="T861" s="3" t="s">
        <v>51</v>
      </c>
      <c r="U861" s="7" t="n">
        <f aca="false">IF(T861="Valid",S861,0)</f>
        <v>0.05</v>
      </c>
      <c r="V861" s="6" t="n">
        <v>25075.44</v>
      </c>
      <c r="W861" s="6" t="n">
        <v>16282.74</v>
      </c>
      <c r="X861" s="6" t="n">
        <v>8792.7</v>
      </c>
      <c r="Y861" s="6" t="n">
        <f aca="false">P861*Q861*(1-U861)</f>
        <v>25075.44</v>
      </c>
      <c r="Z861" s="6" t="n">
        <f aca="false">Y861-W861</f>
        <v>8792.7</v>
      </c>
      <c r="AA861" s="8" t="n">
        <f aca="false">IF(Y861=0,0,Z861/Y861)</f>
        <v>0.350649878925355</v>
      </c>
      <c r="AB861" s="3" t="str">
        <f aca="false">IF(ABS(V861-Y861)&gt;1,"Mismatch","OK")</f>
        <v>OK</v>
      </c>
      <c r="AC861" s="3" t="str">
        <f aca="false">IF(ABS(X861-Z861)&gt;1,"Mismatch","OK")</f>
        <v>OK</v>
      </c>
      <c r="AD861" s="5" t="n">
        <f aca="false">IF(OR(B861="",C861=""),"",C861-B861)</f>
        <v>5</v>
      </c>
      <c r="AE861" s="3" t="str">
        <f aca="false">IF(AD861="","Unknown",IF(AD861&lt;0,"Invalid - Ship Before Order","OK"))</f>
        <v>OK</v>
      </c>
      <c r="AF861" s="5" t="n">
        <f aca="false">IF(B861="","",MONTH(B861))</f>
        <v>10</v>
      </c>
      <c r="AG861" s="5" t="n">
        <f aca="false">IF(B861="","",YEAR(B861))</f>
        <v>2024</v>
      </c>
      <c r="AH861" s="3" t="s">
        <v>52</v>
      </c>
      <c r="AI861" s="3" t="s">
        <v>53</v>
      </c>
      <c r="AJ861" s="3" t="str">
        <f aca="false">IF(AND(AI861="Completed",AH861="Failed"),"Inconsistent - Completed Order with Failed Payment","OK")</f>
        <v>OK</v>
      </c>
      <c r="AK861" s="3" t="s">
        <v>54</v>
      </c>
      <c r="AL861" s="3" t="str">
        <f aca="false">IF(OR(T861="Negative - Invalid",T861="Above Allowed Range - Invalid",AE861="Invalid - Ship Before Order",AK861&lt;&gt;"Unique",AB861="Mismatch",AC861="Mismatch",AJ861&lt;&gt;"OK"),"Invalid",IF(OR(H861="Yes",O861="Yes",T861="Missing"),"Warning","Clean"))</f>
        <v>Clean</v>
      </c>
    </row>
    <row r="862" customFormat="false" ht="15" hidden="false" customHeight="true" outlineLevel="0" collapsed="false">
      <c r="A862" s="3" t="s">
        <v>2695</v>
      </c>
      <c r="B862" s="4" t="n">
        <v>45324</v>
      </c>
      <c r="C862" s="4" t="n">
        <v>45326</v>
      </c>
      <c r="D862" s="3" t="s">
        <v>2696</v>
      </c>
      <c r="E862" s="3" t="s">
        <v>96</v>
      </c>
      <c r="F862" s="3" t="s">
        <v>121</v>
      </c>
      <c r="G862" s="3" t="s">
        <v>42</v>
      </c>
      <c r="H862" s="3" t="s">
        <v>43</v>
      </c>
      <c r="I862" s="3" t="s">
        <v>163</v>
      </c>
      <c r="J862" s="3" t="s">
        <v>164</v>
      </c>
      <c r="K862" s="3" t="s">
        <v>46</v>
      </c>
      <c r="L862" s="3" t="s">
        <v>151</v>
      </c>
      <c r="M862" s="3" t="s">
        <v>2697</v>
      </c>
      <c r="N862" s="3" t="s">
        <v>49</v>
      </c>
      <c r="O862" s="3" t="s">
        <v>43</v>
      </c>
      <c r="P862" s="5" t="n">
        <v>1</v>
      </c>
      <c r="Q862" s="6" t="n">
        <v>4397.32</v>
      </c>
      <c r="R862" s="3" t="s">
        <v>128</v>
      </c>
      <c r="S862" s="7" t="n">
        <v>0.05</v>
      </c>
      <c r="T862" s="3" t="s">
        <v>51</v>
      </c>
      <c r="U862" s="7" t="n">
        <f aca="false">IF(T862="Valid",S862,0)</f>
        <v>0.05</v>
      </c>
      <c r="V862" s="6" t="n">
        <v>4177.45</v>
      </c>
      <c r="W862" s="6" t="n">
        <v>2299.5</v>
      </c>
      <c r="X862" s="6" t="n">
        <v>1877.95</v>
      </c>
      <c r="Y862" s="6" t="n">
        <f aca="false">P862*Q862*(1-U862)</f>
        <v>4177.454</v>
      </c>
      <c r="Z862" s="6" t="n">
        <f aca="false">Y862-W862</f>
        <v>1877.954</v>
      </c>
      <c r="AA862" s="8" t="n">
        <f aca="false">IF(Y862=0,0,Z862/Y862)</f>
        <v>0.449545105703139</v>
      </c>
      <c r="AB862" s="3" t="str">
        <f aca="false">IF(ABS(V862-Y862)&gt;1,"Mismatch","OK")</f>
        <v>OK</v>
      </c>
      <c r="AC862" s="3" t="str">
        <f aca="false">IF(ABS(X862-Z862)&gt;1,"Mismatch","OK")</f>
        <v>OK</v>
      </c>
      <c r="AD862" s="5" t="n">
        <f aca="false">IF(OR(B862="",C862=""),"",C862-B862)</f>
        <v>2</v>
      </c>
      <c r="AE862" s="3" t="str">
        <f aca="false">IF(AD862="","Unknown",IF(AD862&lt;0,"Invalid - Ship Before Order","OK"))</f>
        <v>OK</v>
      </c>
      <c r="AF862" s="5" t="n">
        <f aca="false">IF(B862="","",MONTH(B862))</f>
        <v>2</v>
      </c>
      <c r="AG862" s="5" t="n">
        <f aca="false">IF(B862="","",YEAR(B862))</f>
        <v>2024</v>
      </c>
      <c r="AH862" s="3" t="s">
        <v>52</v>
      </c>
      <c r="AI862" s="3" t="s">
        <v>53</v>
      </c>
      <c r="AJ862" s="3" t="str">
        <f aca="false">IF(AND(AI862="Completed",AH862="Failed"),"Inconsistent - Completed Order with Failed Payment","OK")</f>
        <v>OK</v>
      </c>
      <c r="AK862" s="3" t="s">
        <v>54</v>
      </c>
      <c r="AL862" s="3" t="str">
        <f aca="false">IF(OR(T862="Negative - Invalid",T862="Above Allowed Range - Invalid",AE862="Invalid - Ship Before Order",AK862&lt;&gt;"Unique",AB862="Mismatch",AC862="Mismatch",AJ862&lt;&gt;"OK"),"Invalid",IF(OR(H862="Yes",O862="Yes",T862="Missing"),"Warning","Clean"))</f>
        <v>Clean</v>
      </c>
    </row>
    <row r="863" customFormat="false" ht="15" hidden="false" customHeight="true" outlineLevel="0" collapsed="false">
      <c r="A863" s="3" t="s">
        <v>2698</v>
      </c>
      <c r="B863" s="4" t="n">
        <v>45724</v>
      </c>
      <c r="C863" s="4" t="n">
        <v>45725</v>
      </c>
      <c r="D863" s="3" t="s">
        <v>2699</v>
      </c>
      <c r="E863" s="3" t="s">
        <v>141</v>
      </c>
      <c r="F863" s="3" t="s">
        <v>121</v>
      </c>
      <c r="G863" s="3" t="s">
        <v>42</v>
      </c>
      <c r="H863" s="3" t="s">
        <v>43</v>
      </c>
      <c r="I863" s="3" t="s">
        <v>384</v>
      </c>
      <c r="J863" s="3" t="s">
        <v>385</v>
      </c>
      <c r="K863" s="3" t="s">
        <v>62</v>
      </c>
      <c r="L863" s="3" t="s">
        <v>81</v>
      </c>
      <c r="M863" s="3" t="s">
        <v>2700</v>
      </c>
      <c r="N863" s="3" t="s">
        <v>65</v>
      </c>
      <c r="O863" s="3" t="s">
        <v>43</v>
      </c>
      <c r="P863" s="5" t="n">
        <v>4</v>
      </c>
      <c r="Q863" s="6" t="n">
        <v>3405.68</v>
      </c>
      <c r="R863" s="3" t="s">
        <v>50</v>
      </c>
      <c r="S863" s="7" t="n">
        <v>0.2</v>
      </c>
      <c r="T863" s="3" t="s">
        <v>51</v>
      </c>
      <c r="U863" s="7" t="n">
        <f aca="false">IF(T863="Valid",S863,0)</f>
        <v>0.2</v>
      </c>
      <c r="V863" s="6" t="n">
        <v>10898.18</v>
      </c>
      <c r="W863" s="6" t="n">
        <v>6231.41</v>
      </c>
      <c r="X863" s="6" t="n">
        <v>4666.77</v>
      </c>
      <c r="Y863" s="6" t="n">
        <f aca="false">P863*Q863*(1-U863)</f>
        <v>10898.176</v>
      </c>
      <c r="Z863" s="6" t="n">
        <f aca="false">Y863-W863</f>
        <v>4666.766</v>
      </c>
      <c r="AA863" s="8" t="n">
        <f aca="false">IF(Y863=0,0,Z863/Y863)</f>
        <v>0.428215327041883</v>
      </c>
      <c r="AB863" s="3" t="str">
        <f aca="false">IF(ABS(V863-Y863)&gt;1,"Mismatch","OK")</f>
        <v>OK</v>
      </c>
      <c r="AC863" s="3" t="str">
        <f aca="false">IF(ABS(X863-Z863)&gt;1,"Mismatch","OK")</f>
        <v>OK</v>
      </c>
      <c r="AD863" s="5" t="n">
        <f aca="false">IF(OR(B863="",C863=""),"",C863-B863)</f>
        <v>1</v>
      </c>
      <c r="AE863" s="3" t="str">
        <f aca="false">IF(AD863="","Unknown",IF(AD863&lt;0,"Invalid - Ship Before Order","OK"))</f>
        <v>OK</v>
      </c>
      <c r="AF863" s="5" t="n">
        <f aca="false">IF(B863="","",MONTH(B863))</f>
        <v>3</v>
      </c>
      <c r="AG863" s="5" t="n">
        <f aca="false">IF(B863="","",YEAR(B863))</f>
        <v>2025</v>
      </c>
      <c r="AH863" s="3" t="s">
        <v>52</v>
      </c>
      <c r="AI863" s="3" t="s">
        <v>53</v>
      </c>
      <c r="AJ863" s="3" t="str">
        <f aca="false">IF(AND(AI863="Completed",AH863="Failed"),"Inconsistent - Completed Order with Failed Payment","OK")</f>
        <v>OK</v>
      </c>
      <c r="AK863" s="3" t="s">
        <v>54</v>
      </c>
      <c r="AL863" s="3" t="str">
        <f aca="false">IF(OR(T863="Negative - Invalid",T863="Above Allowed Range - Invalid",AE863="Invalid - Ship Before Order",AK863&lt;&gt;"Unique",AB863="Mismatch",AC863="Mismatch",AJ863&lt;&gt;"OK"),"Invalid",IF(OR(H863="Yes",O863="Yes",T863="Missing"),"Warning","Clean"))</f>
        <v>Clean</v>
      </c>
    </row>
    <row r="864" customFormat="false" ht="15" hidden="false" customHeight="true" outlineLevel="0" collapsed="false">
      <c r="A864" s="3" t="s">
        <v>2701</v>
      </c>
      <c r="B864" s="4" t="n">
        <v>45742</v>
      </c>
      <c r="C864" s="4" t="n">
        <v>45747</v>
      </c>
      <c r="D864" s="3" t="s">
        <v>2702</v>
      </c>
      <c r="E864" s="3" t="s">
        <v>141</v>
      </c>
      <c r="F864" s="3" t="s">
        <v>58</v>
      </c>
      <c r="G864" s="3" t="s">
        <v>59</v>
      </c>
      <c r="H864" s="3" t="s">
        <v>43</v>
      </c>
      <c r="I864" s="3" t="s">
        <v>262</v>
      </c>
      <c r="J864" s="3" t="s">
        <v>263</v>
      </c>
      <c r="K864" s="3" t="s">
        <v>46</v>
      </c>
      <c r="L864" s="3" t="s">
        <v>183</v>
      </c>
      <c r="M864" s="3" t="s">
        <v>2703</v>
      </c>
      <c r="N864" s="3" t="s">
        <v>72</v>
      </c>
      <c r="O864" s="3" t="s">
        <v>43</v>
      </c>
      <c r="P864" s="5" t="n">
        <v>5</v>
      </c>
      <c r="Q864" s="6" t="n">
        <v>1395.14</v>
      </c>
      <c r="R864" s="3" t="s">
        <v>66</v>
      </c>
      <c r="S864" s="7" t="n">
        <v>0</v>
      </c>
      <c r="T864" s="3" t="s">
        <v>51</v>
      </c>
      <c r="U864" s="7" t="n">
        <f aca="false">IF(T864="Valid",S864,0)</f>
        <v>0</v>
      </c>
      <c r="V864" s="6" t="n">
        <v>6975.7</v>
      </c>
      <c r="W864" s="6" t="n">
        <v>4797.88</v>
      </c>
      <c r="X864" s="6" t="n">
        <v>2177.82</v>
      </c>
      <c r="Y864" s="6" t="n">
        <f aca="false">P864*Q864*(1-U864)</f>
        <v>6975.7</v>
      </c>
      <c r="Z864" s="6" t="n">
        <f aca="false">Y864-W864</f>
        <v>2177.82</v>
      </c>
      <c r="AA864" s="8" t="n">
        <f aca="false">IF(Y864=0,0,Z864/Y864)</f>
        <v>0.312200926071936</v>
      </c>
      <c r="AB864" s="3" t="str">
        <f aca="false">IF(ABS(V864-Y864)&gt;1,"Mismatch","OK")</f>
        <v>OK</v>
      </c>
      <c r="AC864" s="3" t="str">
        <f aca="false">IF(ABS(X864-Z864)&gt;1,"Mismatch","OK")</f>
        <v>OK</v>
      </c>
      <c r="AD864" s="5" t="n">
        <f aca="false">IF(OR(B864="",C864=""),"",C864-B864)</f>
        <v>5</v>
      </c>
      <c r="AE864" s="3" t="str">
        <f aca="false">IF(AD864="","Unknown",IF(AD864&lt;0,"Invalid - Ship Before Order","OK"))</f>
        <v>OK</v>
      </c>
      <c r="AF864" s="5" t="n">
        <f aca="false">IF(B864="","",MONTH(B864))</f>
        <v>3</v>
      </c>
      <c r="AG864" s="5" t="n">
        <f aca="false">IF(B864="","",YEAR(B864))</f>
        <v>2025</v>
      </c>
      <c r="AH864" s="3" t="s">
        <v>52</v>
      </c>
      <c r="AI864" s="3" t="s">
        <v>93</v>
      </c>
      <c r="AJ864" s="3" t="str">
        <f aca="false">IF(AND(AI864="Completed",AH864="Failed"),"Inconsistent - Completed Order with Failed Payment","OK")</f>
        <v>OK</v>
      </c>
      <c r="AK864" s="3" t="s">
        <v>54</v>
      </c>
      <c r="AL864" s="3" t="str">
        <f aca="false">IF(OR(T864="Negative - Invalid",T864="Above Allowed Range - Invalid",AE864="Invalid - Ship Before Order",AK864&lt;&gt;"Unique",AB864="Mismatch",AC864="Mismatch",AJ864&lt;&gt;"OK"),"Invalid",IF(OR(H864="Yes",O864="Yes",T864="Missing"),"Warning","Clean"))</f>
        <v>Clean</v>
      </c>
    </row>
    <row r="865" customFormat="false" ht="15" hidden="false" customHeight="true" outlineLevel="0" collapsed="false">
      <c r="A865" s="3" t="s">
        <v>2704</v>
      </c>
      <c r="B865" s="4" t="n">
        <v>45906</v>
      </c>
      <c r="C865" s="4" t="n">
        <v>45908</v>
      </c>
      <c r="D865" s="3" t="s">
        <v>2705</v>
      </c>
      <c r="E865" s="3" t="s">
        <v>155</v>
      </c>
      <c r="F865" s="3" t="s">
        <v>121</v>
      </c>
      <c r="G865" s="3" t="s">
        <v>88</v>
      </c>
      <c r="H865" s="3" t="s">
        <v>43</v>
      </c>
      <c r="I865" s="3" t="s">
        <v>97</v>
      </c>
      <c r="J865" s="3" t="s">
        <v>98</v>
      </c>
      <c r="K865" s="3" t="s">
        <v>62</v>
      </c>
      <c r="L865" s="3" t="s">
        <v>81</v>
      </c>
      <c r="M865" s="3" t="s">
        <v>2706</v>
      </c>
      <c r="N865" s="3" t="s">
        <v>65</v>
      </c>
      <c r="O865" s="3" t="s">
        <v>43</v>
      </c>
      <c r="P865" s="5" t="n">
        <v>3</v>
      </c>
      <c r="Q865" s="6" t="n">
        <v>2937.23</v>
      </c>
      <c r="R865" s="3" t="s">
        <v>66</v>
      </c>
      <c r="S865" s="7" t="n">
        <v>0</v>
      </c>
      <c r="T865" s="3" t="s">
        <v>51</v>
      </c>
      <c r="U865" s="7" t="n">
        <f aca="false">IF(T865="Valid",S865,0)</f>
        <v>0</v>
      </c>
      <c r="V865" s="6" t="n">
        <v>8811.69</v>
      </c>
      <c r="W865" s="6" t="n">
        <v>6765.91</v>
      </c>
      <c r="X865" s="6" t="n">
        <v>2045.78</v>
      </c>
      <c r="Y865" s="6" t="n">
        <f aca="false">P865*Q865*(1-U865)</f>
        <v>8811.69</v>
      </c>
      <c r="Z865" s="6" t="n">
        <f aca="false">Y865-W865</f>
        <v>2045.78</v>
      </c>
      <c r="AA865" s="8" t="n">
        <f aca="false">IF(Y865=0,0,Z865/Y865)</f>
        <v>0.232166587794169</v>
      </c>
      <c r="AB865" s="3" t="str">
        <f aca="false">IF(ABS(V865-Y865)&gt;1,"Mismatch","OK")</f>
        <v>OK</v>
      </c>
      <c r="AC865" s="3" t="str">
        <f aca="false">IF(ABS(X865-Z865)&gt;1,"Mismatch","OK")</f>
        <v>OK</v>
      </c>
      <c r="AD865" s="5" t="n">
        <f aca="false">IF(OR(B865="",C865=""),"",C865-B865)</f>
        <v>2</v>
      </c>
      <c r="AE865" s="3" t="str">
        <f aca="false">IF(AD865="","Unknown",IF(AD865&lt;0,"Invalid - Ship Before Order","OK"))</f>
        <v>OK</v>
      </c>
      <c r="AF865" s="5" t="n">
        <f aca="false">IF(B865="","",MONTH(B865))</f>
        <v>9</v>
      </c>
      <c r="AG865" s="5" t="n">
        <f aca="false">IF(B865="","",YEAR(B865))</f>
        <v>2025</v>
      </c>
      <c r="AH865" s="3" t="s">
        <v>52</v>
      </c>
      <c r="AI865" s="3" t="s">
        <v>53</v>
      </c>
      <c r="AJ865" s="3" t="str">
        <f aca="false">IF(AND(AI865="Completed",AH865="Failed"),"Inconsistent - Completed Order with Failed Payment","OK")</f>
        <v>OK</v>
      </c>
      <c r="AK865" s="3" t="s">
        <v>54</v>
      </c>
      <c r="AL865" s="3" t="str">
        <f aca="false">IF(OR(T865="Negative - Invalid",T865="Above Allowed Range - Invalid",AE865="Invalid - Ship Before Order",AK865&lt;&gt;"Unique",AB865="Mismatch",AC865="Mismatch",AJ865&lt;&gt;"OK"),"Invalid",IF(OR(H865="Yes",O865="Yes",T865="Missing"),"Warning","Clean"))</f>
        <v>Clean</v>
      </c>
    </row>
    <row r="866" customFormat="false" ht="15" hidden="false" customHeight="true" outlineLevel="0" collapsed="false">
      <c r="A866" s="3" t="s">
        <v>2707</v>
      </c>
      <c r="B866" s="4" t="n">
        <v>45902</v>
      </c>
      <c r="C866" s="4" t="n">
        <v>45905</v>
      </c>
      <c r="D866" s="3" t="s">
        <v>2708</v>
      </c>
      <c r="E866" s="3" t="s">
        <v>96</v>
      </c>
      <c r="F866" s="3" t="s">
        <v>41</v>
      </c>
      <c r="G866" s="3" t="s">
        <v>78</v>
      </c>
      <c r="H866" s="3" t="s">
        <v>43</v>
      </c>
      <c r="I866" s="3" t="s">
        <v>281</v>
      </c>
      <c r="J866" s="3" t="s">
        <v>282</v>
      </c>
      <c r="K866" s="3" t="s">
        <v>99</v>
      </c>
      <c r="L866" s="3" t="s">
        <v>201</v>
      </c>
      <c r="M866" s="3" t="s">
        <v>2709</v>
      </c>
      <c r="N866" s="3" t="s">
        <v>72</v>
      </c>
      <c r="O866" s="3" t="s">
        <v>43</v>
      </c>
      <c r="P866" s="5" t="n">
        <v>5</v>
      </c>
      <c r="Q866" s="6" t="n">
        <v>3406.87</v>
      </c>
      <c r="R866" s="3" t="s">
        <v>66</v>
      </c>
      <c r="S866" s="7" t="n">
        <v>0</v>
      </c>
      <c r="T866" s="3" t="s">
        <v>51</v>
      </c>
      <c r="U866" s="7" t="n">
        <f aca="false">IF(T866="Valid",S866,0)</f>
        <v>0</v>
      </c>
      <c r="V866" s="6" t="n">
        <v>17034.35</v>
      </c>
      <c r="W866" s="6" t="n">
        <v>14631.36</v>
      </c>
      <c r="X866" s="6" t="n">
        <v>2402.99</v>
      </c>
      <c r="Y866" s="6" t="n">
        <f aca="false">P866*Q866*(1-U866)</f>
        <v>17034.35</v>
      </c>
      <c r="Z866" s="6" t="n">
        <f aca="false">Y866-W866</f>
        <v>2402.99</v>
      </c>
      <c r="AA866" s="8" t="n">
        <f aca="false">IF(Y866=0,0,Z866/Y866)</f>
        <v>0.141067313986151</v>
      </c>
      <c r="AB866" s="3" t="str">
        <f aca="false">IF(ABS(V866-Y866)&gt;1,"Mismatch","OK")</f>
        <v>OK</v>
      </c>
      <c r="AC866" s="3" t="str">
        <f aca="false">IF(ABS(X866-Z866)&gt;1,"Mismatch","OK")</f>
        <v>OK</v>
      </c>
      <c r="AD866" s="5" t="n">
        <f aca="false">IF(OR(B866="",C866=""),"",C866-B866)</f>
        <v>3</v>
      </c>
      <c r="AE866" s="3" t="str">
        <f aca="false">IF(AD866="","Unknown",IF(AD866&lt;0,"Invalid - Ship Before Order","OK"))</f>
        <v>OK</v>
      </c>
      <c r="AF866" s="5" t="n">
        <f aca="false">IF(B866="","",MONTH(B866))</f>
        <v>9</v>
      </c>
      <c r="AG866" s="5" t="n">
        <f aca="false">IF(B866="","",YEAR(B866))</f>
        <v>2025</v>
      </c>
      <c r="AH866" s="3" t="s">
        <v>52</v>
      </c>
      <c r="AI866" s="3" t="s">
        <v>53</v>
      </c>
      <c r="AJ866" s="3" t="str">
        <f aca="false">IF(AND(AI866="Completed",AH866="Failed"),"Inconsistent - Completed Order with Failed Payment","OK")</f>
        <v>OK</v>
      </c>
      <c r="AK866" s="3" t="s">
        <v>54</v>
      </c>
      <c r="AL866" s="3" t="str">
        <f aca="false">IF(OR(T866="Negative - Invalid",T866="Above Allowed Range - Invalid",AE866="Invalid - Ship Before Order",AK866&lt;&gt;"Unique",AB866="Mismatch",AC866="Mismatch",AJ866&lt;&gt;"OK"),"Invalid",IF(OR(H866="Yes",O866="Yes",T866="Missing"),"Warning","Clean"))</f>
        <v>Clean</v>
      </c>
    </row>
    <row r="867" customFormat="false" ht="15" hidden="false" customHeight="true" outlineLevel="0" collapsed="false">
      <c r="A867" s="3" t="s">
        <v>2710</v>
      </c>
      <c r="B867" s="4" t="n">
        <v>45694</v>
      </c>
      <c r="C867" s="4" t="n">
        <v>45702</v>
      </c>
      <c r="D867" s="3" t="s">
        <v>2711</v>
      </c>
      <c r="E867" s="3" t="s">
        <v>298</v>
      </c>
      <c r="F867" s="3" t="s">
        <v>41</v>
      </c>
      <c r="G867" s="3" t="s">
        <v>88</v>
      </c>
      <c r="H867" s="3" t="s">
        <v>43</v>
      </c>
      <c r="I867" s="3" t="s">
        <v>89</v>
      </c>
      <c r="J867" s="3" t="s">
        <v>90</v>
      </c>
      <c r="K867" s="3" t="s">
        <v>46</v>
      </c>
      <c r="L867" s="3" t="s">
        <v>117</v>
      </c>
      <c r="M867" s="3" t="s">
        <v>2712</v>
      </c>
      <c r="N867" s="3" t="s">
        <v>49</v>
      </c>
      <c r="O867" s="3" t="s">
        <v>43</v>
      </c>
      <c r="P867" s="5" t="n">
        <v>2</v>
      </c>
      <c r="Q867" s="6" t="n">
        <v>3992.04</v>
      </c>
      <c r="R867" s="3" t="s">
        <v>66</v>
      </c>
      <c r="S867" s="7" t="n">
        <v>0</v>
      </c>
      <c r="T867" s="3" t="s">
        <v>51</v>
      </c>
      <c r="U867" s="7" t="n">
        <f aca="false">IF(T867="Valid",S867,0)</f>
        <v>0</v>
      </c>
      <c r="V867" s="6" t="n">
        <v>7984.08</v>
      </c>
      <c r="W867" s="6" t="n">
        <v>5658.05</v>
      </c>
      <c r="X867" s="6" t="n">
        <v>2326.03</v>
      </c>
      <c r="Y867" s="6" t="n">
        <f aca="false">P867*Q867*(1-U867)</f>
        <v>7984.08</v>
      </c>
      <c r="Z867" s="6" t="n">
        <f aca="false">Y867-W867</f>
        <v>2326.03</v>
      </c>
      <c r="AA867" s="8" t="n">
        <f aca="false">IF(Y867=0,0,Z867/Y867)</f>
        <v>0.291333503672308</v>
      </c>
      <c r="AB867" s="3" t="str">
        <f aca="false">IF(ABS(V867-Y867)&gt;1,"Mismatch","OK")</f>
        <v>OK</v>
      </c>
      <c r="AC867" s="3" t="str">
        <f aca="false">IF(ABS(X867-Z867)&gt;1,"Mismatch","OK")</f>
        <v>OK</v>
      </c>
      <c r="AD867" s="5" t="n">
        <f aca="false">IF(OR(B867="",C867=""),"",C867-B867)</f>
        <v>8</v>
      </c>
      <c r="AE867" s="3" t="str">
        <f aca="false">IF(AD867="","Unknown",IF(AD867&lt;0,"Invalid - Ship Before Order","OK"))</f>
        <v>OK</v>
      </c>
      <c r="AF867" s="5" t="n">
        <f aca="false">IF(B867="","",MONTH(B867))</f>
        <v>2</v>
      </c>
      <c r="AG867" s="5" t="n">
        <f aca="false">IF(B867="","",YEAR(B867))</f>
        <v>2025</v>
      </c>
      <c r="AH867" s="3" t="s">
        <v>52</v>
      </c>
      <c r="AI867" s="3" t="s">
        <v>53</v>
      </c>
      <c r="AJ867" s="3" t="str">
        <f aca="false">IF(AND(AI867="Completed",AH867="Failed"),"Inconsistent - Completed Order with Failed Payment","OK")</f>
        <v>OK</v>
      </c>
      <c r="AK867" s="3" t="s">
        <v>54</v>
      </c>
      <c r="AL867" s="3" t="str">
        <f aca="false">IF(OR(T867="Negative - Invalid",T867="Above Allowed Range - Invalid",AE867="Invalid - Ship Before Order",AK867&lt;&gt;"Unique",AB867="Mismatch",AC867="Mismatch",AJ867&lt;&gt;"OK"),"Invalid",IF(OR(H867="Yes",O867="Yes",T867="Missing"),"Warning","Clean"))</f>
        <v>Clean</v>
      </c>
    </row>
    <row r="868" customFormat="false" ht="15" hidden="false" customHeight="true" outlineLevel="0" collapsed="false">
      <c r="A868" s="3" t="s">
        <v>2713</v>
      </c>
      <c r="B868" s="4" t="n">
        <v>45714</v>
      </c>
      <c r="C868" s="4" t="n">
        <v>45722</v>
      </c>
      <c r="D868" s="3" t="s">
        <v>2714</v>
      </c>
      <c r="E868" s="3" t="s">
        <v>141</v>
      </c>
      <c r="F868" s="3" t="s">
        <v>41</v>
      </c>
      <c r="G868" s="3" t="s">
        <v>59</v>
      </c>
      <c r="H868" s="3" t="s">
        <v>43</v>
      </c>
      <c r="I868" s="3" t="s">
        <v>174</v>
      </c>
      <c r="J868" s="3" t="s">
        <v>175</v>
      </c>
      <c r="K868" s="3" t="s">
        <v>62</v>
      </c>
      <c r="L868" s="3" t="s">
        <v>188</v>
      </c>
      <c r="M868" s="3" t="s">
        <v>2715</v>
      </c>
      <c r="N868" s="3" t="s">
        <v>72</v>
      </c>
      <c r="O868" s="3" t="s">
        <v>43</v>
      </c>
      <c r="P868" s="5" t="n">
        <v>9</v>
      </c>
      <c r="Q868" s="6" t="n">
        <v>3043.37</v>
      </c>
      <c r="R868" s="3" t="s">
        <v>50</v>
      </c>
      <c r="S868" s="7" t="n">
        <v>0.2</v>
      </c>
      <c r="T868" s="3" t="s">
        <v>51</v>
      </c>
      <c r="U868" s="7" t="n">
        <f aca="false">IF(T868="Valid",S868,0)</f>
        <v>0.2</v>
      </c>
      <c r="V868" s="6" t="n">
        <v>21912.26</v>
      </c>
      <c r="W868" s="6" t="n">
        <v>16367.78</v>
      </c>
      <c r="X868" s="6" t="n">
        <v>5544.48</v>
      </c>
      <c r="Y868" s="6" t="n">
        <f aca="false">P868*Q868*(1-U868)</f>
        <v>21912.264</v>
      </c>
      <c r="Z868" s="6" t="n">
        <f aca="false">Y868-W868</f>
        <v>5544.484</v>
      </c>
      <c r="AA868" s="8" t="n">
        <f aca="false">IF(Y868=0,0,Z868/Y868)</f>
        <v>0.25303108797886</v>
      </c>
      <c r="AB868" s="3" t="str">
        <f aca="false">IF(ABS(V868-Y868)&gt;1,"Mismatch","OK")</f>
        <v>OK</v>
      </c>
      <c r="AC868" s="3" t="str">
        <f aca="false">IF(ABS(X868-Z868)&gt;1,"Mismatch","OK")</f>
        <v>OK</v>
      </c>
      <c r="AD868" s="5" t="n">
        <f aca="false">IF(OR(B868="",C868=""),"",C868-B868)</f>
        <v>8</v>
      </c>
      <c r="AE868" s="3" t="str">
        <f aca="false">IF(AD868="","Unknown",IF(AD868&lt;0,"Invalid - Ship Before Order","OK"))</f>
        <v>OK</v>
      </c>
      <c r="AF868" s="5" t="n">
        <f aca="false">IF(B868="","",MONTH(B868))</f>
        <v>2</v>
      </c>
      <c r="AG868" s="5" t="n">
        <f aca="false">IF(B868="","",YEAR(B868))</f>
        <v>2025</v>
      </c>
      <c r="AH868" s="3" t="s">
        <v>138</v>
      </c>
      <c r="AI868" s="3" t="s">
        <v>93</v>
      </c>
      <c r="AJ868" s="3" t="str">
        <f aca="false">IF(AND(AI868="Completed",AH868="Failed"),"Inconsistent - Completed Order with Failed Payment","OK")</f>
        <v>OK</v>
      </c>
      <c r="AK868" s="3" t="s">
        <v>54</v>
      </c>
      <c r="AL868" s="3" t="str">
        <f aca="false">IF(OR(T868="Negative - Invalid",T868="Above Allowed Range - Invalid",AE868="Invalid - Ship Before Order",AK868&lt;&gt;"Unique",AB868="Mismatch",AC868="Mismatch",AJ868&lt;&gt;"OK"),"Invalid",IF(OR(H868="Yes",O868="Yes",T868="Missing"),"Warning","Clean"))</f>
        <v>Clean</v>
      </c>
    </row>
    <row r="869" customFormat="false" ht="15" hidden="false" customHeight="true" outlineLevel="0" collapsed="false">
      <c r="A869" s="3" t="s">
        <v>2716</v>
      </c>
      <c r="B869" s="4" t="n">
        <v>45617</v>
      </c>
      <c r="C869" s="4" t="n">
        <v>45618</v>
      </c>
      <c r="D869" s="3" t="s">
        <v>2717</v>
      </c>
      <c r="E869" s="3" t="s">
        <v>145</v>
      </c>
      <c r="F869" s="3" t="s">
        <v>121</v>
      </c>
      <c r="G869" s="3" t="s">
        <v>78</v>
      </c>
      <c r="H869" s="3" t="s">
        <v>43</v>
      </c>
      <c r="I869" s="3" t="s">
        <v>110</v>
      </c>
      <c r="J869" s="3" t="s">
        <v>111</v>
      </c>
      <c r="K869" s="3" t="s">
        <v>99</v>
      </c>
      <c r="L869" s="3" t="s">
        <v>100</v>
      </c>
      <c r="M869" s="3" t="s">
        <v>2718</v>
      </c>
      <c r="N869" s="3" t="s">
        <v>65</v>
      </c>
      <c r="O869" s="3" t="s">
        <v>43</v>
      </c>
      <c r="P869" s="5" t="n">
        <v>6</v>
      </c>
      <c r="Q869" s="6" t="n">
        <v>1043.49</v>
      </c>
      <c r="R869" s="3" t="s">
        <v>84</v>
      </c>
      <c r="S869" s="7" t="n">
        <v>0.25</v>
      </c>
      <c r="T869" s="3" t="s">
        <v>51</v>
      </c>
      <c r="U869" s="7" t="n">
        <f aca="false">IF(T869="Valid",S869,0)</f>
        <v>0.25</v>
      </c>
      <c r="V869" s="6" t="n">
        <v>4695.7</v>
      </c>
      <c r="W869" s="6" t="n">
        <v>3871.69</v>
      </c>
      <c r="X869" s="6" t="n">
        <v>824.01</v>
      </c>
      <c r="Y869" s="6" t="n">
        <f aca="false">P869*Q869*(1-U869)</f>
        <v>4695.705</v>
      </c>
      <c r="Z869" s="6" t="n">
        <f aca="false">Y869-W869</f>
        <v>824.015</v>
      </c>
      <c r="AA869" s="8" t="n">
        <f aca="false">IF(Y869=0,0,Z869/Y869)</f>
        <v>0.175482701745531</v>
      </c>
      <c r="AB869" s="3" t="str">
        <f aca="false">IF(ABS(V869-Y869)&gt;1,"Mismatch","OK")</f>
        <v>OK</v>
      </c>
      <c r="AC869" s="3" t="str">
        <f aca="false">IF(ABS(X869-Z869)&gt;1,"Mismatch","OK")</f>
        <v>OK</v>
      </c>
      <c r="AD869" s="5" t="n">
        <f aca="false">IF(OR(B869="",C869=""),"",C869-B869)</f>
        <v>1</v>
      </c>
      <c r="AE869" s="3" t="str">
        <f aca="false">IF(AD869="","Unknown",IF(AD869&lt;0,"Invalid - Ship Before Order","OK"))</f>
        <v>OK</v>
      </c>
      <c r="AF869" s="5" t="n">
        <f aca="false">IF(B869="","",MONTH(B869))</f>
        <v>11</v>
      </c>
      <c r="AG869" s="5" t="n">
        <f aca="false">IF(B869="","",YEAR(B869))</f>
        <v>2024</v>
      </c>
      <c r="AH869" s="3" t="s">
        <v>185</v>
      </c>
      <c r="AI869" s="3" t="s">
        <v>93</v>
      </c>
      <c r="AJ869" s="3" t="str">
        <f aca="false">IF(AND(AI869="Completed",AH869="Failed"),"Inconsistent - Completed Order with Failed Payment","OK")</f>
        <v>OK</v>
      </c>
      <c r="AK869" s="3" t="s">
        <v>54</v>
      </c>
      <c r="AL869" s="3" t="str">
        <f aca="false">IF(OR(T869="Negative - Invalid",T869="Above Allowed Range - Invalid",AE869="Invalid - Ship Before Order",AK869&lt;&gt;"Unique",AB869="Mismatch",AC869="Mismatch",AJ869&lt;&gt;"OK"),"Invalid",IF(OR(H869="Yes",O869="Yes",T869="Missing"),"Warning","Clean"))</f>
        <v>Clean</v>
      </c>
    </row>
    <row r="870" customFormat="false" ht="15" hidden="false" customHeight="true" outlineLevel="0" collapsed="false">
      <c r="A870" s="3" t="s">
        <v>2719</v>
      </c>
      <c r="B870" s="4" t="n">
        <v>45758</v>
      </c>
      <c r="C870" s="4" t="n">
        <v>45762</v>
      </c>
      <c r="D870" s="3" t="s">
        <v>2720</v>
      </c>
      <c r="E870" s="3" t="s">
        <v>96</v>
      </c>
      <c r="F870" s="3" t="s">
        <v>121</v>
      </c>
      <c r="G870" s="3" t="s">
        <v>78</v>
      </c>
      <c r="H870" s="3" t="s">
        <v>43</v>
      </c>
      <c r="I870" s="3" t="s">
        <v>206</v>
      </c>
      <c r="J870" s="3" t="s">
        <v>207</v>
      </c>
      <c r="K870" s="3" t="s">
        <v>46</v>
      </c>
      <c r="L870" s="3" t="s">
        <v>151</v>
      </c>
      <c r="M870" s="3" t="s">
        <v>2721</v>
      </c>
      <c r="N870" s="3" t="s">
        <v>65</v>
      </c>
      <c r="O870" s="3" t="s">
        <v>43</v>
      </c>
      <c r="P870" s="5" t="n">
        <v>9</v>
      </c>
      <c r="Q870" s="6" t="n">
        <v>224.94</v>
      </c>
      <c r="R870" s="3" t="s">
        <v>128</v>
      </c>
      <c r="S870" s="7" t="n">
        <v>0.05</v>
      </c>
      <c r="T870" s="3" t="s">
        <v>51</v>
      </c>
      <c r="U870" s="7" t="n">
        <f aca="false">IF(T870="Valid",S870,0)</f>
        <v>0.05</v>
      </c>
      <c r="V870" s="6" t="n">
        <v>1923.24</v>
      </c>
      <c r="W870" s="6" t="n">
        <v>1093.66</v>
      </c>
      <c r="X870" s="6" t="n">
        <v>829.58</v>
      </c>
      <c r="Y870" s="6" t="n">
        <f aca="false">P870*Q870*(1-U870)</f>
        <v>1923.237</v>
      </c>
      <c r="Z870" s="6" t="n">
        <f aca="false">Y870-W870</f>
        <v>829.577</v>
      </c>
      <c r="AA870" s="8" t="n">
        <f aca="false">IF(Y870=0,0,Z870/Y870)</f>
        <v>0.43134413491421</v>
      </c>
      <c r="AB870" s="3" t="str">
        <f aca="false">IF(ABS(V870-Y870)&gt;1,"Mismatch","OK")</f>
        <v>OK</v>
      </c>
      <c r="AC870" s="3" t="str">
        <f aca="false">IF(ABS(X870-Z870)&gt;1,"Mismatch","OK")</f>
        <v>OK</v>
      </c>
      <c r="AD870" s="5" t="n">
        <f aca="false">IF(OR(B870="",C870=""),"",C870-B870)</f>
        <v>4</v>
      </c>
      <c r="AE870" s="3" t="str">
        <f aca="false">IF(AD870="","Unknown",IF(AD870&lt;0,"Invalid - Ship Before Order","OK"))</f>
        <v>OK</v>
      </c>
      <c r="AF870" s="5" t="n">
        <f aca="false">IF(B870="","",MONTH(B870))</f>
        <v>4</v>
      </c>
      <c r="AG870" s="5" t="n">
        <f aca="false">IF(B870="","",YEAR(B870))</f>
        <v>2025</v>
      </c>
      <c r="AH870" s="3" t="s">
        <v>52</v>
      </c>
      <c r="AI870" s="3" t="s">
        <v>53</v>
      </c>
      <c r="AJ870" s="3" t="str">
        <f aca="false">IF(AND(AI870="Completed",AH870="Failed"),"Inconsistent - Completed Order with Failed Payment","OK")</f>
        <v>OK</v>
      </c>
      <c r="AK870" s="3" t="s">
        <v>54</v>
      </c>
      <c r="AL870" s="3" t="str">
        <f aca="false">IF(OR(T870="Negative - Invalid",T870="Above Allowed Range - Invalid",AE870="Invalid - Ship Before Order",AK870&lt;&gt;"Unique",AB870="Mismatch",AC870="Mismatch",AJ870&lt;&gt;"OK"),"Invalid",IF(OR(H870="Yes",O870="Yes",T870="Missing"),"Warning","Clean"))</f>
        <v>Clean</v>
      </c>
    </row>
    <row r="871" customFormat="false" ht="15" hidden="false" customHeight="true" outlineLevel="0" collapsed="false">
      <c r="A871" s="3" t="s">
        <v>2722</v>
      </c>
      <c r="B871" s="4" t="n">
        <v>45722</v>
      </c>
      <c r="C871" s="4" t="n">
        <v>45723</v>
      </c>
      <c r="D871" s="3" t="s">
        <v>2723</v>
      </c>
      <c r="E871" s="3" t="s">
        <v>168</v>
      </c>
      <c r="F871" s="3" t="s">
        <v>121</v>
      </c>
      <c r="G871" s="3" t="s">
        <v>237</v>
      </c>
      <c r="H871" s="3" t="s">
        <v>238</v>
      </c>
      <c r="I871" s="3" t="s">
        <v>384</v>
      </c>
      <c r="J871" s="3" t="s">
        <v>385</v>
      </c>
      <c r="K871" s="3" t="s">
        <v>62</v>
      </c>
      <c r="L871" s="3" t="s">
        <v>91</v>
      </c>
      <c r="M871" s="3" t="s">
        <v>1187</v>
      </c>
      <c r="N871" s="3" t="s">
        <v>65</v>
      </c>
      <c r="O871" s="3" t="s">
        <v>43</v>
      </c>
      <c r="P871" s="5" t="n">
        <v>6</v>
      </c>
      <c r="Q871" s="6" t="n">
        <v>796.65</v>
      </c>
      <c r="R871" s="3" t="s">
        <v>203</v>
      </c>
      <c r="S871" s="7" t="n">
        <v>0.1</v>
      </c>
      <c r="T871" s="3" t="s">
        <v>51</v>
      </c>
      <c r="U871" s="7" t="n">
        <f aca="false">IF(T871="Valid",S871,0)</f>
        <v>0.1</v>
      </c>
      <c r="V871" s="6" t="n">
        <v>4301.91</v>
      </c>
      <c r="W871" s="6" t="n">
        <v>2374.4</v>
      </c>
      <c r="X871" s="6" t="n">
        <v>1927.51</v>
      </c>
      <c r="Y871" s="6" t="n">
        <f aca="false">P871*Q871*(1-U871)</f>
        <v>4301.91</v>
      </c>
      <c r="Z871" s="6" t="n">
        <f aca="false">Y871-W871</f>
        <v>1927.51</v>
      </c>
      <c r="AA871" s="8" t="n">
        <f aca="false">IF(Y871=0,0,Z871/Y871)</f>
        <v>0.448059117926688</v>
      </c>
      <c r="AB871" s="3" t="str">
        <f aca="false">IF(ABS(V871-Y871)&gt;1,"Mismatch","OK")</f>
        <v>OK</v>
      </c>
      <c r="AC871" s="3" t="str">
        <f aca="false">IF(ABS(X871-Z871)&gt;1,"Mismatch","OK")</f>
        <v>OK</v>
      </c>
      <c r="AD871" s="5" t="n">
        <f aca="false">IF(OR(B871="",C871=""),"",C871-B871)</f>
        <v>1</v>
      </c>
      <c r="AE871" s="3" t="str">
        <f aca="false">IF(AD871="","Unknown",IF(AD871&lt;0,"Invalid - Ship Before Order","OK"))</f>
        <v>OK</v>
      </c>
      <c r="AF871" s="5" t="n">
        <f aca="false">IF(B871="","",MONTH(B871))</f>
        <v>3</v>
      </c>
      <c r="AG871" s="5" t="n">
        <f aca="false">IF(B871="","",YEAR(B871))</f>
        <v>2025</v>
      </c>
      <c r="AH871" s="3" t="s">
        <v>52</v>
      </c>
      <c r="AI871" s="3" t="s">
        <v>53</v>
      </c>
      <c r="AJ871" s="3" t="str">
        <f aca="false">IF(AND(AI871="Completed",AH871="Failed"),"Inconsistent - Completed Order with Failed Payment","OK")</f>
        <v>OK</v>
      </c>
      <c r="AK871" s="3" t="s">
        <v>54</v>
      </c>
      <c r="AL871" s="3" t="str">
        <f aca="false">IF(OR(T871="Negative - Invalid",T871="Above Allowed Range - Invalid",AE871="Invalid - Ship Before Order",AK871&lt;&gt;"Unique",AB871="Mismatch",AC871="Mismatch",AJ871&lt;&gt;"OK"),"Invalid",IF(OR(H871="Yes",O871="Yes",T871="Missing"),"Warning","Clean"))</f>
        <v>Warning</v>
      </c>
    </row>
    <row r="872" customFormat="false" ht="15" hidden="false" customHeight="true" outlineLevel="0" collapsed="false">
      <c r="A872" s="3" t="s">
        <v>2724</v>
      </c>
      <c r="B872" s="4" t="n">
        <v>45814</v>
      </c>
      <c r="C872" s="4" t="n">
        <v>45815</v>
      </c>
      <c r="D872" s="3" t="s">
        <v>2725</v>
      </c>
      <c r="E872" s="3" t="s">
        <v>96</v>
      </c>
      <c r="F872" s="3" t="s">
        <v>116</v>
      </c>
      <c r="G872" s="3" t="s">
        <v>88</v>
      </c>
      <c r="H872" s="3" t="s">
        <v>43</v>
      </c>
      <c r="I872" s="3" t="s">
        <v>221</v>
      </c>
      <c r="J872" s="3" t="s">
        <v>222</v>
      </c>
      <c r="K872" s="3" t="s">
        <v>62</v>
      </c>
      <c r="L872" s="3" t="s">
        <v>63</v>
      </c>
      <c r="M872" s="3" t="s">
        <v>2726</v>
      </c>
      <c r="N872" s="3" t="s">
        <v>83</v>
      </c>
      <c r="O872" s="3" t="s">
        <v>43</v>
      </c>
      <c r="P872" s="5" t="n">
        <v>9</v>
      </c>
      <c r="Q872" s="6" t="n">
        <v>2932.92</v>
      </c>
      <c r="R872" s="3" t="s">
        <v>107</v>
      </c>
      <c r="S872" s="7" t="n">
        <v>0.15</v>
      </c>
      <c r="T872" s="3" t="s">
        <v>51</v>
      </c>
      <c r="U872" s="7" t="n">
        <f aca="false">IF(T872="Valid",S872,0)</f>
        <v>0.15</v>
      </c>
      <c r="V872" s="6" t="n">
        <v>22436.84</v>
      </c>
      <c r="W872" s="6" t="n">
        <v>17454.67</v>
      </c>
      <c r="X872" s="6" t="n">
        <v>4982.17</v>
      </c>
      <c r="Y872" s="6" t="n">
        <f aca="false">P872*Q872*(1-U872)</f>
        <v>22436.838</v>
      </c>
      <c r="Z872" s="6" t="n">
        <f aca="false">Y872-W872</f>
        <v>4982.168</v>
      </c>
      <c r="AA872" s="8" t="n">
        <f aca="false">IF(Y872=0,0,Z872/Y872)</f>
        <v>0.222053036172031</v>
      </c>
      <c r="AB872" s="3" t="str">
        <f aca="false">IF(ABS(V872-Y872)&gt;1,"Mismatch","OK")</f>
        <v>OK</v>
      </c>
      <c r="AC872" s="3" t="str">
        <f aca="false">IF(ABS(X872-Z872)&gt;1,"Mismatch","OK")</f>
        <v>OK</v>
      </c>
      <c r="AD872" s="5" t="n">
        <f aca="false">IF(OR(B872="",C872=""),"",C872-B872)</f>
        <v>1</v>
      </c>
      <c r="AE872" s="3" t="str">
        <f aca="false">IF(AD872="","Unknown",IF(AD872&lt;0,"Invalid - Ship Before Order","OK"))</f>
        <v>OK</v>
      </c>
      <c r="AF872" s="5" t="n">
        <f aca="false">IF(B872="","",MONTH(B872))</f>
        <v>6</v>
      </c>
      <c r="AG872" s="5" t="n">
        <f aca="false">IF(B872="","",YEAR(B872))</f>
        <v>2025</v>
      </c>
      <c r="AH872" s="3" t="s">
        <v>52</v>
      </c>
      <c r="AI872" s="3" t="s">
        <v>93</v>
      </c>
      <c r="AJ872" s="3" t="str">
        <f aca="false">IF(AND(AI872="Completed",AH872="Failed"),"Inconsistent - Completed Order with Failed Payment","OK")</f>
        <v>OK</v>
      </c>
      <c r="AK872" s="3" t="s">
        <v>54</v>
      </c>
      <c r="AL872" s="3" t="str">
        <f aca="false">IF(OR(T872="Negative - Invalid",T872="Above Allowed Range - Invalid",AE872="Invalid - Ship Before Order",AK872&lt;&gt;"Unique",AB872="Mismatch",AC872="Mismatch",AJ872&lt;&gt;"OK"),"Invalid",IF(OR(H872="Yes",O872="Yes",T872="Missing"),"Warning","Clean"))</f>
        <v>Clean</v>
      </c>
    </row>
    <row r="873" customFormat="false" ht="15" hidden="false" customHeight="true" outlineLevel="0" collapsed="false">
      <c r="A873" s="3" t="s">
        <v>2727</v>
      </c>
      <c r="B873" s="4" t="n">
        <v>45342</v>
      </c>
      <c r="C873" s="4" t="n">
        <v>45344</v>
      </c>
      <c r="D873" s="3" t="s">
        <v>2597</v>
      </c>
      <c r="E873" s="3" t="s">
        <v>104</v>
      </c>
      <c r="F873" s="3" t="s">
        <v>58</v>
      </c>
      <c r="G873" s="3" t="s">
        <v>78</v>
      </c>
      <c r="H873" s="3" t="s">
        <v>43</v>
      </c>
      <c r="I873" s="3" t="s">
        <v>79</v>
      </c>
      <c r="J873" s="3" t="s">
        <v>80</v>
      </c>
      <c r="K873" s="3" t="s">
        <v>99</v>
      </c>
      <c r="L873" s="3" t="s">
        <v>100</v>
      </c>
      <c r="M873" s="3" t="s">
        <v>2728</v>
      </c>
      <c r="N873" s="3" t="s">
        <v>72</v>
      </c>
      <c r="O873" s="3" t="s">
        <v>43</v>
      </c>
      <c r="P873" s="5" t="n">
        <v>9</v>
      </c>
      <c r="Q873" s="6" t="n">
        <v>2186.23</v>
      </c>
      <c r="R873" s="3" t="s">
        <v>66</v>
      </c>
      <c r="S873" s="7" t="n">
        <v>0</v>
      </c>
      <c r="T873" s="3" t="s">
        <v>51</v>
      </c>
      <c r="U873" s="7" t="n">
        <f aca="false">IF(T873="Valid",S873,0)</f>
        <v>0</v>
      </c>
      <c r="V873" s="6" t="n">
        <v>19676.07</v>
      </c>
      <c r="W873" s="6" t="n">
        <v>12458.62</v>
      </c>
      <c r="X873" s="6" t="n">
        <v>7217.45</v>
      </c>
      <c r="Y873" s="6" t="n">
        <f aca="false">P873*Q873*(1-U873)</f>
        <v>19676.07</v>
      </c>
      <c r="Z873" s="6" t="n">
        <f aca="false">Y873-W873</f>
        <v>7217.45</v>
      </c>
      <c r="AA873" s="8" t="n">
        <f aca="false">IF(Y873=0,0,Z873/Y873)</f>
        <v>0.366813596414325</v>
      </c>
      <c r="AB873" s="3" t="str">
        <f aca="false">IF(ABS(V873-Y873)&gt;1,"Mismatch","OK")</f>
        <v>OK</v>
      </c>
      <c r="AC873" s="3" t="str">
        <f aca="false">IF(ABS(X873-Z873)&gt;1,"Mismatch","OK")</f>
        <v>OK</v>
      </c>
      <c r="AD873" s="5" t="n">
        <f aca="false">IF(OR(B873="",C873=""),"",C873-B873)</f>
        <v>2</v>
      </c>
      <c r="AE873" s="3" t="str">
        <f aca="false">IF(AD873="","Unknown",IF(AD873&lt;0,"Invalid - Ship Before Order","OK"))</f>
        <v>OK</v>
      </c>
      <c r="AF873" s="5" t="n">
        <f aca="false">IF(B873="","",MONTH(B873))</f>
        <v>2</v>
      </c>
      <c r="AG873" s="5" t="n">
        <f aca="false">IF(B873="","",YEAR(B873))</f>
        <v>2024</v>
      </c>
      <c r="AH873" s="3" t="s">
        <v>129</v>
      </c>
      <c r="AI873" s="3" t="s">
        <v>93</v>
      </c>
      <c r="AJ873" s="3" t="str">
        <f aca="false">IF(AND(AI873="Completed",AH873="Failed"),"Inconsistent - Completed Order with Failed Payment","OK")</f>
        <v>OK</v>
      </c>
      <c r="AK873" s="3" t="s">
        <v>54</v>
      </c>
      <c r="AL873" s="3" t="str">
        <f aca="false">IF(OR(T873="Negative - Invalid",T873="Above Allowed Range - Invalid",AE873="Invalid - Ship Before Order",AK873&lt;&gt;"Unique",AB873="Mismatch",AC873="Mismatch",AJ873&lt;&gt;"OK"),"Invalid",IF(OR(H873="Yes",O873="Yes",T873="Missing"),"Warning","Clean"))</f>
        <v>Clean</v>
      </c>
    </row>
    <row r="874" customFormat="false" ht="15" hidden="false" customHeight="true" outlineLevel="0" collapsed="false">
      <c r="A874" s="3" t="s">
        <v>2729</v>
      </c>
      <c r="B874" s="4" t="n">
        <v>45597</v>
      </c>
      <c r="C874" s="4" t="n">
        <v>45598</v>
      </c>
      <c r="D874" s="3" t="s">
        <v>2004</v>
      </c>
      <c r="E874" s="3" t="s">
        <v>40</v>
      </c>
      <c r="F874" s="3" t="s">
        <v>116</v>
      </c>
      <c r="G874" s="3" t="s">
        <v>59</v>
      </c>
      <c r="H874" s="3" t="s">
        <v>43</v>
      </c>
      <c r="I874" s="3" t="s">
        <v>125</v>
      </c>
      <c r="J874" s="3" t="s">
        <v>126</v>
      </c>
      <c r="K874" s="3" t="s">
        <v>62</v>
      </c>
      <c r="L874" s="3" t="s">
        <v>81</v>
      </c>
      <c r="M874" s="3" t="s">
        <v>2730</v>
      </c>
      <c r="N874" s="3" t="s">
        <v>83</v>
      </c>
      <c r="O874" s="3" t="s">
        <v>43</v>
      </c>
      <c r="P874" s="5" t="n">
        <v>5</v>
      </c>
      <c r="Q874" s="6" t="n">
        <v>2212.02</v>
      </c>
      <c r="R874" s="3" t="s">
        <v>50</v>
      </c>
      <c r="S874" s="7" t="n">
        <v>0.2</v>
      </c>
      <c r="T874" s="3" t="s">
        <v>51</v>
      </c>
      <c r="U874" s="7" t="n">
        <f aca="false">IF(T874="Valid",S874,0)</f>
        <v>0.2</v>
      </c>
      <c r="V874" s="6" t="n">
        <v>8848.08</v>
      </c>
      <c r="W874" s="6" t="n">
        <v>5691.56</v>
      </c>
      <c r="X874" s="6" t="n">
        <v>3156.52</v>
      </c>
      <c r="Y874" s="6" t="n">
        <f aca="false">P874*Q874*(1-U874)</f>
        <v>8848.08</v>
      </c>
      <c r="Z874" s="6" t="n">
        <f aca="false">Y874-W874</f>
        <v>3156.52</v>
      </c>
      <c r="AA874" s="8" t="n">
        <f aca="false">IF(Y874=0,0,Z874/Y874)</f>
        <v>0.356746322365982</v>
      </c>
      <c r="AB874" s="3" t="str">
        <f aca="false">IF(ABS(V874-Y874)&gt;1,"Mismatch","OK")</f>
        <v>OK</v>
      </c>
      <c r="AC874" s="3" t="str">
        <f aca="false">IF(ABS(X874-Z874)&gt;1,"Mismatch","OK")</f>
        <v>OK</v>
      </c>
      <c r="AD874" s="5" t="n">
        <f aca="false">IF(OR(B874="",C874=""),"",C874-B874)</f>
        <v>1</v>
      </c>
      <c r="AE874" s="3" t="str">
        <f aca="false">IF(AD874="","Unknown",IF(AD874&lt;0,"Invalid - Ship Before Order","OK"))</f>
        <v>OK</v>
      </c>
      <c r="AF874" s="5" t="n">
        <f aca="false">IF(B874="","",MONTH(B874))</f>
        <v>11</v>
      </c>
      <c r="AG874" s="5" t="n">
        <f aca="false">IF(B874="","",YEAR(B874))</f>
        <v>2024</v>
      </c>
      <c r="AH874" s="3" t="s">
        <v>52</v>
      </c>
      <c r="AI874" s="3" t="s">
        <v>53</v>
      </c>
      <c r="AJ874" s="3" t="str">
        <f aca="false">IF(AND(AI874="Completed",AH874="Failed"),"Inconsistent - Completed Order with Failed Payment","OK")</f>
        <v>OK</v>
      </c>
      <c r="AK874" s="3" t="s">
        <v>54</v>
      </c>
      <c r="AL874" s="3" t="str">
        <f aca="false">IF(OR(T874="Negative - Invalid",T874="Above Allowed Range - Invalid",AE874="Invalid - Ship Before Order",AK874&lt;&gt;"Unique",AB874="Mismatch",AC874="Mismatch",AJ874&lt;&gt;"OK"),"Invalid",IF(OR(H874="Yes",O874="Yes",T874="Missing"),"Warning","Clean"))</f>
        <v>Clean</v>
      </c>
    </row>
    <row r="875" customFormat="false" ht="15" hidden="false" customHeight="true" outlineLevel="0" collapsed="false">
      <c r="A875" s="3" t="s">
        <v>2731</v>
      </c>
      <c r="B875" s="4" t="n">
        <v>45689</v>
      </c>
      <c r="C875" s="4" t="n">
        <v>45696</v>
      </c>
      <c r="D875" s="3" t="s">
        <v>2732</v>
      </c>
      <c r="E875" s="3" t="s">
        <v>115</v>
      </c>
      <c r="F875" s="3" t="s">
        <v>121</v>
      </c>
      <c r="G875" s="3" t="s">
        <v>88</v>
      </c>
      <c r="H875" s="3" t="s">
        <v>43</v>
      </c>
      <c r="I875" s="3" t="s">
        <v>211</v>
      </c>
      <c r="J875" s="3" t="s">
        <v>212</v>
      </c>
      <c r="K875" s="3" t="s">
        <v>46</v>
      </c>
      <c r="L875" s="3" t="s">
        <v>151</v>
      </c>
      <c r="M875" s="3" t="s">
        <v>2733</v>
      </c>
      <c r="N875" s="3" t="s">
        <v>49</v>
      </c>
      <c r="O875" s="3" t="s">
        <v>43</v>
      </c>
      <c r="P875" s="5" t="n">
        <v>8</v>
      </c>
      <c r="Q875" s="6" t="n">
        <v>623.31</v>
      </c>
      <c r="R875" s="3" t="s">
        <v>203</v>
      </c>
      <c r="S875" s="7" t="n">
        <v>0.1</v>
      </c>
      <c r="T875" s="3" t="s">
        <v>51</v>
      </c>
      <c r="U875" s="7" t="n">
        <f aca="false">IF(T875="Valid",S875,0)</f>
        <v>0.1</v>
      </c>
      <c r="V875" s="6" t="n">
        <v>4487.83</v>
      </c>
      <c r="W875" s="6" t="n">
        <v>2633.78</v>
      </c>
      <c r="X875" s="6" t="n">
        <v>1854.05</v>
      </c>
      <c r="Y875" s="6" t="n">
        <f aca="false">P875*Q875*(1-U875)</f>
        <v>4487.832</v>
      </c>
      <c r="Z875" s="6" t="n">
        <f aca="false">Y875-W875</f>
        <v>1854.052</v>
      </c>
      <c r="AA875" s="8" t="n">
        <f aca="false">IF(Y875=0,0,Z875/Y875)</f>
        <v>0.413128655439865</v>
      </c>
      <c r="AB875" s="3" t="str">
        <f aca="false">IF(ABS(V875-Y875)&gt;1,"Mismatch","OK")</f>
        <v>OK</v>
      </c>
      <c r="AC875" s="3" t="str">
        <f aca="false">IF(ABS(X875-Z875)&gt;1,"Mismatch","OK")</f>
        <v>OK</v>
      </c>
      <c r="AD875" s="5" t="n">
        <f aca="false">IF(OR(B875="",C875=""),"",C875-B875)</f>
        <v>7</v>
      </c>
      <c r="AE875" s="3" t="str">
        <f aca="false">IF(AD875="","Unknown",IF(AD875&lt;0,"Invalid - Ship Before Order","OK"))</f>
        <v>OK</v>
      </c>
      <c r="AF875" s="5" t="n">
        <f aca="false">IF(B875="","",MONTH(B875))</f>
        <v>2</v>
      </c>
      <c r="AG875" s="5" t="n">
        <f aca="false">IF(B875="","",YEAR(B875))</f>
        <v>2025</v>
      </c>
      <c r="AH875" s="3" t="s">
        <v>52</v>
      </c>
      <c r="AI875" s="3" t="s">
        <v>53</v>
      </c>
      <c r="AJ875" s="3" t="str">
        <f aca="false">IF(AND(AI875="Completed",AH875="Failed"),"Inconsistent - Completed Order with Failed Payment","OK")</f>
        <v>OK</v>
      </c>
      <c r="AK875" s="3" t="s">
        <v>54</v>
      </c>
      <c r="AL875" s="3" t="str">
        <f aca="false">IF(OR(T875="Negative - Invalid",T875="Above Allowed Range - Invalid",AE875="Invalid - Ship Before Order",AK875&lt;&gt;"Unique",AB875="Mismatch",AC875="Mismatch",AJ875&lt;&gt;"OK"),"Invalid",IF(OR(H875="Yes",O875="Yes",T875="Missing"),"Warning","Clean"))</f>
        <v>Clean</v>
      </c>
    </row>
    <row r="876" customFormat="false" ht="15" hidden="false" customHeight="true" outlineLevel="0" collapsed="false">
      <c r="A876" s="3" t="s">
        <v>2734</v>
      </c>
      <c r="B876" s="4" t="n">
        <v>45853</v>
      </c>
      <c r="C876" s="4" t="n">
        <v>45854</v>
      </c>
      <c r="D876" s="3" t="s">
        <v>2735</v>
      </c>
      <c r="E876" s="3" t="s">
        <v>96</v>
      </c>
      <c r="F876" s="3" t="s">
        <v>58</v>
      </c>
      <c r="G876" s="3" t="s">
        <v>88</v>
      </c>
      <c r="H876" s="3" t="s">
        <v>43</v>
      </c>
      <c r="I876" s="3" t="s">
        <v>89</v>
      </c>
      <c r="J876" s="3" t="s">
        <v>90</v>
      </c>
      <c r="K876" s="3" t="s">
        <v>46</v>
      </c>
      <c r="L876" s="3" t="s">
        <v>47</v>
      </c>
      <c r="M876" s="3" t="s">
        <v>2736</v>
      </c>
      <c r="N876" s="3" t="s">
        <v>83</v>
      </c>
      <c r="O876" s="3" t="s">
        <v>43</v>
      </c>
      <c r="P876" s="5" t="n">
        <v>8</v>
      </c>
      <c r="Q876" s="6" t="n">
        <v>3924.88</v>
      </c>
      <c r="R876" s="3" t="s">
        <v>128</v>
      </c>
      <c r="S876" s="7" t="n">
        <v>0.05</v>
      </c>
      <c r="T876" s="3" t="s">
        <v>51</v>
      </c>
      <c r="U876" s="7" t="n">
        <f aca="false">IF(T876="Valid",S876,0)</f>
        <v>0.05</v>
      </c>
      <c r="V876" s="6" t="n">
        <v>29829.09</v>
      </c>
      <c r="W876" s="6" t="n">
        <v>20710.18</v>
      </c>
      <c r="X876" s="6" t="n">
        <v>9118.91</v>
      </c>
      <c r="Y876" s="6" t="n">
        <f aca="false">P876*Q876*(1-U876)</f>
        <v>29829.088</v>
      </c>
      <c r="Z876" s="6" t="n">
        <f aca="false">Y876-W876</f>
        <v>9118.908</v>
      </c>
      <c r="AA876" s="8" t="n">
        <f aca="false">IF(Y876=0,0,Z876/Y876)</f>
        <v>0.305705223035984</v>
      </c>
      <c r="AB876" s="3" t="str">
        <f aca="false">IF(ABS(V876-Y876)&gt;1,"Mismatch","OK")</f>
        <v>OK</v>
      </c>
      <c r="AC876" s="3" t="str">
        <f aca="false">IF(ABS(X876-Z876)&gt;1,"Mismatch","OK")</f>
        <v>OK</v>
      </c>
      <c r="AD876" s="5" t="n">
        <f aca="false">IF(OR(B876="",C876=""),"",C876-B876)</f>
        <v>1</v>
      </c>
      <c r="AE876" s="3" t="str">
        <f aca="false">IF(AD876="","Unknown",IF(AD876&lt;0,"Invalid - Ship Before Order","OK"))</f>
        <v>OK</v>
      </c>
      <c r="AF876" s="5" t="n">
        <f aca="false">IF(B876="","",MONTH(B876))</f>
        <v>7</v>
      </c>
      <c r="AG876" s="5" t="n">
        <f aca="false">IF(B876="","",YEAR(B876))</f>
        <v>2025</v>
      </c>
      <c r="AH876" s="3" t="s">
        <v>52</v>
      </c>
      <c r="AI876" s="3" t="s">
        <v>53</v>
      </c>
      <c r="AJ876" s="3" t="str">
        <f aca="false">IF(AND(AI876="Completed",AH876="Failed"),"Inconsistent - Completed Order with Failed Payment","OK")</f>
        <v>OK</v>
      </c>
      <c r="AK876" s="3" t="s">
        <v>54</v>
      </c>
      <c r="AL876" s="3" t="str">
        <f aca="false">IF(OR(T876="Negative - Invalid",T876="Above Allowed Range - Invalid",AE876="Invalid - Ship Before Order",AK876&lt;&gt;"Unique",AB876="Mismatch",AC876="Mismatch",AJ876&lt;&gt;"OK"),"Invalid",IF(OR(H876="Yes",O876="Yes",T876="Missing"),"Warning","Clean"))</f>
        <v>Clean</v>
      </c>
    </row>
    <row r="877" customFormat="false" ht="15" hidden="false" customHeight="true" outlineLevel="0" collapsed="false">
      <c r="A877" s="3" t="s">
        <v>2737</v>
      </c>
      <c r="B877" s="4" t="n">
        <v>45514</v>
      </c>
      <c r="C877" s="4" t="n">
        <v>45515</v>
      </c>
      <c r="D877" s="3" t="s">
        <v>2738</v>
      </c>
      <c r="E877" s="3" t="s">
        <v>57</v>
      </c>
      <c r="F877" s="3" t="s">
        <v>116</v>
      </c>
      <c r="G877" s="3" t="s">
        <v>88</v>
      </c>
      <c r="H877" s="3" t="s">
        <v>43</v>
      </c>
      <c r="I877" s="3" t="s">
        <v>89</v>
      </c>
      <c r="J877" s="3" t="s">
        <v>90</v>
      </c>
      <c r="K877" s="3" t="s">
        <v>99</v>
      </c>
      <c r="L877" s="3" t="s">
        <v>105</v>
      </c>
      <c r="M877" s="3" t="s">
        <v>2739</v>
      </c>
      <c r="N877" s="3" t="s">
        <v>72</v>
      </c>
      <c r="O877" s="3" t="s">
        <v>43</v>
      </c>
      <c r="P877" s="5" t="n">
        <v>7</v>
      </c>
      <c r="Q877" s="6" t="n">
        <v>3852.62</v>
      </c>
      <c r="R877" s="3" t="s">
        <v>50</v>
      </c>
      <c r="S877" s="7" t="n">
        <v>0.2</v>
      </c>
      <c r="T877" s="3" t="s">
        <v>51</v>
      </c>
      <c r="U877" s="7" t="n">
        <f aca="false">IF(T877="Valid",S877,0)</f>
        <v>0.2</v>
      </c>
      <c r="V877" s="6" t="n">
        <v>21574.67</v>
      </c>
      <c r="W877" s="6" t="n">
        <v>14672.83</v>
      </c>
      <c r="X877" s="6" t="n">
        <v>6901.84</v>
      </c>
      <c r="Y877" s="6" t="n">
        <f aca="false">P877*Q877*(1-U877)</f>
        <v>21574.672</v>
      </c>
      <c r="Z877" s="6" t="n">
        <f aca="false">Y877-W877</f>
        <v>6901.842</v>
      </c>
      <c r="AA877" s="8" t="n">
        <f aca="false">IF(Y877=0,0,Z877/Y877)</f>
        <v>0.319904840268255</v>
      </c>
      <c r="AB877" s="3" t="str">
        <f aca="false">IF(ABS(V877-Y877)&gt;1,"Mismatch","OK")</f>
        <v>OK</v>
      </c>
      <c r="AC877" s="3" t="str">
        <f aca="false">IF(ABS(X877-Z877)&gt;1,"Mismatch","OK")</f>
        <v>OK</v>
      </c>
      <c r="AD877" s="5" t="n">
        <f aca="false">IF(OR(B877="",C877=""),"",C877-B877)</f>
        <v>1</v>
      </c>
      <c r="AE877" s="3" t="str">
        <f aca="false">IF(AD877="","Unknown",IF(AD877&lt;0,"Invalid - Ship Before Order","OK"))</f>
        <v>OK</v>
      </c>
      <c r="AF877" s="5" t="n">
        <f aca="false">IF(B877="","",MONTH(B877))</f>
        <v>8</v>
      </c>
      <c r="AG877" s="5" t="n">
        <f aca="false">IF(B877="","",YEAR(B877))</f>
        <v>2024</v>
      </c>
      <c r="AH877" s="3" t="s">
        <v>52</v>
      </c>
      <c r="AI877" s="3" t="s">
        <v>53</v>
      </c>
      <c r="AJ877" s="3" t="str">
        <f aca="false">IF(AND(AI877="Completed",AH877="Failed"),"Inconsistent - Completed Order with Failed Payment","OK")</f>
        <v>OK</v>
      </c>
      <c r="AK877" s="3" t="s">
        <v>54</v>
      </c>
      <c r="AL877" s="3" t="str">
        <f aca="false">IF(OR(T877="Negative - Invalid",T877="Above Allowed Range - Invalid",AE877="Invalid - Ship Before Order",AK877&lt;&gt;"Unique",AB877="Mismatch",AC877="Mismatch",AJ877&lt;&gt;"OK"),"Invalid",IF(OR(H877="Yes",O877="Yes",T877="Missing"),"Warning","Clean"))</f>
        <v>Clean</v>
      </c>
    </row>
    <row r="878" customFormat="false" ht="15" hidden="false" customHeight="true" outlineLevel="0" collapsed="false">
      <c r="A878" s="3" t="s">
        <v>2740</v>
      </c>
      <c r="B878" s="4" t="n">
        <v>45614</v>
      </c>
      <c r="C878" s="4" t="n">
        <v>45616</v>
      </c>
      <c r="D878" s="3" t="s">
        <v>2741</v>
      </c>
      <c r="E878" s="3" t="s">
        <v>141</v>
      </c>
      <c r="F878" s="3" t="s">
        <v>41</v>
      </c>
      <c r="G878" s="3" t="s">
        <v>88</v>
      </c>
      <c r="H878" s="3" t="s">
        <v>43</v>
      </c>
      <c r="I878" s="3" t="s">
        <v>44</v>
      </c>
      <c r="J878" s="3" t="s">
        <v>136</v>
      </c>
      <c r="K878" s="3" t="s">
        <v>62</v>
      </c>
      <c r="L878" s="3" t="s">
        <v>91</v>
      </c>
      <c r="M878" s="3" t="s">
        <v>884</v>
      </c>
      <c r="N878" s="3" t="s">
        <v>72</v>
      </c>
      <c r="O878" s="3" t="s">
        <v>43</v>
      </c>
      <c r="P878" s="5" t="n">
        <v>6</v>
      </c>
      <c r="Q878" s="6" t="n">
        <v>3790.22</v>
      </c>
      <c r="R878" s="3" t="s">
        <v>66</v>
      </c>
      <c r="S878" s="7" t="n">
        <v>0</v>
      </c>
      <c r="T878" s="3" t="s">
        <v>51</v>
      </c>
      <c r="U878" s="7" t="n">
        <f aca="false">IF(T878="Valid",S878,0)</f>
        <v>0</v>
      </c>
      <c r="V878" s="6" t="n">
        <v>22741.32</v>
      </c>
      <c r="W878" s="6" t="n">
        <v>16388.57</v>
      </c>
      <c r="X878" s="6" t="n">
        <v>6352.75</v>
      </c>
      <c r="Y878" s="6" t="n">
        <f aca="false">P878*Q878*(1-U878)</f>
        <v>22741.32</v>
      </c>
      <c r="Z878" s="6" t="n">
        <f aca="false">Y878-W878</f>
        <v>6352.75</v>
      </c>
      <c r="AA878" s="8" t="n">
        <f aca="false">IF(Y878=0,0,Z878/Y878)</f>
        <v>0.279348340377779</v>
      </c>
      <c r="AB878" s="3" t="str">
        <f aca="false">IF(ABS(V878-Y878)&gt;1,"Mismatch","OK")</f>
        <v>OK</v>
      </c>
      <c r="AC878" s="3" t="str">
        <f aca="false">IF(ABS(X878-Z878)&gt;1,"Mismatch","OK")</f>
        <v>OK</v>
      </c>
      <c r="AD878" s="5" t="n">
        <f aca="false">IF(OR(B878="",C878=""),"",C878-B878)</f>
        <v>2</v>
      </c>
      <c r="AE878" s="3" t="str">
        <f aca="false">IF(AD878="","Unknown",IF(AD878&lt;0,"Invalid - Ship Before Order","OK"))</f>
        <v>OK</v>
      </c>
      <c r="AF878" s="5" t="n">
        <f aca="false">IF(B878="","",MONTH(B878))</f>
        <v>11</v>
      </c>
      <c r="AG878" s="5" t="n">
        <f aca="false">IF(B878="","",YEAR(B878))</f>
        <v>2024</v>
      </c>
      <c r="AH878" s="3" t="s">
        <v>52</v>
      </c>
      <c r="AI878" s="3" t="s">
        <v>53</v>
      </c>
      <c r="AJ878" s="3" t="str">
        <f aca="false">IF(AND(AI878="Completed",AH878="Failed"),"Inconsistent - Completed Order with Failed Payment","OK")</f>
        <v>OK</v>
      </c>
      <c r="AK878" s="3" t="s">
        <v>54</v>
      </c>
      <c r="AL878" s="3" t="str">
        <f aca="false">IF(OR(T878="Negative - Invalid",T878="Above Allowed Range - Invalid",AE878="Invalid - Ship Before Order",AK878&lt;&gt;"Unique",AB878="Mismatch",AC878="Mismatch",AJ878&lt;&gt;"OK"),"Invalid",IF(OR(H878="Yes",O878="Yes",T878="Missing"),"Warning","Clean"))</f>
        <v>Clean</v>
      </c>
    </row>
    <row r="879" customFormat="false" ht="15" hidden="false" customHeight="true" outlineLevel="0" collapsed="false">
      <c r="A879" s="3" t="s">
        <v>2742</v>
      </c>
      <c r="B879" s="4" t="n">
        <v>45895</v>
      </c>
      <c r="C879" s="4" t="n">
        <v>45903</v>
      </c>
      <c r="D879" s="3" t="s">
        <v>2743</v>
      </c>
      <c r="E879" s="3" t="s">
        <v>155</v>
      </c>
      <c r="F879" s="3" t="s">
        <v>41</v>
      </c>
      <c r="G879" s="3" t="s">
        <v>88</v>
      </c>
      <c r="H879" s="3" t="s">
        <v>43</v>
      </c>
      <c r="I879" s="3" t="s">
        <v>44</v>
      </c>
      <c r="J879" s="3" t="s">
        <v>136</v>
      </c>
      <c r="K879" s="3" t="s">
        <v>46</v>
      </c>
      <c r="L879" s="3" t="s">
        <v>151</v>
      </c>
      <c r="M879" s="3" t="s">
        <v>2744</v>
      </c>
      <c r="N879" s="3" t="s">
        <v>49</v>
      </c>
      <c r="O879" s="3" t="s">
        <v>43</v>
      </c>
      <c r="P879" s="5" t="n">
        <v>6</v>
      </c>
      <c r="Q879" s="6" t="n">
        <v>674.36</v>
      </c>
      <c r="R879" s="3" t="s">
        <v>203</v>
      </c>
      <c r="S879" s="7" t="n">
        <v>0.1</v>
      </c>
      <c r="T879" s="3" t="s">
        <v>51</v>
      </c>
      <c r="U879" s="7" t="n">
        <f aca="false">IF(T879="Valid",S879,0)</f>
        <v>0.1</v>
      </c>
      <c r="V879" s="6" t="n">
        <v>3641.54</v>
      </c>
      <c r="W879" s="6" t="n">
        <v>2690.37</v>
      </c>
      <c r="X879" s="6" t="n">
        <v>951.17</v>
      </c>
      <c r="Y879" s="6" t="n">
        <f aca="false">P879*Q879*(1-U879)</f>
        <v>3641.544</v>
      </c>
      <c r="Z879" s="6" t="n">
        <f aca="false">Y879-W879</f>
        <v>951.174</v>
      </c>
      <c r="AA879" s="8" t="n">
        <f aca="false">IF(Y879=0,0,Z879/Y879)</f>
        <v>0.261200743420923</v>
      </c>
      <c r="AB879" s="3" t="str">
        <f aca="false">IF(ABS(V879-Y879)&gt;1,"Mismatch","OK")</f>
        <v>OK</v>
      </c>
      <c r="AC879" s="3" t="str">
        <f aca="false">IF(ABS(X879-Z879)&gt;1,"Mismatch","OK")</f>
        <v>OK</v>
      </c>
      <c r="AD879" s="5" t="n">
        <f aca="false">IF(OR(B879="",C879=""),"",C879-B879)</f>
        <v>8</v>
      </c>
      <c r="AE879" s="3" t="str">
        <f aca="false">IF(AD879="","Unknown",IF(AD879&lt;0,"Invalid - Ship Before Order","OK"))</f>
        <v>OK</v>
      </c>
      <c r="AF879" s="5" t="n">
        <f aca="false">IF(B879="","",MONTH(B879))</f>
        <v>8</v>
      </c>
      <c r="AG879" s="5" t="n">
        <f aca="false">IF(B879="","",YEAR(B879))</f>
        <v>2025</v>
      </c>
      <c r="AH879" s="3" t="s">
        <v>52</v>
      </c>
      <c r="AI879" s="3" t="s">
        <v>53</v>
      </c>
      <c r="AJ879" s="3" t="str">
        <f aca="false">IF(AND(AI879="Completed",AH879="Failed"),"Inconsistent - Completed Order with Failed Payment","OK")</f>
        <v>OK</v>
      </c>
      <c r="AK879" s="3" t="s">
        <v>54</v>
      </c>
      <c r="AL879" s="3" t="str">
        <f aca="false">IF(OR(T879="Negative - Invalid",T879="Above Allowed Range - Invalid",AE879="Invalid - Ship Before Order",AK879&lt;&gt;"Unique",AB879="Mismatch",AC879="Mismatch",AJ879&lt;&gt;"OK"),"Invalid",IF(OR(H879="Yes",O879="Yes",T879="Missing"),"Warning","Clean"))</f>
        <v>Clean</v>
      </c>
    </row>
    <row r="880" customFormat="false" ht="15" hidden="false" customHeight="true" outlineLevel="0" collapsed="false">
      <c r="A880" s="3" t="s">
        <v>2745</v>
      </c>
      <c r="B880" s="4" t="n">
        <v>45313</v>
      </c>
      <c r="C880" s="4" t="n">
        <v>45313</v>
      </c>
      <c r="D880" s="3" t="s">
        <v>2746</v>
      </c>
      <c r="E880" s="3" t="s">
        <v>40</v>
      </c>
      <c r="F880" s="3" t="s">
        <v>116</v>
      </c>
      <c r="G880" s="3" t="s">
        <v>59</v>
      </c>
      <c r="H880" s="3" t="s">
        <v>43</v>
      </c>
      <c r="I880" s="3" t="s">
        <v>125</v>
      </c>
      <c r="J880" s="3" t="s">
        <v>126</v>
      </c>
      <c r="K880" s="3" t="s">
        <v>46</v>
      </c>
      <c r="L880" s="3" t="s">
        <v>47</v>
      </c>
      <c r="M880" s="3" t="s">
        <v>2747</v>
      </c>
      <c r="N880" s="3" t="s">
        <v>72</v>
      </c>
      <c r="O880" s="3" t="s">
        <v>43</v>
      </c>
      <c r="P880" s="5" t="n">
        <v>8</v>
      </c>
      <c r="Q880" s="6" t="n">
        <v>1557.21</v>
      </c>
      <c r="R880" s="3" t="s">
        <v>128</v>
      </c>
      <c r="S880" s="7" t="n">
        <v>0.05</v>
      </c>
      <c r="T880" s="3" t="s">
        <v>51</v>
      </c>
      <c r="U880" s="7" t="n">
        <f aca="false">IF(T880="Valid",S880,0)</f>
        <v>0.05</v>
      </c>
      <c r="V880" s="6" t="n">
        <v>11834.8</v>
      </c>
      <c r="W880" s="6" t="n">
        <v>9322.36</v>
      </c>
      <c r="X880" s="6" t="n">
        <v>2512.44</v>
      </c>
      <c r="Y880" s="6" t="n">
        <f aca="false">P880*Q880*(1-U880)</f>
        <v>11834.796</v>
      </c>
      <c r="Z880" s="6" t="n">
        <f aca="false">Y880-W880</f>
        <v>2512.436</v>
      </c>
      <c r="AA880" s="8" t="n">
        <f aca="false">IF(Y880=0,0,Z880/Y880)</f>
        <v>0.212292294687631</v>
      </c>
      <c r="AB880" s="3" t="str">
        <f aca="false">IF(ABS(V880-Y880)&gt;1,"Mismatch","OK")</f>
        <v>OK</v>
      </c>
      <c r="AC880" s="3" t="str">
        <f aca="false">IF(ABS(X880-Z880)&gt;1,"Mismatch","OK")</f>
        <v>OK</v>
      </c>
      <c r="AD880" s="5" t="n">
        <f aca="false">IF(OR(B880="",C880=""),"",C880-B880)</f>
        <v>0</v>
      </c>
      <c r="AE880" s="3" t="str">
        <f aca="false">IF(AD880="","Unknown",IF(AD880&lt;0,"Invalid - Ship Before Order","OK"))</f>
        <v>OK</v>
      </c>
      <c r="AF880" s="5" t="n">
        <f aca="false">IF(B880="","",MONTH(B880))</f>
        <v>1</v>
      </c>
      <c r="AG880" s="5" t="n">
        <f aca="false">IF(B880="","",YEAR(B880))</f>
        <v>2024</v>
      </c>
      <c r="AH880" s="3" t="s">
        <v>52</v>
      </c>
      <c r="AI880" s="3" t="s">
        <v>53</v>
      </c>
      <c r="AJ880" s="3" t="str">
        <f aca="false">IF(AND(AI880="Completed",AH880="Failed"),"Inconsistent - Completed Order with Failed Payment","OK")</f>
        <v>OK</v>
      </c>
      <c r="AK880" s="3" t="s">
        <v>54</v>
      </c>
      <c r="AL880" s="3" t="str">
        <f aca="false">IF(OR(T880="Negative - Invalid",T880="Above Allowed Range - Invalid",AE880="Invalid - Ship Before Order",AK880&lt;&gt;"Unique",AB880="Mismatch",AC880="Mismatch",AJ880&lt;&gt;"OK"),"Invalid",IF(OR(H880="Yes",O880="Yes",T880="Missing"),"Warning","Clean"))</f>
        <v>Clean</v>
      </c>
    </row>
    <row r="881" customFormat="false" ht="15" hidden="false" customHeight="true" outlineLevel="0" collapsed="false">
      <c r="A881" s="3" t="s">
        <v>2748</v>
      </c>
      <c r="B881" s="4" t="n">
        <v>45896</v>
      </c>
      <c r="C881" s="4" t="n">
        <v>45897</v>
      </c>
      <c r="D881" s="3" t="s">
        <v>2749</v>
      </c>
      <c r="E881" s="3" t="s">
        <v>87</v>
      </c>
      <c r="F881" s="3" t="s">
        <v>121</v>
      </c>
      <c r="G881" s="3" t="s">
        <v>42</v>
      </c>
      <c r="H881" s="3" t="s">
        <v>43</v>
      </c>
      <c r="I881" s="3" t="s">
        <v>163</v>
      </c>
      <c r="J881" s="3" t="s">
        <v>164</v>
      </c>
      <c r="K881" s="3" t="s">
        <v>46</v>
      </c>
      <c r="L881" s="3" t="s">
        <v>70</v>
      </c>
      <c r="M881" s="3" t="s">
        <v>2750</v>
      </c>
      <c r="N881" s="3" t="s">
        <v>83</v>
      </c>
      <c r="O881" s="3" t="s">
        <v>43</v>
      </c>
      <c r="P881" s="5" t="n">
        <v>6</v>
      </c>
      <c r="Q881" s="6" t="n">
        <v>1182.03</v>
      </c>
      <c r="R881" s="3" t="s">
        <v>107</v>
      </c>
      <c r="S881" s="7" t="n">
        <v>0.15</v>
      </c>
      <c r="T881" s="3" t="s">
        <v>51</v>
      </c>
      <c r="U881" s="7" t="n">
        <f aca="false">IF(T881="Valid",S881,0)</f>
        <v>0.15</v>
      </c>
      <c r="V881" s="6" t="n">
        <v>6028.35</v>
      </c>
      <c r="W881" s="6" t="n">
        <v>4433.63</v>
      </c>
      <c r="X881" s="6" t="n">
        <v>1594.72</v>
      </c>
      <c r="Y881" s="6" t="n">
        <f aca="false">P881*Q881*(1-U881)</f>
        <v>6028.353</v>
      </c>
      <c r="Z881" s="6" t="n">
        <f aca="false">Y881-W881</f>
        <v>1594.723</v>
      </c>
      <c r="AA881" s="8" t="n">
        <f aca="false">IF(Y881=0,0,Z881/Y881)</f>
        <v>0.264537096616605</v>
      </c>
      <c r="AB881" s="3" t="str">
        <f aca="false">IF(ABS(V881-Y881)&gt;1,"Mismatch","OK")</f>
        <v>OK</v>
      </c>
      <c r="AC881" s="3" t="str">
        <f aca="false">IF(ABS(X881-Z881)&gt;1,"Mismatch","OK")</f>
        <v>OK</v>
      </c>
      <c r="AD881" s="5" t="n">
        <f aca="false">IF(OR(B881="",C881=""),"",C881-B881)</f>
        <v>1</v>
      </c>
      <c r="AE881" s="3" t="str">
        <f aca="false">IF(AD881="","Unknown",IF(AD881&lt;0,"Invalid - Ship Before Order","OK"))</f>
        <v>OK</v>
      </c>
      <c r="AF881" s="5" t="n">
        <f aca="false">IF(B881="","",MONTH(B881))</f>
        <v>8</v>
      </c>
      <c r="AG881" s="5" t="n">
        <f aca="false">IF(B881="","",YEAR(B881))</f>
        <v>2025</v>
      </c>
      <c r="AH881" s="3" t="s">
        <v>52</v>
      </c>
      <c r="AI881" s="3" t="s">
        <v>53</v>
      </c>
      <c r="AJ881" s="3" t="str">
        <f aca="false">IF(AND(AI881="Completed",AH881="Failed"),"Inconsistent - Completed Order with Failed Payment","OK")</f>
        <v>OK</v>
      </c>
      <c r="AK881" s="3" t="s">
        <v>54</v>
      </c>
      <c r="AL881" s="3" t="str">
        <f aca="false">IF(OR(T881="Negative - Invalid",T881="Above Allowed Range - Invalid",AE881="Invalid - Ship Before Order",AK881&lt;&gt;"Unique",AB881="Mismatch",AC881="Mismatch",AJ881&lt;&gt;"OK"),"Invalid",IF(OR(H881="Yes",O881="Yes",T881="Missing"),"Warning","Clean"))</f>
        <v>Clean</v>
      </c>
    </row>
    <row r="882" customFormat="false" ht="15" hidden="false" customHeight="true" outlineLevel="0" collapsed="false">
      <c r="A882" s="3" t="s">
        <v>2751</v>
      </c>
      <c r="B882" s="4" t="n">
        <v>45359</v>
      </c>
      <c r="C882" s="4" t="n">
        <v>45366</v>
      </c>
      <c r="D882" s="3" t="s">
        <v>2752</v>
      </c>
      <c r="E882" s="3" t="s">
        <v>155</v>
      </c>
      <c r="F882" s="3" t="s">
        <v>58</v>
      </c>
      <c r="G882" s="3" t="s">
        <v>237</v>
      </c>
      <c r="H882" s="3" t="s">
        <v>238</v>
      </c>
      <c r="I882" s="3" t="s">
        <v>149</v>
      </c>
      <c r="J882" s="3" t="s">
        <v>150</v>
      </c>
      <c r="K882" s="3" t="s">
        <v>62</v>
      </c>
      <c r="L882" s="3" t="s">
        <v>91</v>
      </c>
      <c r="M882" s="3" t="s">
        <v>2753</v>
      </c>
      <c r="N882" s="3" t="s">
        <v>72</v>
      </c>
      <c r="O882" s="3" t="s">
        <v>43</v>
      </c>
      <c r="P882" s="5" t="n">
        <v>5</v>
      </c>
      <c r="Q882" s="6" t="n">
        <v>3234.77</v>
      </c>
      <c r="R882" s="3" t="s">
        <v>66</v>
      </c>
      <c r="S882" s="7" t="n">
        <v>0</v>
      </c>
      <c r="T882" s="3" t="s">
        <v>51</v>
      </c>
      <c r="U882" s="7" t="n">
        <f aca="false">IF(T882="Valid",S882,0)</f>
        <v>0</v>
      </c>
      <c r="V882" s="6" t="n">
        <v>16173.85</v>
      </c>
      <c r="W882" s="6" t="n">
        <v>13636.34</v>
      </c>
      <c r="X882" s="6" t="n">
        <v>2537.51</v>
      </c>
      <c r="Y882" s="6" t="n">
        <f aca="false">P882*Q882*(1-U882)</f>
        <v>16173.85</v>
      </c>
      <c r="Z882" s="6" t="n">
        <f aca="false">Y882-W882</f>
        <v>2537.51</v>
      </c>
      <c r="AA882" s="8" t="n">
        <f aca="false">IF(Y882=0,0,Z882/Y882)</f>
        <v>0.156889670672103</v>
      </c>
      <c r="AB882" s="3" t="str">
        <f aca="false">IF(ABS(V882-Y882)&gt;1,"Mismatch","OK")</f>
        <v>OK</v>
      </c>
      <c r="AC882" s="3" t="str">
        <f aca="false">IF(ABS(X882-Z882)&gt;1,"Mismatch","OK")</f>
        <v>OK</v>
      </c>
      <c r="AD882" s="5" t="n">
        <f aca="false">IF(OR(B882="",C882=""),"",C882-B882)</f>
        <v>7</v>
      </c>
      <c r="AE882" s="3" t="str">
        <f aca="false">IF(AD882="","Unknown",IF(AD882&lt;0,"Invalid - Ship Before Order","OK"))</f>
        <v>OK</v>
      </c>
      <c r="AF882" s="5" t="n">
        <f aca="false">IF(B882="","",MONTH(B882))</f>
        <v>3</v>
      </c>
      <c r="AG882" s="5" t="n">
        <f aca="false">IF(B882="","",YEAR(B882))</f>
        <v>2024</v>
      </c>
      <c r="AH882" s="3" t="s">
        <v>52</v>
      </c>
      <c r="AI882" s="3" t="s">
        <v>53</v>
      </c>
      <c r="AJ882" s="3" t="str">
        <f aca="false">IF(AND(AI882="Completed",AH882="Failed"),"Inconsistent - Completed Order with Failed Payment","OK")</f>
        <v>OK</v>
      </c>
      <c r="AK882" s="3" t="s">
        <v>54</v>
      </c>
      <c r="AL882" s="3" t="str">
        <f aca="false">IF(OR(T882="Negative - Invalid",T882="Above Allowed Range - Invalid",AE882="Invalid - Ship Before Order",AK882&lt;&gt;"Unique",AB882="Mismatch",AC882="Mismatch",AJ882&lt;&gt;"OK"),"Invalid",IF(OR(H882="Yes",O882="Yes",T882="Missing"),"Warning","Clean"))</f>
        <v>Warning</v>
      </c>
    </row>
    <row r="883" customFormat="false" ht="15" hidden="false" customHeight="true" outlineLevel="0" collapsed="false">
      <c r="A883" s="3" t="s">
        <v>2754</v>
      </c>
      <c r="B883" s="4" t="n">
        <v>45627</v>
      </c>
      <c r="C883" s="4" t="n">
        <v>45631</v>
      </c>
      <c r="D883" s="3" t="s">
        <v>2755</v>
      </c>
      <c r="E883" s="3" t="s">
        <v>87</v>
      </c>
      <c r="F883" s="3" t="s">
        <v>58</v>
      </c>
      <c r="G883" s="3" t="s">
        <v>78</v>
      </c>
      <c r="H883" s="3" t="s">
        <v>43</v>
      </c>
      <c r="I883" s="3" t="s">
        <v>110</v>
      </c>
      <c r="J883" s="3" t="s">
        <v>111</v>
      </c>
      <c r="K883" s="3" t="s">
        <v>99</v>
      </c>
      <c r="L883" s="3" t="s">
        <v>105</v>
      </c>
      <c r="M883" s="3" t="s">
        <v>2756</v>
      </c>
      <c r="N883" s="3" t="s">
        <v>49</v>
      </c>
      <c r="O883" s="3" t="s">
        <v>43</v>
      </c>
      <c r="P883" s="5" t="n">
        <v>9</v>
      </c>
      <c r="Q883" s="6" t="n">
        <v>3726.75</v>
      </c>
      <c r="R883" s="3" t="s">
        <v>84</v>
      </c>
      <c r="S883" s="7" t="n">
        <v>0.25</v>
      </c>
      <c r="T883" s="3" t="s">
        <v>51</v>
      </c>
      <c r="U883" s="7" t="n">
        <f aca="false">IF(T883="Valid",S883,0)</f>
        <v>0.25</v>
      </c>
      <c r="V883" s="6" t="n">
        <v>25155.56</v>
      </c>
      <c r="W883" s="6" t="n">
        <v>17592.69</v>
      </c>
      <c r="X883" s="6" t="n">
        <v>7562.87</v>
      </c>
      <c r="Y883" s="6" t="n">
        <f aca="false">P883*Q883*(1-U883)</f>
        <v>25155.5625</v>
      </c>
      <c r="Z883" s="6" t="n">
        <f aca="false">Y883-W883</f>
        <v>7562.8725</v>
      </c>
      <c r="AA883" s="8" t="n">
        <f aca="false">IF(Y883=0,0,Z883/Y883)</f>
        <v>0.300644141827479</v>
      </c>
      <c r="AB883" s="3" t="str">
        <f aca="false">IF(ABS(V883-Y883)&gt;1,"Mismatch","OK")</f>
        <v>OK</v>
      </c>
      <c r="AC883" s="3" t="str">
        <f aca="false">IF(ABS(X883-Z883)&gt;1,"Mismatch","OK")</f>
        <v>OK</v>
      </c>
      <c r="AD883" s="5" t="n">
        <f aca="false">IF(OR(B883="",C883=""),"",C883-B883)</f>
        <v>4</v>
      </c>
      <c r="AE883" s="3" t="str">
        <f aca="false">IF(AD883="","Unknown",IF(AD883&lt;0,"Invalid - Ship Before Order","OK"))</f>
        <v>OK</v>
      </c>
      <c r="AF883" s="5" t="n">
        <f aca="false">IF(B883="","",MONTH(B883))</f>
        <v>12</v>
      </c>
      <c r="AG883" s="5" t="n">
        <f aca="false">IF(B883="","",YEAR(B883))</f>
        <v>2024</v>
      </c>
      <c r="AH883" s="3" t="s">
        <v>52</v>
      </c>
      <c r="AI883" s="3" t="s">
        <v>53</v>
      </c>
      <c r="AJ883" s="3" t="str">
        <f aca="false">IF(AND(AI883="Completed",AH883="Failed"),"Inconsistent - Completed Order with Failed Payment","OK")</f>
        <v>OK</v>
      </c>
      <c r="AK883" s="3" t="s">
        <v>54</v>
      </c>
      <c r="AL883" s="3" t="str">
        <f aca="false">IF(OR(T883="Negative - Invalid",T883="Above Allowed Range - Invalid",AE883="Invalid - Ship Before Order",AK883&lt;&gt;"Unique",AB883="Mismatch",AC883="Mismatch",AJ883&lt;&gt;"OK"),"Invalid",IF(OR(H883="Yes",O883="Yes",T883="Missing"),"Warning","Clean"))</f>
        <v>Clean</v>
      </c>
    </row>
    <row r="884" customFormat="false" ht="15" hidden="false" customHeight="true" outlineLevel="0" collapsed="false">
      <c r="A884" s="3" t="s">
        <v>2757</v>
      </c>
      <c r="B884" s="4" t="n">
        <v>45690</v>
      </c>
      <c r="C884" s="4" t="n">
        <v>45698</v>
      </c>
      <c r="D884" s="3" t="s">
        <v>2758</v>
      </c>
      <c r="E884" s="3" t="s">
        <v>159</v>
      </c>
      <c r="F884" s="3" t="s">
        <v>116</v>
      </c>
      <c r="G884" s="3" t="s">
        <v>59</v>
      </c>
      <c r="H884" s="3" t="s">
        <v>43</v>
      </c>
      <c r="I884" s="3" t="s">
        <v>174</v>
      </c>
      <c r="J884" s="3" t="s">
        <v>175</v>
      </c>
      <c r="K884" s="3" t="s">
        <v>99</v>
      </c>
      <c r="L884" s="3" t="s">
        <v>100</v>
      </c>
      <c r="M884" s="3" t="s">
        <v>2759</v>
      </c>
      <c r="N884" s="3" t="s">
        <v>83</v>
      </c>
      <c r="O884" s="3" t="s">
        <v>43</v>
      </c>
      <c r="P884" s="5" t="n">
        <v>4</v>
      </c>
      <c r="Q884" s="6" t="n">
        <v>1912.45</v>
      </c>
      <c r="R884" s="3" t="s">
        <v>66</v>
      </c>
      <c r="S884" s="7" t="n">
        <v>0</v>
      </c>
      <c r="T884" s="3" t="s">
        <v>51</v>
      </c>
      <c r="U884" s="7" t="n">
        <f aca="false">IF(T884="Valid",S884,0)</f>
        <v>0</v>
      </c>
      <c r="V884" s="6" t="n">
        <v>7649.8</v>
      </c>
      <c r="W884" s="6" t="n">
        <v>4894.53</v>
      </c>
      <c r="X884" s="6" t="n">
        <v>2755.27</v>
      </c>
      <c r="Y884" s="6" t="n">
        <f aca="false">P884*Q884*(1-U884)</f>
        <v>7649.8</v>
      </c>
      <c r="Z884" s="6" t="n">
        <f aca="false">Y884-W884</f>
        <v>2755.27</v>
      </c>
      <c r="AA884" s="8" t="n">
        <f aca="false">IF(Y884=0,0,Z884/Y884)</f>
        <v>0.360175429422992</v>
      </c>
      <c r="AB884" s="3" t="str">
        <f aca="false">IF(ABS(V884-Y884)&gt;1,"Mismatch","OK")</f>
        <v>OK</v>
      </c>
      <c r="AC884" s="3" t="str">
        <f aca="false">IF(ABS(X884-Z884)&gt;1,"Mismatch","OK")</f>
        <v>OK</v>
      </c>
      <c r="AD884" s="5" t="n">
        <f aca="false">IF(OR(B884="",C884=""),"",C884-B884)</f>
        <v>8</v>
      </c>
      <c r="AE884" s="3" t="str">
        <f aca="false">IF(AD884="","Unknown",IF(AD884&lt;0,"Invalid - Ship Before Order","OK"))</f>
        <v>OK</v>
      </c>
      <c r="AF884" s="5" t="n">
        <f aca="false">IF(B884="","",MONTH(B884))</f>
        <v>2</v>
      </c>
      <c r="AG884" s="5" t="n">
        <f aca="false">IF(B884="","",YEAR(B884))</f>
        <v>2025</v>
      </c>
      <c r="AH884" s="3" t="s">
        <v>138</v>
      </c>
      <c r="AI884" s="3" t="s">
        <v>130</v>
      </c>
      <c r="AJ884" s="3" t="str">
        <f aca="false">IF(AND(AI884="Completed",AH884="Failed"),"Inconsistent - Completed Order with Failed Payment","OK")</f>
        <v>OK</v>
      </c>
      <c r="AK884" s="3" t="s">
        <v>54</v>
      </c>
      <c r="AL884" s="3" t="str">
        <f aca="false">IF(OR(T884="Negative - Invalid",T884="Above Allowed Range - Invalid",AE884="Invalid - Ship Before Order",AK884&lt;&gt;"Unique",AB884="Mismatch",AC884="Mismatch",AJ884&lt;&gt;"OK"),"Invalid",IF(OR(H884="Yes",O884="Yes",T884="Missing"),"Warning","Clean"))</f>
        <v>Clean</v>
      </c>
    </row>
    <row r="885" customFormat="false" ht="15" hidden="false" customHeight="true" outlineLevel="0" collapsed="false">
      <c r="A885" s="3" t="s">
        <v>2760</v>
      </c>
      <c r="B885" s="4" t="n">
        <v>45775</v>
      </c>
      <c r="C885" s="4" t="n">
        <v>45778</v>
      </c>
      <c r="D885" s="3" t="s">
        <v>2761</v>
      </c>
      <c r="E885" s="3" t="s">
        <v>155</v>
      </c>
      <c r="F885" s="3" t="s">
        <v>58</v>
      </c>
      <c r="G885" s="3" t="s">
        <v>88</v>
      </c>
      <c r="H885" s="3" t="s">
        <v>43</v>
      </c>
      <c r="I885" s="3" t="s">
        <v>221</v>
      </c>
      <c r="J885" s="3" t="s">
        <v>222</v>
      </c>
      <c r="K885" s="3" t="s">
        <v>46</v>
      </c>
      <c r="L885" s="3" t="s">
        <v>151</v>
      </c>
      <c r="M885" s="3" t="s">
        <v>2762</v>
      </c>
      <c r="N885" s="3" t="s">
        <v>65</v>
      </c>
      <c r="O885" s="3" t="s">
        <v>43</v>
      </c>
      <c r="P885" s="5" t="n">
        <v>1</v>
      </c>
      <c r="Q885" s="6" t="n">
        <v>1620.87</v>
      </c>
      <c r="R885" s="3" t="s">
        <v>66</v>
      </c>
      <c r="S885" s="7" t="n">
        <v>0</v>
      </c>
      <c r="T885" s="3" t="s">
        <v>51</v>
      </c>
      <c r="U885" s="7" t="n">
        <f aca="false">IF(T885="Valid",S885,0)</f>
        <v>0</v>
      </c>
      <c r="V885" s="6" t="n">
        <v>1620.87</v>
      </c>
      <c r="W885" s="6" t="n">
        <v>1103.61</v>
      </c>
      <c r="X885" s="6" t="n">
        <v>517.26</v>
      </c>
      <c r="Y885" s="6" t="n">
        <f aca="false">P885*Q885*(1-U885)</f>
        <v>1620.87</v>
      </c>
      <c r="Z885" s="6" t="n">
        <f aca="false">Y885-W885</f>
        <v>517.26</v>
      </c>
      <c r="AA885" s="8" t="n">
        <f aca="false">IF(Y885=0,0,Z885/Y885)</f>
        <v>0.319124914397823</v>
      </c>
      <c r="AB885" s="3" t="str">
        <f aca="false">IF(ABS(V885-Y885)&gt;1,"Mismatch","OK")</f>
        <v>OK</v>
      </c>
      <c r="AC885" s="3" t="str">
        <f aca="false">IF(ABS(X885-Z885)&gt;1,"Mismatch","OK")</f>
        <v>OK</v>
      </c>
      <c r="AD885" s="5" t="n">
        <f aca="false">IF(OR(B885="",C885=""),"",C885-B885)</f>
        <v>3</v>
      </c>
      <c r="AE885" s="3" t="str">
        <f aca="false">IF(AD885="","Unknown",IF(AD885&lt;0,"Invalid - Ship Before Order","OK"))</f>
        <v>OK</v>
      </c>
      <c r="AF885" s="5" t="n">
        <f aca="false">IF(B885="","",MONTH(B885))</f>
        <v>4</v>
      </c>
      <c r="AG885" s="5" t="n">
        <f aca="false">IF(B885="","",YEAR(B885))</f>
        <v>2025</v>
      </c>
      <c r="AH885" s="3" t="s">
        <v>52</v>
      </c>
      <c r="AI885" s="3" t="s">
        <v>53</v>
      </c>
      <c r="AJ885" s="3" t="str">
        <f aca="false">IF(AND(AI885="Completed",AH885="Failed"),"Inconsistent - Completed Order with Failed Payment","OK")</f>
        <v>OK</v>
      </c>
      <c r="AK885" s="3" t="s">
        <v>54</v>
      </c>
      <c r="AL885" s="3" t="str">
        <f aca="false">IF(OR(T885="Negative - Invalid",T885="Above Allowed Range - Invalid",AE885="Invalid - Ship Before Order",AK885&lt;&gt;"Unique",AB885="Mismatch",AC885="Mismatch",AJ885&lt;&gt;"OK"),"Invalid",IF(OR(H885="Yes",O885="Yes",T885="Missing"),"Warning","Clean"))</f>
        <v>Clean</v>
      </c>
    </row>
    <row r="886" customFormat="false" ht="15" hidden="false" customHeight="true" outlineLevel="0" collapsed="false">
      <c r="A886" s="3" t="s">
        <v>2763</v>
      </c>
      <c r="B886" s="4" t="n">
        <v>45675</v>
      </c>
      <c r="C886" s="4" t="n">
        <v>45682</v>
      </c>
      <c r="D886" s="3" t="s">
        <v>2764</v>
      </c>
      <c r="E886" s="3" t="s">
        <v>104</v>
      </c>
      <c r="F886" s="3" t="s">
        <v>121</v>
      </c>
      <c r="G886" s="3" t="s">
        <v>78</v>
      </c>
      <c r="H886" s="3" t="s">
        <v>43</v>
      </c>
      <c r="I886" s="3" t="s">
        <v>206</v>
      </c>
      <c r="J886" s="3" t="s">
        <v>207</v>
      </c>
      <c r="K886" s="3" t="s">
        <v>46</v>
      </c>
      <c r="L886" s="3" t="s">
        <v>151</v>
      </c>
      <c r="M886" s="3" t="s">
        <v>2765</v>
      </c>
      <c r="N886" s="3" t="s">
        <v>65</v>
      </c>
      <c r="O886" s="3" t="s">
        <v>43</v>
      </c>
      <c r="P886" s="5" t="n">
        <v>2</v>
      </c>
      <c r="Q886" s="6" t="n">
        <v>2098.54</v>
      </c>
      <c r="R886" s="3" t="s">
        <v>107</v>
      </c>
      <c r="S886" s="7" t="n">
        <v>0.15</v>
      </c>
      <c r="T886" s="3" t="s">
        <v>51</v>
      </c>
      <c r="U886" s="7" t="n">
        <f aca="false">IF(T886="Valid",S886,0)</f>
        <v>0.15</v>
      </c>
      <c r="V886" s="6" t="n">
        <v>3567.52</v>
      </c>
      <c r="W886" s="6" t="n">
        <v>2411.8</v>
      </c>
      <c r="X886" s="6" t="n">
        <v>1155.72</v>
      </c>
      <c r="Y886" s="6" t="n">
        <f aca="false">P886*Q886*(1-U886)</f>
        <v>3567.518</v>
      </c>
      <c r="Z886" s="6" t="n">
        <f aca="false">Y886-W886</f>
        <v>1155.718</v>
      </c>
      <c r="AA886" s="8" t="n">
        <f aca="false">IF(Y886=0,0,Z886/Y886)</f>
        <v>0.323955758597434</v>
      </c>
      <c r="AB886" s="3" t="str">
        <f aca="false">IF(ABS(V886-Y886)&gt;1,"Mismatch","OK")</f>
        <v>OK</v>
      </c>
      <c r="AC886" s="3" t="str">
        <f aca="false">IF(ABS(X886-Z886)&gt;1,"Mismatch","OK")</f>
        <v>OK</v>
      </c>
      <c r="AD886" s="5" t="n">
        <f aca="false">IF(OR(B886="",C886=""),"",C886-B886)</f>
        <v>7</v>
      </c>
      <c r="AE886" s="3" t="str">
        <f aca="false">IF(AD886="","Unknown",IF(AD886&lt;0,"Invalid - Ship Before Order","OK"))</f>
        <v>OK</v>
      </c>
      <c r="AF886" s="5" t="n">
        <f aca="false">IF(B886="","",MONTH(B886))</f>
        <v>1</v>
      </c>
      <c r="AG886" s="5" t="n">
        <f aca="false">IF(B886="","",YEAR(B886))</f>
        <v>2025</v>
      </c>
      <c r="AH886" s="3" t="s">
        <v>52</v>
      </c>
      <c r="AI886" s="3" t="s">
        <v>53</v>
      </c>
      <c r="AJ886" s="3" t="str">
        <f aca="false">IF(AND(AI886="Completed",AH886="Failed"),"Inconsistent - Completed Order with Failed Payment","OK")</f>
        <v>OK</v>
      </c>
      <c r="AK886" s="3" t="s">
        <v>54</v>
      </c>
      <c r="AL886" s="3" t="str">
        <f aca="false">IF(OR(T886="Negative - Invalid",T886="Above Allowed Range - Invalid",AE886="Invalid - Ship Before Order",AK886&lt;&gt;"Unique",AB886="Mismatch",AC886="Mismatch",AJ886&lt;&gt;"OK"),"Invalid",IF(OR(H886="Yes",O886="Yes",T886="Missing"),"Warning","Clean"))</f>
        <v>Clean</v>
      </c>
    </row>
    <row r="887" customFormat="false" ht="15" hidden="false" customHeight="true" outlineLevel="0" collapsed="false">
      <c r="A887" s="3" t="s">
        <v>2766</v>
      </c>
      <c r="B887" s="4" t="n">
        <v>45296</v>
      </c>
      <c r="C887" s="4" t="n">
        <v>45296</v>
      </c>
      <c r="D887" s="3" t="s">
        <v>2767</v>
      </c>
      <c r="E887" s="3" t="s">
        <v>192</v>
      </c>
      <c r="F887" s="3" t="s">
        <v>41</v>
      </c>
      <c r="G887" s="3" t="s">
        <v>42</v>
      </c>
      <c r="H887" s="3" t="s">
        <v>43</v>
      </c>
      <c r="I887" s="3" t="s">
        <v>44</v>
      </c>
      <c r="J887" s="3" t="s">
        <v>45</v>
      </c>
      <c r="K887" s="3" t="s">
        <v>62</v>
      </c>
      <c r="L887" s="3" t="s">
        <v>63</v>
      </c>
      <c r="M887" s="3" t="s">
        <v>2768</v>
      </c>
      <c r="N887" s="3" t="s">
        <v>83</v>
      </c>
      <c r="O887" s="3" t="s">
        <v>43</v>
      </c>
      <c r="P887" s="5" t="n">
        <v>1</v>
      </c>
      <c r="Q887" s="6" t="n">
        <v>2167.08</v>
      </c>
      <c r="R887" s="3" t="s">
        <v>84</v>
      </c>
      <c r="S887" s="7" t="n">
        <v>0.25</v>
      </c>
      <c r="T887" s="3" t="s">
        <v>51</v>
      </c>
      <c r="U887" s="7" t="n">
        <f aca="false">IF(T887="Valid",S887,0)</f>
        <v>0.25</v>
      </c>
      <c r="V887" s="6" t="n">
        <v>1625.31</v>
      </c>
      <c r="W887" s="6" t="n">
        <v>1157.89</v>
      </c>
      <c r="X887" s="6" t="n">
        <v>467.42</v>
      </c>
      <c r="Y887" s="6" t="n">
        <f aca="false">P887*Q887*(1-U887)</f>
        <v>1625.31</v>
      </c>
      <c r="Z887" s="6" t="n">
        <f aca="false">Y887-W887</f>
        <v>467.42</v>
      </c>
      <c r="AA887" s="8" t="n">
        <f aca="false">IF(Y887=0,0,Z887/Y887)</f>
        <v>0.287588213940725</v>
      </c>
      <c r="AB887" s="3" t="str">
        <f aca="false">IF(ABS(V887-Y887)&gt;1,"Mismatch","OK")</f>
        <v>OK</v>
      </c>
      <c r="AC887" s="3" t="str">
        <f aca="false">IF(ABS(X887-Z887)&gt;1,"Mismatch","OK")</f>
        <v>OK</v>
      </c>
      <c r="AD887" s="5" t="n">
        <f aca="false">IF(OR(B887="",C887=""),"",C887-B887)</f>
        <v>0</v>
      </c>
      <c r="AE887" s="3" t="str">
        <f aca="false">IF(AD887="","Unknown",IF(AD887&lt;0,"Invalid - Ship Before Order","OK"))</f>
        <v>OK</v>
      </c>
      <c r="AF887" s="5" t="n">
        <f aca="false">IF(B887="","",MONTH(B887))</f>
        <v>1</v>
      </c>
      <c r="AG887" s="5" t="n">
        <f aca="false">IF(B887="","",YEAR(B887))</f>
        <v>2024</v>
      </c>
      <c r="AH887" s="3" t="s">
        <v>52</v>
      </c>
      <c r="AI887" s="3" t="s">
        <v>53</v>
      </c>
      <c r="AJ887" s="3" t="str">
        <f aca="false">IF(AND(AI887="Completed",AH887="Failed"),"Inconsistent - Completed Order with Failed Payment","OK")</f>
        <v>OK</v>
      </c>
      <c r="AK887" s="3" t="s">
        <v>54</v>
      </c>
      <c r="AL887" s="3" t="str">
        <f aca="false">IF(OR(T887="Negative - Invalid",T887="Above Allowed Range - Invalid",AE887="Invalid - Ship Before Order",AK887&lt;&gt;"Unique",AB887="Mismatch",AC887="Mismatch",AJ887&lt;&gt;"OK"),"Invalid",IF(OR(H887="Yes",O887="Yes",T887="Missing"),"Warning","Clean"))</f>
        <v>Clean</v>
      </c>
    </row>
    <row r="888" customFormat="false" ht="15" hidden="false" customHeight="true" outlineLevel="0" collapsed="false">
      <c r="A888" s="3" t="s">
        <v>2769</v>
      </c>
      <c r="B888" s="4" t="n">
        <v>45773</v>
      </c>
      <c r="C888" s="4" t="n">
        <v>45780</v>
      </c>
      <c r="D888" s="3" t="s">
        <v>2770</v>
      </c>
      <c r="E888" s="3" t="s">
        <v>77</v>
      </c>
      <c r="F888" s="3" t="s">
        <v>121</v>
      </c>
      <c r="G888" s="3" t="s">
        <v>78</v>
      </c>
      <c r="H888" s="3" t="s">
        <v>43</v>
      </c>
      <c r="I888" s="3" t="s">
        <v>281</v>
      </c>
      <c r="J888" s="3" t="s">
        <v>282</v>
      </c>
      <c r="K888" s="3" t="s">
        <v>99</v>
      </c>
      <c r="L888" s="3" t="s">
        <v>100</v>
      </c>
      <c r="M888" s="3" t="s">
        <v>2771</v>
      </c>
      <c r="N888" s="3" t="s">
        <v>72</v>
      </c>
      <c r="O888" s="3" t="s">
        <v>43</v>
      </c>
      <c r="P888" s="5" t="n">
        <v>7</v>
      </c>
      <c r="Q888" s="6" t="n">
        <v>3989.9</v>
      </c>
      <c r="R888" s="3" t="s">
        <v>107</v>
      </c>
      <c r="S888" s="7" t="n">
        <v>0.15</v>
      </c>
      <c r="T888" s="3" t="s">
        <v>51</v>
      </c>
      <c r="U888" s="7" t="n">
        <f aca="false">IF(T888="Valid",S888,0)</f>
        <v>0.15</v>
      </c>
      <c r="V888" s="6" t="n">
        <v>23739.9</v>
      </c>
      <c r="W888" s="6" t="n">
        <v>17716.52</v>
      </c>
      <c r="X888" s="6" t="n">
        <v>6023.38</v>
      </c>
      <c r="Y888" s="6" t="n">
        <f aca="false">P888*Q888*(1-U888)</f>
        <v>23739.905</v>
      </c>
      <c r="Z888" s="6" t="n">
        <f aca="false">Y888-W888</f>
        <v>6023.385</v>
      </c>
      <c r="AA888" s="8" t="n">
        <f aca="false">IF(Y888=0,0,Z888/Y888)</f>
        <v>0.25372405660427</v>
      </c>
      <c r="AB888" s="3" t="str">
        <f aca="false">IF(ABS(V888-Y888)&gt;1,"Mismatch","OK")</f>
        <v>OK</v>
      </c>
      <c r="AC888" s="3" t="str">
        <f aca="false">IF(ABS(X888-Z888)&gt;1,"Mismatch","OK")</f>
        <v>OK</v>
      </c>
      <c r="AD888" s="5" t="n">
        <f aca="false">IF(OR(B888="",C888=""),"",C888-B888)</f>
        <v>7</v>
      </c>
      <c r="AE888" s="3" t="str">
        <f aca="false">IF(AD888="","Unknown",IF(AD888&lt;0,"Invalid - Ship Before Order","OK"))</f>
        <v>OK</v>
      </c>
      <c r="AF888" s="5" t="n">
        <f aca="false">IF(B888="","",MONTH(B888))</f>
        <v>4</v>
      </c>
      <c r="AG888" s="5" t="n">
        <f aca="false">IF(B888="","",YEAR(B888))</f>
        <v>2025</v>
      </c>
      <c r="AH888" s="3" t="s">
        <v>52</v>
      </c>
      <c r="AI888" s="3" t="s">
        <v>93</v>
      </c>
      <c r="AJ888" s="3" t="str">
        <f aca="false">IF(AND(AI888="Completed",AH888="Failed"),"Inconsistent - Completed Order with Failed Payment","OK")</f>
        <v>OK</v>
      </c>
      <c r="AK888" s="3" t="s">
        <v>54</v>
      </c>
      <c r="AL888" s="3" t="str">
        <f aca="false">IF(OR(T888="Negative - Invalid",T888="Above Allowed Range - Invalid",AE888="Invalid - Ship Before Order",AK888&lt;&gt;"Unique",AB888="Mismatch",AC888="Mismatch",AJ888&lt;&gt;"OK"),"Invalid",IF(OR(H888="Yes",O888="Yes",T888="Missing"),"Warning","Clean"))</f>
        <v>Clean</v>
      </c>
    </row>
    <row r="889" customFormat="false" ht="15" hidden="false" customHeight="true" outlineLevel="0" collapsed="false">
      <c r="A889" s="3" t="s">
        <v>2772</v>
      </c>
      <c r="B889" s="4" t="n">
        <v>45455</v>
      </c>
      <c r="C889" s="4" t="n">
        <v>45461</v>
      </c>
      <c r="D889" s="3" t="s">
        <v>2773</v>
      </c>
      <c r="E889" s="3" t="s">
        <v>155</v>
      </c>
      <c r="F889" s="3" t="s">
        <v>58</v>
      </c>
      <c r="G889" s="3" t="s">
        <v>78</v>
      </c>
      <c r="H889" s="3" t="s">
        <v>43</v>
      </c>
      <c r="I889" s="3" t="s">
        <v>110</v>
      </c>
      <c r="J889" s="3" t="s">
        <v>111</v>
      </c>
      <c r="K889" s="3" t="s">
        <v>46</v>
      </c>
      <c r="L889" s="3" t="s">
        <v>70</v>
      </c>
      <c r="M889" s="3" t="s">
        <v>2774</v>
      </c>
      <c r="N889" s="3" t="s">
        <v>83</v>
      </c>
      <c r="O889" s="3" t="s">
        <v>43</v>
      </c>
      <c r="P889" s="5" t="n">
        <v>4</v>
      </c>
      <c r="Q889" s="6" t="n">
        <v>4176.13</v>
      </c>
      <c r="R889" s="3" t="s">
        <v>66</v>
      </c>
      <c r="S889" s="7" t="n">
        <v>0</v>
      </c>
      <c r="T889" s="3" t="s">
        <v>51</v>
      </c>
      <c r="U889" s="7" t="n">
        <f aca="false">IF(T889="Valid",S889,0)</f>
        <v>0</v>
      </c>
      <c r="V889" s="6" t="n">
        <v>16704.52</v>
      </c>
      <c r="W889" s="6" t="n">
        <v>10158.28</v>
      </c>
      <c r="X889" s="6" t="n">
        <v>6546.24</v>
      </c>
      <c r="Y889" s="6" t="n">
        <f aca="false">P889*Q889*(1-U889)</f>
        <v>16704.52</v>
      </c>
      <c r="Z889" s="6" t="n">
        <f aca="false">Y889-W889</f>
        <v>6546.24</v>
      </c>
      <c r="AA889" s="8" t="n">
        <f aca="false">IF(Y889=0,0,Z889/Y889)</f>
        <v>0.391884352259149</v>
      </c>
      <c r="AB889" s="3" t="str">
        <f aca="false">IF(ABS(V889-Y889)&gt;1,"Mismatch","OK")</f>
        <v>OK</v>
      </c>
      <c r="AC889" s="3" t="str">
        <f aca="false">IF(ABS(X889-Z889)&gt;1,"Mismatch","OK")</f>
        <v>OK</v>
      </c>
      <c r="AD889" s="5" t="n">
        <f aca="false">IF(OR(B889="",C889=""),"",C889-B889)</f>
        <v>6</v>
      </c>
      <c r="AE889" s="3" t="str">
        <f aca="false">IF(AD889="","Unknown",IF(AD889&lt;0,"Invalid - Ship Before Order","OK"))</f>
        <v>OK</v>
      </c>
      <c r="AF889" s="5" t="n">
        <f aca="false">IF(B889="","",MONTH(B889))</f>
        <v>6</v>
      </c>
      <c r="AG889" s="5" t="n">
        <f aca="false">IF(B889="","",YEAR(B889))</f>
        <v>2024</v>
      </c>
      <c r="AH889" s="3" t="s">
        <v>52</v>
      </c>
      <c r="AI889" s="3" t="s">
        <v>53</v>
      </c>
      <c r="AJ889" s="3" t="str">
        <f aca="false">IF(AND(AI889="Completed",AH889="Failed"),"Inconsistent - Completed Order with Failed Payment","OK")</f>
        <v>OK</v>
      </c>
      <c r="AK889" s="3" t="s">
        <v>54</v>
      </c>
      <c r="AL889" s="3" t="str">
        <f aca="false">IF(OR(T889="Negative - Invalid",T889="Above Allowed Range - Invalid",AE889="Invalid - Ship Before Order",AK889&lt;&gt;"Unique",AB889="Mismatch",AC889="Mismatch",AJ889&lt;&gt;"OK"),"Invalid",IF(OR(H889="Yes",O889="Yes",T889="Missing"),"Warning","Clean"))</f>
        <v>Clean</v>
      </c>
    </row>
    <row r="890" customFormat="false" ht="15" hidden="false" customHeight="true" outlineLevel="0" collapsed="false">
      <c r="A890" s="3" t="s">
        <v>2775</v>
      </c>
      <c r="B890" s="4" t="n">
        <v>45875</v>
      </c>
      <c r="C890" s="4" t="n">
        <v>45876</v>
      </c>
      <c r="D890" s="3" t="s">
        <v>2776</v>
      </c>
      <c r="E890" s="3" t="s">
        <v>145</v>
      </c>
      <c r="F890" s="3" t="s">
        <v>58</v>
      </c>
      <c r="G890" s="3" t="s">
        <v>88</v>
      </c>
      <c r="H890" s="3" t="s">
        <v>43</v>
      </c>
      <c r="I890" s="3" t="s">
        <v>89</v>
      </c>
      <c r="J890" s="3" t="s">
        <v>90</v>
      </c>
      <c r="K890" s="3" t="s">
        <v>46</v>
      </c>
      <c r="L890" s="3" t="s">
        <v>70</v>
      </c>
      <c r="M890" s="3" t="s">
        <v>2777</v>
      </c>
      <c r="N890" s="3" t="s">
        <v>83</v>
      </c>
      <c r="O890" s="3" t="s">
        <v>43</v>
      </c>
      <c r="P890" s="5" t="n">
        <v>4</v>
      </c>
      <c r="Q890" s="6" t="n">
        <v>3523.64</v>
      </c>
      <c r="R890" s="3" t="s">
        <v>203</v>
      </c>
      <c r="S890" s="7" t="n">
        <v>0.1</v>
      </c>
      <c r="T890" s="3" t="s">
        <v>51</v>
      </c>
      <c r="U890" s="7" t="n">
        <f aca="false">IF(T890="Valid",S890,0)</f>
        <v>0.1</v>
      </c>
      <c r="V890" s="6" t="n">
        <v>12685.1</v>
      </c>
      <c r="W890" s="6" t="n">
        <v>10779.56</v>
      </c>
      <c r="X890" s="6" t="n">
        <v>1905.54</v>
      </c>
      <c r="Y890" s="6" t="n">
        <f aca="false">P890*Q890*(1-U890)</f>
        <v>12685.104</v>
      </c>
      <c r="Z890" s="6" t="n">
        <f aca="false">Y890-W890</f>
        <v>1905.544</v>
      </c>
      <c r="AA890" s="8" t="n">
        <f aca="false">IF(Y890=0,0,Z890/Y890)</f>
        <v>0.150219028555067</v>
      </c>
      <c r="AB890" s="3" t="str">
        <f aca="false">IF(ABS(V890-Y890)&gt;1,"Mismatch","OK")</f>
        <v>OK</v>
      </c>
      <c r="AC890" s="3" t="str">
        <f aca="false">IF(ABS(X890-Z890)&gt;1,"Mismatch","OK")</f>
        <v>OK</v>
      </c>
      <c r="AD890" s="5" t="n">
        <f aca="false">IF(OR(B890="",C890=""),"",C890-B890)</f>
        <v>1</v>
      </c>
      <c r="AE890" s="3" t="str">
        <f aca="false">IF(AD890="","Unknown",IF(AD890&lt;0,"Invalid - Ship Before Order","OK"))</f>
        <v>OK</v>
      </c>
      <c r="AF890" s="5" t="n">
        <f aca="false">IF(B890="","",MONTH(B890))</f>
        <v>8</v>
      </c>
      <c r="AG890" s="5" t="n">
        <f aca="false">IF(B890="","",YEAR(B890))</f>
        <v>2025</v>
      </c>
      <c r="AH890" s="3" t="s">
        <v>129</v>
      </c>
      <c r="AI890" s="3" t="s">
        <v>93</v>
      </c>
      <c r="AJ890" s="3" t="str">
        <f aca="false">IF(AND(AI890="Completed",AH890="Failed"),"Inconsistent - Completed Order with Failed Payment","OK")</f>
        <v>OK</v>
      </c>
      <c r="AK890" s="3" t="s">
        <v>54</v>
      </c>
      <c r="AL890" s="3" t="str">
        <f aca="false">IF(OR(T890="Negative - Invalid",T890="Above Allowed Range - Invalid",AE890="Invalid - Ship Before Order",AK890&lt;&gt;"Unique",AB890="Mismatch",AC890="Mismatch",AJ890&lt;&gt;"OK"),"Invalid",IF(OR(H890="Yes",O890="Yes",T890="Missing"),"Warning","Clean"))</f>
        <v>Clean</v>
      </c>
    </row>
    <row r="891" customFormat="false" ht="15" hidden="false" customHeight="true" outlineLevel="0" collapsed="false">
      <c r="A891" s="3" t="s">
        <v>2778</v>
      </c>
      <c r="B891" s="4" t="n">
        <v>45726</v>
      </c>
      <c r="C891" s="4" t="n">
        <v>45727</v>
      </c>
      <c r="D891" s="3" t="s">
        <v>922</v>
      </c>
      <c r="E891" s="3" t="s">
        <v>115</v>
      </c>
      <c r="F891" s="3" t="s">
        <v>121</v>
      </c>
      <c r="G891" s="3" t="s">
        <v>88</v>
      </c>
      <c r="H891" s="3" t="s">
        <v>43</v>
      </c>
      <c r="I891" s="3" t="s">
        <v>97</v>
      </c>
      <c r="J891" s="3" t="s">
        <v>98</v>
      </c>
      <c r="K891" s="3" t="s">
        <v>46</v>
      </c>
      <c r="L891" s="3" t="s">
        <v>151</v>
      </c>
      <c r="M891" s="3" t="s">
        <v>2779</v>
      </c>
      <c r="N891" s="3" t="s">
        <v>72</v>
      </c>
      <c r="O891" s="3" t="s">
        <v>43</v>
      </c>
      <c r="P891" s="5" t="n">
        <v>2</v>
      </c>
      <c r="Q891" s="6" t="n">
        <v>3922.08</v>
      </c>
      <c r="R891" s="3" t="s">
        <v>84</v>
      </c>
      <c r="S891" s="7" t="n">
        <v>0.25</v>
      </c>
      <c r="T891" s="3" t="s">
        <v>51</v>
      </c>
      <c r="U891" s="7" t="n">
        <f aca="false">IF(T891="Valid",S891,0)</f>
        <v>0.25</v>
      </c>
      <c r="V891" s="6" t="n">
        <v>5883.12</v>
      </c>
      <c r="W891" s="6" t="n">
        <v>4647.91</v>
      </c>
      <c r="X891" s="6" t="n">
        <v>1235.21</v>
      </c>
      <c r="Y891" s="6" t="n">
        <f aca="false">P891*Q891*(1-U891)</f>
        <v>5883.12</v>
      </c>
      <c r="Z891" s="6" t="n">
        <f aca="false">Y891-W891</f>
        <v>1235.21</v>
      </c>
      <c r="AA891" s="8" t="n">
        <f aca="false">IF(Y891=0,0,Z891/Y891)</f>
        <v>0.209958321434885</v>
      </c>
      <c r="AB891" s="3" t="str">
        <f aca="false">IF(ABS(V891-Y891)&gt;1,"Mismatch","OK")</f>
        <v>OK</v>
      </c>
      <c r="AC891" s="3" t="str">
        <f aca="false">IF(ABS(X891-Z891)&gt;1,"Mismatch","OK")</f>
        <v>OK</v>
      </c>
      <c r="AD891" s="5" t="n">
        <f aca="false">IF(OR(B891="",C891=""),"",C891-B891)</f>
        <v>1</v>
      </c>
      <c r="AE891" s="3" t="str">
        <f aca="false">IF(AD891="","Unknown",IF(AD891&lt;0,"Invalid - Ship Before Order","OK"))</f>
        <v>OK</v>
      </c>
      <c r="AF891" s="5" t="n">
        <f aca="false">IF(B891="","",MONTH(B891))</f>
        <v>3</v>
      </c>
      <c r="AG891" s="5" t="n">
        <f aca="false">IF(B891="","",YEAR(B891))</f>
        <v>2025</v>
      </c>
      <c r="AH891" s="3" t="s">
        <v>52</v>
      </c>
      <c r="AI891" s="3" t="s">
        <v>130</v>
      </c>
      <c r="AJ891" s="3" t="str">
        <f aca="false">IF(AND(AI891="Completed",AH891="Failed"),"Inconsistent - Completed Order with Failed Payment","OK")</f>
        <v>OK</v>
      </c>
      <c r="AK891" s="3" t="s">
        <v>54</v>
      </c>
      <c r="AL891" s="3" t="str">
        <f aca="false">IF(OR(T891="Negative - Invalid",T891="Above Allowed Range - Invalid",AE891="Invalid - Ship Before Order",AK891&lt;&gt;"Unique",AB891="Mismatch",AC891="Mismatch",AJ891&lt;&gt;"OK"),"Invalid",IF(OR(H891="Yes",O891="Yes",T891="Missing"),"Warning","Clean"))</f>
        <v>Clean</v>
      </c>
    </row>
    <row r="892" customFormat="false" ht="15" hidden="false" customHeight="true" outlineLevel="0" collapsed="false">
      <c r="A892" s="3" t="s">
        <v>2780</v>
      </c>
      <c r="B892" s="4" t="n">
        <v>45427</v>
      </c>
      <c r="C892" s="4" t="n">
        <v>45433</v>
      </c>
      <c r="D892" s="3" t="s">
        <v>2781</v>
      </c>
      <c r="E892" s="3" t="s">
        <v>40</v>
      </c>
      <c r="F892" s="3" t="s">
        <v>41</v>
      </c>
      <c r="G892" s="3" t="s">
        <v>88</v>
      </c>
      <c r="H892" s="3" t="s">
        <v>43</v>
      </c>
      <c r="I892" s="3" t="s">
        <v>221</v>
      </c>
      <c r="J892" s="3" t="s">
        <v>222</v>
      </c>
      <c r="K892" s="3" t="s">
        <v>46</v>
      </c>
      <c r="L892" s="3" t="s">
        <v>151</v>
      </c>
      <c r="M892" s="3" t="s">
        <v>2782</v>
      </c>
      <c r="N892" s="3" t="s">
        <v>83</v>
      </c>
      <c r="O892" s="3" t="s">
        <v>43</v>
      </c>
      <c r="P892" s="5" t="n">
        <v>6</v>
      </c>
      <c r="Q892" s="6" t="n">
        <v>2909.56</v>
      </c>
      <c r="R892" s="3" t="s">
        <v>50</v>
      </c>
      <c r="S892" s="7" t="n">
        <v>0.2</v>
      </c>
      <c r="T892" s="3" t="s">
        <v>51</v>
      </c>
      <c r="U892" s="7" t="n">
        <f aca="false">IF(T892="Valid",S892,0)</f>
        <v>0.2</v>
      </c>
      <c r="V892" s="6" t="n">
        <v>13965.89</v>
      </c>
      <c r="W892" s="6" t="n">
        <v>11646.12</v>
      </c>
      <c r="X892" s="6" t="n">
        <v>2319.77</v>
      </c>
      <c r="Y892" s="6" t="n">
        <f aca="false">P892*Q892*(1-U892)</f>
        <v>13965.888</v>
      </c>
      <c r="Z892" s="6" t="n">
        <f aca="false">Y892-W892</f>
        <v>2319.768</v>
      </c>
      <c r="AA892" s="8" t="n">
        <f aca="false">IF(Y892=0,0,Z892/Y892)</f>
        <v>0.166102434732399</v>
      </c>
      <c r="AB892" s="3" t="str">
        <f aca="false">IF(ABS(V892-Y892)&gt;1,"Mismatch","OK")</f>
        <v>OK</v>
      </c>
      <c r="AC892" s="3" t="str">
        <f aca="false">IF(ABS(X892-Z892)&gt;1,"Mismatch","OK")</f>
        <v>OK</v>
      </c>
      <c r="AD892" s="5" t="n">
        <f aca="false">IF(OR(B892="",C892=""),"",C892-B892)</f>
        <v>6</v>
      </c>
      <c r="AE892" s="3" t="str">
        <f aca="false">IF(AD892="","Unknown",IF(AD892&lt;0,"Invalid - Ship Before Order","OK"))</f>
        <v>OK</v>
      </c>
      <c r="AF892" s="5" t="n">
        <f aca="false">IF(B892="","",MONTH(B892))</f>
        <v>5</v>
      </c>
      <c r="AG892" s="5" t="n">
        <f aca="false">IF(B892="","",YEAR(B892))</f>
        <v>2024</v>
      </c>
      <c r="AH892" s="3" t="s">
        <v>52</v>
      </c>
      <c r="AI892" s="3" t="s">
        <v>53</v>
      </c>
      <c r="AJ892" s="3" t="str">
        <f aca="false">IF(AND(AI892="Completed",AH892="Failed"),"Inconsistent - Completed Order with Failed Payment","OK")</f>
        <v>OK</v>
      </c>
      <c r="AK892" s="3" t="s">
        <v>54</v>
      </c>
      <c r="AL892" s="3" t="str">
        <f aca="false">IF(OR(T892="Negative - Invalid",T892="Above Allowed Range - Invalid",AE892="Invalid - Ship Before Order",AK892&lt;&gt;"Unique",AB892="Mismatch",AC892="Mismatch",AJ892&lt;&gt;"OK"),"Invalid",IF(OR(H892="Yes",O892="Yes",T892="Missing"),"Warning","Clean"))</f>
        <v>Clean</v>
      </c>
    </row>
    <row r="893" customFormat="false" ht="15" hidden="false" customHeight="true" outlineLevel="0" collapsed="false">
      <c r="A893" s="3" t="s">
        <v>2783</v>
      </c>
      <c r="B893" s="4" t="n">
        <v>45573</v>
      </c>
      <c r="C893" s="4" t="n">
        <v>45574</v>
      </c>
      <c r="D893" s="3" t="s">
        <v>2784</v>
      </c>
      <c r="E893" s="3" t="s">
        <v>298</v>
      </c>
      <c r="F893" s="3" t="s">
        <v>116</v>
      </c>
      <c r="G893" s="3" t="s">
        <v>78</v>
      </c>
      <c r="H893" s="3" t="s">
        <v>43</v>
      </c>
      <c r="I893" s="3" t="s">
        <v>281</v>
      </c>
      <c r="J893" s="3" t="s">
        <v>282</v>
      </c>
      <c r="K893" s="3" t="s">
        <v>99</v>
      </c>
      <c r="L893" s="3" t="s">
        <v>308</v>
      </c>
      <c r="M893" s="3" t="s">
        <v>2785</v>
      </c>
      <c r="N893" s="3" t="s">
        <v>65</v>
      </c>
      <c r="O893" s="3" t="s">
        <v>43</v>
      </c>
      <c r="P893" s="5" t="n">
        <v>5</v>
      </c>
      <c r="Q893" s="6" t="n">
        <v>2407.97</v>
      </c>
      <c r="R893" s="3" t="s">
        <v>203</v>
      </c>
      <c r="S893" s="7" t="n">
        <v>0.1</v>
      </c>
      <c r="T893" s="3" t="s">
        <v>51</v>
      </c>
      <c r="U893" s="7" t="n">
        <f aca="false">IF(T893="Valid",S893,0)</f>
        <v>0.1</v>
      </c>
      <c r="V893" s="6" t="n">
        <v>10835.86</v>
      </c>
      <c r="W893" s="6" t="n">
        <v>6419.92</v>
      </c>
      <c r="X893" s="6" t="n">
        <v>4415.94</v>
      </c>
      <c r="Y893" s="6" t="n">
        <f aca="false">P893*Q893*(1-U893)</f>
        <v>10835.865</v>
      </c>
      <c r="Z893" s="6" t="n">
        <f aca="false">Y893-W893</f>
        <v>4415.945</v>
      </c>
      <c r="AA893" s="8" t="n">
        <f aca="false">IF(Y893=0,0,Z893/Y893)</f>
        <v>0.407530455575074</v>
      </c>
      <c r="AB893" s="3" t="str">
        <f aca="false">IF(ABS(V893-Y893)&gt;1,"Mismatch","OK")</f>
        <v>OK</v>
      </c>
      <c r="AC893" s="3" t="str">
        <f aca="false">IF(ABS(X893-Z893)&gt;1,"Mismatch","OK")</f>
        <v>OK</v>
      </c>
      <c r="AD893" s="5" t="n">
        <f aca="false">IF(OR(B893="",C893=""),"",C893-B893)</f>
        <v>1</v>
      </c>
      <c r="AE893" s="3" t="str">
        <f aca="false">IF(AD893="","Unknown",IF(AD893&lt;0,"Invalid - Ship Before Order","OK"))</f>
        <v>OK</v>
      </c>
      <c r="AF893" s="5" t="n">
        <f aca="false">IF(B893="","",MONTH(B893))</f>
        <v>10</v>
      </c>
      <c r="AG893" s="5" t="n">
        <f aca="false">IF(B893="","",YEAR(B893))</f>
        <v>2024</v>
      </c>
      <c r="AH893" s="3" t="s">
        <v>185</v>
      </c>
      <c r="AI893" s="3" t="s">
        <v>93</v>
      </c>
      <c r="AJ893" s="3" t="str">
        <f aca="false">IF(AND(AI893="Completed",AH893="Failed"),"Inconsistent - Completed Order with Failed Payment","OK")</f>
        <v>OK</v>
      </c>
      <c r="AK893" s="3" t="s">
        <v>54</v>
      </c>
      <c r="AL893" s="3" t="str">
        <f aca="false">IF(OR(T893="Negative - Invalid",T893="Above Allowed Range - Invalid",AE893="Invalid - Ship Before Order",AK893&lt;&gt;"Unique",AB893="Mismatch",AC893="Mismatch",AJ893&lt;&gt;"OK"),"Invalid",IF(OR(H893="Yes",O893="Yes",T893="Missing"),"Warning","Clean"))</f>
        <v>Clean</v>
      </c>
    </row>
    <row r="894" customFormat="false" ht="15" hidden="false" customHeight="true" outlineLevel="0" collapsed="false">
      <c r="A894" s="3" t="s">
        <v>2786</v>
      </c>
      <c r="B894" s="4" t="n">
        <v>45759</v>
      </c>
      <c r="C894" s="4" t="n">
        <v>45765</v>
      </c>
      <c r="D894" s="3" t="s">
        <v>2787</v>
      </c>
      <c r="E894" s="3" t="s">
        <v>69</v>
      </c>
      <c r="F894" s="3" t="s">
        <v>58</v>
      </c>
      <c r="G894" s="3" t="s">
        <v>59</v>
      </c>
      <c r="H894" s="3" t="s">
        <v>43</v>
      </c>
      <c r="I894" s="3" t="s">
        <v>262</v>
      </c>
      <c r="J894" s="3" t="s">
        <v>263</v>
      </c>
      <c r="K894" s="3" t="s">
        <v>99</v>
      </c>
      <c r="L894" s="3" t="s">
        <v>105</v>
      </c>
      <c r="M894" s="3" t="s">
        <v>2788</v>
      </c>
      <c r="N894" s="3" t="s">
        <v>65</v>
      </c>
      <c r="O894" s="3" t="s">
        <v>43</v>
      </c>
      <c r="P894" s="5" t="n">
        <v>1</v>
      </c>
      <c r="Q894" s="6" t="n">
        <v>726.89</v>
      </c>
      <c r="R894" s="3" t="s">
        <v>50</v>
      </c>
      <c r="S894" s="7" t="n">
        <v>0.2</v>
      </c>
      <c r="T894" s="3" t="s">
        <v>51</v>
      </c>
      <c r="U894" s="7" t="n">
        <f aca="false">IF(T894="Valid",S894,0)</f>
        <v>0.2</v>
      </c>
      <c r="V894" s="6" t="n">
        <v>581.51</v>
      </c>
      <c r="W894" s="6" t="n">
        <v>423.86</v>
      </c>
      <c r="X894" s="6" t="n">
        <v>157.65</v>
      </c>
      <c r="Y894" s="6" t="n">
        <f aca="false">P894*Q894*(1-U894)</f>
        <v>581.512</v>
      </c>
      <c r="Z894" s="6" t="n">
        <f aca="false">Y894-W894</f>
        <v>157.652</v>
      </c>
      <c r="AA894" s="8" t="n">
        <f aca="false">IF(Y894=0,0,Z894/Y894)</f>
        <v>0.271107045082475</v>
      </c>
      <c r="AB894" s="3" t="str">
        <f aca="false">IF(ABS(V894-Y894)&gt;1,"Mismatch","OK")</f>
        <v>OK</v>
      </c>
      <c r="AC894" s="3" t="str">
        <f aca="false">IF(ABS(X894-Z894)&gt;1,"Mismatch","OK")</f>
        <v>OK</v>
      </c>
      <c r="AD894" s="5" t="n">
        <f aca="false">IF(OR(B894="",C894=""),"",C894-B894)</f>
        <v>6</v>
      </c>
      <c r="AE894" s="3" t="str">
        <f aca="false">IF(AD894="","Unknown",IF(AD894&lt;0,"Invalid - Ship Before Order","OK"))</f>
        <v>OK</v>
      </c>
      <c r="AF894" s="5" t="n">
        <f aca="false">IF(B894="","",MONTH(B894))</f>
        <v>4</v>
      </c>
      <c r="AG894" s="5" t="n">
        <f aca="false">IF(B894="","",YEAR(B894))</f>
        <v>2025</v>
      </c>
      <c r="AH894" s="3" t="s">
        <v>52</v>
      </c>
      <c r="AI894" s="3" t="s">
        <v>53</v>
      </c>
      <c r="AJ894" s="3" t="str">
        <f aca="false">IF(AND(AI894="Completed",AH894="Failed"),"Inconsistent - Completed Order with Failed Payment","OK")</f>
        <v>OK</v>
      </c>
      <c r="AK894" s="3" t="s">
        <v>54</v>
      </c>
      <c r="AL894" s="3" t="str">
        <f aca="false">IF(OR(T894="Negative - Invalid",T894="Above Allowed Range - Invalid",AE894="Invalid - Ship Before Order",AK894&lt;&gt;"Unique",AB894="Mismatch",AC894="Mismatch",AJ894&lt;&gt;"OK"),"Invalid",IF(OR(H894="Yes",O894="Yes",T894="Missing"),"Warning","Clean"))</f>
        <v>Clean</v>
      </c>
    </row>
    <row r="895" customFormat="false" ht="15" hidden="false" customHeight="true" outlineLevel="0" collapsed="false">
      <c r="A895" s="3" t="s">
        <v>2789</v>
      </c>
      <c r="B895" s="4" t="n">
        <v>45449</v>
      </c>
      <c r="C895" s="4" t="n">
        <v>45451</v>
      </c>
      <c r="D895" s="3" t="s">
        <v>2790</v>
      </c>
      <c r="E895" s="3" t="s">
        <v>155</v>
      </c>
      <c r="F895" s="3" t="s">
        <v>116</v>
      </c>
      <c r="G895" s="3" t="s">
        <v>78</v>
      </c>
      <c r="H895" s="3" t="s">
        <v>43</v>
      </c>
      <c r="I895" s="3" t="s">
        <v>206</v>
      </c>
      <c r="J895" s="3" t="s">
        <v>207</v>
      </c>
      <c r="K895" s="3" t="s">
        <v>62</v>
      </c>
      <c r="L895" s="3" t="s">
        <v>63</v>
      </c>
      <c r="M895" s="3" t="s">
        <v>2791</v>
      </c>
      <c r="N895" s="3" t="s">
        <v>49</v>
      </c>
      <c r="O895" s="3" t="s">
        <v>43</v>
      </c>
      <c r="P895" s="5" t="n">
        <v>3</v>
      </c>
      <c r="Q895" s="6" t="n">
        <v>395.49</v>
      </c>
      <c r="R895" s="3" t="s">
        <v>128</v>
      </c>
      <c r="S895" s="7" t="n">
        <v>0.05</v>
      </c>
      <c r="T895" s="3" t="s">
        <v>51</v>
      </c>
      <c r="U895" s="7" t="n">
        <f aca="false">IF(T895="Valid",S895,0)</f>
        <v>0.05</v>
      </c>
      <c r="V895" s="6" t="n">
        <v>1127.15</v>
      </c>
      <c r="W895" s="6" t="n">
        <v>845.62</v>
      </c>
      <c r="X895" s="6" t="n">
        <v>281.53</v>
      </c>
      <c r="Y895" s="6" t="n">
        <f aca="false">P895*Q895*(1-U895)</f>
        <v>1127.1465</v>
      </c>
      <c r="Z895" s="6" t="n">
        <f aca="false">Y895-W895</f>
        <v>281.5265</v>
      </c>
      <c r="AA895" s="8" t="n">
        <f aca="false">IF(Y895=0,0,Z895/Y895)</f>
        <v>0.249769218109625</v>
      </c>
      <c r="AB895" s="3" t="str">
        <f aca="false">IF(ABS(V895-Y895)&gt;1,"Mismatch","OK")</f>
        <v>OK</v>
      </c>
      <c r="AC895" s="3" t="str">
        <f aca="false">IF(ABS(X895-Z895)&gt;1,"Mismatch","OK")</f>
        <v>OK</v>
      </c>
      <c r="AD895" s="5" t="n">
        <f aca="false">IF(OR(B895="",C895=""),"",C895-B895)</f>
        <v>2</v>
      </c>
      <c r="AE895" s="3" t="str">
        <f aca="false">IF(AD895="","Unknown",IF(AD895&lt;0,"Invalid - Ship Before Order","OK"))</f>
        <v>OK</v>
      </c>
      <c r="AF895" s="5" t="n">
        <f aca="false">IF(B895="","",MONTH(B895))</f>
        <v>6</v>
      </c>
      <c r="AG895" s="5" t="n">
        <f aca="false">IF(B895="","",YEAR(B895))</f>
        <v>2024</v>
      </c>
      <c r="AH895" s="3" t="s">
        <v>52</v>
      </c>
      <c r="AI895" s="3" t="s">
        <v>130</v>
      </c>
      <c r="AJ895" s="3" t="str">
        <f aca="false">IF(AND(AI895="Completed",AH895="Failed"),"Inconsistent - Completed Order with Failed Payment","OK")</f>
        <v>OK</v>
      </c>
      <c r="AK895" s="3" t="s">
        <v>54</v>
      </c>
      <c r="AL895" s="3" t="str">
        <f aca="false">IF(OR(T895="Negative - Invalid",T895="Above Allowed Range - Invalid",AE895="Invalid - Ship Before Order",AK895&lt;&gt;"Unique",AB895="Mismatch",AC895="Mismatch",AJ895&lt;&gt;"OK"),"Invalid",IF(OR(H895="Yes",O895="Yes",T895="Missing"),"Warning","Clean"))</f>
        <v>Clean</v>
      </c>
    </row>
    <row r="896" customFormat="false" ht="15" hidden="false" customHeight="true" outlineLevel="0" collapsed="false">
      <c r="A896" s="3" t="s">
        <v>2792</v>
      </c>
      <c r="B896" s="4" t="n">
        <v>45344</v>
      </c>
      <c r="C896" s="4" t="n">
        <v>45351</v>
      </c>
      <c r="D896" s="3" t="s">
        <v>2793</v>
      </c>
      <c r="E896" s="3" t="s">
        <v>69</v>
      </c>
      <c r="F896" s="3" t="s">
        <v>121</v>
      </c>
      <c r="G896" s="3" t="s">
        <v>78</v>
      </c>
      <c r="H896" s="3" t="s">
        <v>43</v>
      </c>
      <c r="I896" s="3" t="s">
        <v>79</v>
      </c>
      <c r="J896" s="3" t="s">
        <v>80</v>
      </c>
      <c r="K896" s="3" t="s">
        <v>62</v>
      </c>
      <c r="L896" s="3" t="s">
        <v>63</v>
      </c>
      <c r="M896" s="3" t="s">
        <v>2794</v>
      </c>
      <c r="N896" s="3" t="s">
        <v>72</v>
      </c>
      <c r="O896" s="3" t="s">
        <v>43</v>
      </c>
      <c r="P896" s="5" t="n">
        <v>6</v>
      </c>
      <c r="Q896" s="6" t="n">
        <v>4254.05</v>
      </c>
      <c r="R896" s="3" t="s">
        <v>66</v>
      </c>
      <c r="S896" s="7" t="n">
        <v>0</v>
      </c>
      <c r="T896" s="3" t="s">
        <v>51</v>
      </c>
      <c r="U896" s="7" t="n">
        <f aca="false">IF(T896="Valid",S896,0)</f>
        <v>0</v>
      </c>
      <c r="V896" s="6" t="n">
        <v>25524.3</v>
      </c>
      <c r="W896" s="6" t="n">
        <v>16711.93</v>
      </c>
      <c r="X896" s="6" t="n">
        <v>8812.37</v>
      </c>
      <c r="Y896" s="6" t="n">
        <f aca="false">P896*Q896*(1-U896)</f>
        <v>25524.3</v>
      </c>
      <c r="Z896" s="6" t="n">
        <f aca="false">Y896-W896</f>
        <v>8812.37</v>
      </c>
      <c r="AA896" s="8" t="n">
        <f aca="false">IF(Y896=0,0,Z896/Y896)</f>
        <v>0.345254130377719</v>
      </c>
      <c r="AB896" s="3" t="str">
        <f aca="false">IF(ABS(V896-Y896)&gt;1,"Mismatch","OK")</f>
        <v>OK</v>
      </c>
      <c r="AC896" s="3" t="str">
        <f aca="false">IF(ABS(X896-Z896)&gt;1,"Mismatch","OK")</f>
        <v>OK</v>
      </c>
      <c r="AD896" s="5" t="n">
        <f aca="false">IF(OR(B896="",C896=""),"",C896-B896)</f>
        <v>7</v>
      </c>
      <c r="AE896" s="3" t="str">
        <f aca="false">IF(AD896="","Unknown",IF(AD896&lt;0,"Invalid - Ship Before Order","OK"))</f>
        <v>OK</v>
      </c>
      <c r="AF896" s="5" t="n">
        <f aca="false">IF(B896="","",MONTH(B896))</f>
        <v>2</v>
      </c>
      <c r="AG896" s="5" t="n">
        <f aca="false">IF(B896="","",YEAR(B896))</f>
        <v>2024</v>
      </c>
      <c r="AH896" s="3" t="s">
        <v>52</v>
      </c>
      <c r="AI896" s="3" t="s">
        <v>53</v>
      </c>
      <c r="AJ896" s="3" t="str">
        <f aca="false">IF(AND(AI896="Completed",AH896="Failed"),"Inconsistent - Completed Order with Failed Payment","OK")</f>
        <v>OK</v>
      </c>
      <c r="AK896" s="3" t="s">
        <v>54</v>
      </c>
      <c r="AL896" s="3" t="str">
        <f aca="false">IF(OR(T896="Negative - Invalid",T896="Above Allowed Range - Invalid",AE896="Invalid - Ship Before Order",AK896&lt;&gt;"Unique",AB896="Mismatch",AC896="Mismatch",AJ896&lt;&gt;"OK"),"Invalid",IF(OR(H896="Yes",O896="Yes",T896="Missing"),"Warning","Clean"))</f>
        <v>Clean</v>
      </c>
    </row>
    <row r="897" customFormat="false" ht="15" hidden="false" customHeight="true" outlineLevel="0" collapsed="false">
      <c r="A897" s="3" t="s">
        <v>2795</v>
      </c>
      <c r="B897" s="4" t="n">
        <v>45601</v>
      </c>
      <c r="C897" s="4" t="n">
        <v>45606</v>
      </c>
      <c r="D897" s="3" t="s">
        <v>2796</v>
      </c>
      <c r="E897" s="3" t="s">
        <v>77</v>
      </c>
      <c r="F897" s="3" t="s">
        <v>41</v>
      </c>
      <c r="G897" s="3" t="s">
        <v>78</v>
      </c>
      <c r="H897" s="3" t="s">
        <v>43</v>
      </c>
      <c r="I897" s="3" t="s">
        <v>216</v>
      </c>
      <c r="J897" s="3" t="s">
        <v>217</v>
      </c>
      <c r="K897" s="3" t="s">
        <v>62</v>
      </c>
      <c r="L897" s="3" t="s">
        <v>91</v>
      </c>
      <c r="M897" s="3" t="s">
        <v>2797</v>
      </c>
      <c r="N897" s="3" t="s">
        <v>65</v>
      </c>
      <c r="O897" s="3" t="s">
        <v>43</v>
      </c>
      <c r="P897" s="5" t="n">
        <v>4</v>
      </c>
      <c r="Q897" s="6" t="n">
        <v>711.18</v>
      </c>
      <c r="R897" s="3" t="s">
        <v>107</v>
      </c>
      <c r="S897" s="7" t="n">
        <v>0.15</v>
      </c>
      <c r="T897" s="3" t="s">
        <v>51</v>
      </c>
      <c r="U897" s="7" t="n">
        <f aca="false">IF(T897="Valid",S897,0)</f>
        <v>0.15</v>
      </c>
      <c r="V897" s="6" t="n">
        <v>2418.01</v>
      </c>
      <c r="W897" s="6" t="n">
        <v>1441.89</v>
      </c>
      <c r="X897" s="6" t="n">
        <v>976.12</v>
      </c>
      <c r="Y897" s="6" t="n">
        <f aca="false">P897*Q897*(1-U897)</f>
        <v>2418.012</v>
      </c>
      <c r="Z897" s="6" t="n">
        <f aca="false">Y897-W897</f>
        <v>976.122</v>
      </c>
      <c r="AA897" s="8" t="n">
        <f aca="false">IF(Y897=0,0,Z897/Y897)</f>
        <v>0.403687822889216</v>
      </c>
      <c r="AB897" s="3" t="str">
        <f aca="false">IF(ABS(V897-Y897)&gt;1,"Mismatch","OK")</f>
        <v>OK</v>
      </c>
      <c r="AC897" s="3" t="str">
        <f aca="false">IF(ABS(X897-Z897)&gt;1,"Mismatch","OK")</f>
        <v>OK</v>
      </c>
      <c r="AD897" s="5" t="n">
        <f aca="false">IF(OR(B897="",C897=""),"",C897-B897)</f>
        <v>5</v>
      </c>
      <c r="AE897" s="3" t="str">
        <f aca="false">IF(AD897="","Unknown",IF(AD897&lt;0,"Invalid - Ship Before Order","OK"))</f>
        <v>OK</v>
      </c>
      <c r="AF897" s="5" t="n">
        <f aca="false">IF(B897="","",MONTH(B897))</f>
        <v>11</v>
      </c>
      <c r="AG897" s="5" t="n">
        <f aca="false">IF(B897="","",YEAR(B897))</f>
        <v>2024</v>
      </c>
      <c r="AH897" s="3" t="s">
        <v>138</v>
      </c>
      <c r="AI897" s="3" t="s">
        <v>130</v>
      </c>
      <c r="AJ897" s="3" t="str">
        <f aca="false">IF(AND(AI897="Completed",AH897="Failed"),"Inconsistent - Completed Order with Failed Payment","OK")</f>
        <v>OK</v>
      </c>
      <c r="AK897" s="3" t="s">
        <v>54</v>
      </c>
      <c r="AL897" s="3" t="str">
        <f aca="false">IF(OR(T897="Negative - Invalid",T897="Above Allowed Range - Invalid",AE897="Invalid - Ship Before Order",AK897&lt;&gt;"Unique",AB897="Mismatch",AC897="Mismatch",AJ897&lt;&gt;"OK"),"Invalid",IF(OR(H897="Yes",O897="Yes",T897="Missing"),"Warning","Clean"))</f>
        <v>Clean</v>
      </c>
    </row>
    <row r="898" customFormat="false" ht="15" hidden="false" customHeight="true" outlineLevel="0" collapsed="false">
      <c r="A898" s="3" t="s">
        <v>2798</v>
      </c>
      <c r="B898" s="4" t="n">
        <v>45650</v>
      </c>
      <c r="C898" s="4" t="n">
        <v>45651</v>
      </c>
      <c r="D898" s="3" t="s">
        <v>2799</v>
      </c>
      <c r="E898" s="3" t="s">
        <v>87</v>
      </c>
      <c r="F898" s="3" t="s">
        <v>58</v>
      </c>
      <c r="G898" s="3" t="s">
        <v>78</v>
      </c>
      <c r="H898" s="3" t="s">
        <v>43</v>
      </c>
      <c r="I898" s="3" t="s">
        <v>281</v>
      </c>
      <c r="J898" s="3" t="s">
        <v>282</v>
      </c>
      <c r="K898" s="3" t="s">
        <v>99</v>
      </c>
      <c r="L898" s="3" t="s">
        <v>105</v>
      </c>
      <c r="M898" s="3" t="s">
        <v>2800</v>
      </c>
      <c r="N898" s="3" t="s">
        <v>49</v>
      </c>
      <c r="O898" s="3" t="s">
        <v>43</v>
      </c>
      <c r="P898" s="5" t="n">
        <v>1</v>
      </c>
      <c r="Q898" s="6" t="n">
        <v>3693.03</v>
      </c>
      <c r="R898" s="3" t="s">
        <v>128</v>
      </c>
      <c r="S898" s="7" t="n">
        <v>0.05</v>
      </c>
      <c r="T898" s="3" t="s">
        <v>51</v>
      </c>
      <c r="U898" s="7" t="n">
        <f aca="false">IF(T898="Valid",S898,0)</f>
        <v>0.05</v>
      </c>
      <c r="V898" s="6" t="n">
        <v>3508.38</v>
      </c>
      <c r="W898" s="6" t="n">
        <v>2828.06</v>
      </c>
      <c r="X898" s="6" t="n">
        <v>680.32</v>
      </c>
      <c r="Y898" s="6" t="n">
        <f aca="false">P898*Q898*(1-U898)</f>
        <v>3508.3785</v>
      </c>
      <c r="Z898" s="6" t="n">
        <f aca="false">Y898-W898</f>
        <v>680.3185</v>
      </c>
      <c r="AA898" s="8" t="n">
        <f aca="false">IF(Y898=0,0,Z898/Y898)</f>
        <v>0.193912515425573</v>
      </c>
      <c r="AB898" s="3" t="str">
        <f aca="false">IF(ABS(V898-Y898)&gt;1,"Mismatch","OK")</f>
        <v>OK</v>
      </c>
      <c r="AC898" s="3" t="str">
        <f aca="false">IF(ABS(X898-Z898)&gt;1,"Mismatch","OK")</f>
        <v>OK</v>
      </c>
      <c r="AD898" s="5" t="n">
        <f aca="false">IF(OR(B898="",C898=""),"",C898-B898)</f>
        <v>1</v>
      </c>
      <c r="AE898" s="3" t="str">
        <f aca="false">IF(AD898="","Unknown",IF(AD898&lt;0,"Invalid - Ship Before Order","OK"))</f>
        <v>OK</v>
      </c>
      <c r="AF898" s="5" t="n">
        <f aca="false">IF(B898="","",MONTH(B898))</f>
        <v>12</v>
      </c>
      <c r="AG898" s="5" t="n">
        <f aca="false">IF(B898="","",YEAR(B898))</f>
        <v>2024</v>
      </c>
      <c r="AH898" s="3" t="s">
        <v>185</v>
      </c>
      <c r="AI898" s="3" t="s">
        <v>130</v>
      </c>
      <c r="AJ898" s="3" t="str">
        <f aca="false">IF(AND(AI898="Completed",AH898="Failed"),"Inconsistent - Completed Order with Failed Payment","OK")</f>
        <v>OK</v>
      </c>
      <c r="AK898" s="3" t="s">
        <v>54</v>
      </c>
      <c r="AL898" s="3" t="str">
        <f aca="false">IF(OR(T898="Negative - Invalid",T898="Above Allowed Range - Invalid",AE898="Invalid - Ship Before Order",AK898&lt;&gt;"Unique",AB898="Mismatch",AC898="Mismatch",AJ898&lt;&gt;"OK"),"Invalid",IF(OR(H898="Yes",O898="Yes",T898="Missing"),"Warning","Clean"))</f>
        <v>Clean</v>
      </c>
    </row>
    <row r="899" customFormat="false" ht="15" hidden="false" customHeight="true" outlineLevel="0" collapsed="false">
      <c r="A899" s="3" t="s">
        <v>2801</v>
      </c>
      <c r="B899" s="4" t="n">
        <v>45776</v>
      </c>
      <c r="C899" s="4" t="n">
        <v>45780</v>
      </c>
      <c r="D899" s="3" t="s">
        <v>2167</v>
      </c>
      <c r="E899" s="3" t="s">
        <v>168</v>
      </c>
      <c r="F899" s="3" t="s">
        <v>116</v>
      </c>
      <c r="G899" s="3" t="s">
        <v>42</v>
      </c>
      <c r="H899" s="3" t="s">
        <v>43</v>
      </c>
      <c r="I899" s="3" t="s">
        <v>270</v>
      </c>
      <c r="J899" s="3" t="s">
        <v>271</v>
      </c>
      <c r="K899" s="3" t="s">
        <v>46</v>
      </c>
      <c r="L899" s="3" t="s">
        <v>47</v>
      </c>
      <c r="M899" s="3" t="s">
        <v>2802</v>
      </c>
      <c r="N899" s="3" t="s">
        <v>72</v>
      </c>
      <c r="O899" s="3" t="s">
        <v>43</v>
      </c>
      <c r="P899" s="5" t="n">
        <v>4</v>
      </c>
      <c r="Q899" s="6" t="n">
        <v>1786.65</v>
      </c>
      <c r="R899" s="3" t="s">
        <v>128</v>
      </c>
      <c r="S899" s="7" t="n">
        <v>0.05</v>
      </c>
      <c r="T899" s="3" t="s">
        <v>51</v>
      </c>
      <c r="U899" s="7" t="n">
        <f aca="false">IF(T899="Valid",S899,0)</f>
        <v>0.05</v>
      </c>
      <c r="V899" s="6" t="n">
        <v>6789.27</v>
      </c>
      <c r="W899" s="6" t="n">
        <v>5626.43</v>
      </c>
      <c r="X899" s="6" t="n">
        <v>1162.84</v>
      </c>
      <c r="Y899" s="6" t="n">
        <f aca="false">P899*Q899*(1-U899)</f>
        <v>6789.27</v>
      </c>
      <c r="Z899" s="6" t="n">
        <f aca="false">Y899-W899</f>
        <v>1162.84</v>
      </c>
      <c r="AA899" s="8" t="n">
        <f aca="false">IF(Y899=0,0,Z899/Y899)</f>
        <v>0.171276146036319</v>
      </c>
      <c r="AB899" s="3" t="str">
        <f aca="false">IF(ABS(V899-Y899)&gt;1,"Mismatch","OK")</f>
        <v>OK</v>
      </c>
      <c r="AC899" s="3" t="str">
        <f aca="false">IF(ABS(X899-Z899)&gt;1,"Mismatch","OK")</f>
        <v>OK</v>
      </c>
      <c r="AD899" s="5" t="n">
        <f aca="false">IF(OR(B899="",C899=""),"",C899-B899)</f>
        <v>4</v>
      </c>
      <c r="AE899" s="3" t="str">
        <f aca="false">IF(AD899="","Unknown",IF(AD899&lt;0,"Invalid - Ship Before Order","OK"))</f>
        <v>OK</v>
      </c>
      <c r="AF899" s="5" t="n">
        <f aca="false">IF(B899="","",MONTH(B899))</f>
        <v>4</v>
      </c>
      <c r="AG899" s="5" t="n">
        <f aca="false">IF(B899="","",YEAR(B899))</f>
        <v>2025</v>
      </c>
      <c r="AH899" s="3" t="s">
        <v>52</v>
      </c>
      <c r="AI899" s="3" t="s">
        <v>53</v>
      </c>
      <c r="AJ899" s="3" t="str">
        <f aca="false">IF(AND(AI899="Completed",AH899="Failed"),"Inconsistent - Completed Order with Failed Payment","OK")</f>
        <v>OK</v>
      </c>
      <c r="AK899" s="3" t="s">
        <v>54</v>
      </c>
      <c r="AL899" s="3" t="str">
        <f aca="false">IF(OR(T899="Negative - Invalid",T899="Above Allowed Range - Invalid",AE899="Invalid - Ship Before Order",AK899&lt;&gt;"Unique",AB899="Mismatch",AC899="Mismatch",AJ899&lt;&gt;"OK"),"Invalid",IF(OR(H899="Yes",O899="Yes",T899="Missing"),"Warning","Clean"))</f>
        <v>Clean</v>
      </c>
    </row>
    <row r="900" customFormat="false" ht="15" hidden="false" customHeight="true" outlineLevel="0" collapsed="false">
      <c r="A900" s="3" t="s">
        <v>2803</v>
      </c>
      <c r="B900" s="4" t="n">
        <v>45445</v>
      </c>
      <c r="C900" s="4" t="n">
        <v>45451</v>
      </c>
      <c r="D900" s="3" t="s">
        <v>2804</v>
      </c>
      <c r="E900" s="3" t="s">
        <v>96</v>
      </c>
      <c r="F900" s="3" t="s">
        <v>41</v>
      </c>
      <c r="G900" s="3" t="s">
        <v>42</v>
      </c>
      <c r="H900" s="3" t="s">
        <v>43</v>
      </c>
      <c r="I900" s="3" t="s">
        <v>384</v>
      </c>
      <c r="J900" s="3" t="s">
        <v>385</v>
      </c>
      <c r="K900" s="3" t="s">
        <v>62</v>
      </c>
      <c r="L900" s="3" t="s">
        <v>63</v>
      </c>
      <c r="M900" s="3" t="s">
        <v>2805</v>
      </c>
      <c r="N900" s="3" t="s">
        <v>72</v>
      </c>
      <c r="O900" s="3" t="s">
        <v>43</v>
      </c>
      <c r="P900" s="5" t="n">
        <v>4</v>
      </c>
      <c r="Q900" s="6" t="n">
        <v>1536.7</v>
      </c>
      <c r="R900" s="3" t="s">
        <v>50</v>
      </c>
      <c r="S900" s="7" t="n">
        <v>0.2</v>
      </c>
      <c r="T900" s="3" t="s">
        <v>51</v>
      </c>
      <c r="U900" s="7" t="n">
        <f aca="false">IF(T900="Valid",S900,0)</f>
        <v>0.2</v>
      </c>
      <c r="V900" s="6" t="n">
        <v>4917.44</v>
      </c>
      <c r="W900" s="6" t="n">
        <v>3846.77</v>
      </c>
      <c r="X900" s="6" t="n">
        <v>1070.67</v>
      </c>
      <c r="Y900" s="6" t="n">
        <f aca="false">P900*Q900*(1-U900)</f>
        <v>4917.44</v>
      </c>
      <c r="Z900" s="6" t="n">
        <f aca="false">Y900-W900</f>
        <v>1070.67</v>
      </c>
      <c r="AA900" s="8" t="n">
        <f aca="false">IF(Y900=0,0,Z900/Y900)</f>
        <v>0.217729143619444</v>
      </c>
      <c r="AB900" s="3" t="str">
        <f aca="false">IF(ABS(V900-Y900)&gt;1,"Mismatch","OK")</f>
        <v>OK</v>
      </c>
      <c r="AC900" s="3" t="str">
        <f aca="false">IF(ABS(X900-Z900)&gt;1,"Mismatch","OK")</f>
        <v>OK</v>
      </c>
      <c r="AD900" s="5" t="n">
        <f aca="false">IF(OR(B900="",C900=""),"",C900-B900)</f>
        <v>6</v>
      </c>
      <c r="AE900" s="3" t="str">
        <f aca="false">IF(AD900="","Unknown",IF(AD900&lt;0,"Invalid - Ship Before Order","OK"))</f>
        <v>OK</v>
      </c>
      <c r="AF900" s="5" t="n">
        <f aca="false">IF(B900="","",MONTH(B900))</f>
        <v>6</v>
      </c>
      <c r="AG900" s="5" t="n">
        <f aca="false">IF(B900="","",YEAR(B900))</f>
        <v>2024</v>
      </c>
      <c r="AH900" s="3" t="s">
        <v>52</v>
      </c>
      <c r="AI900" s="3" t="s">
        <v>53</v>
      </c>
      <c r="AJ900" s="3" t="str">
        <f aca="false">IF(AND(AI900="Completed",AH900="Failed"),"Inconsistent - Completed Order with Failed Payment","OK")</f>
        <v>OK</v>
      </c>
      <c r="AK900" s="3" t="s">
        <v>54</v>
      </c>
      <c r="AL900" s="3" t="str">
        <f aca="false">IF(OR(T900="Negative - Invalid",T900="Above Allowed Range - Invalid",AE900="Invalid - Ship Before Order",AK900&lt;&gt;"Unique",AB900="Mismatch",AC900="Mismatch",AJ900&lt;&gt;"OK"),"Invalid",IF(OR(H900="Yes",O900="Yes",T900="Missing"),"Warning","Clean"))</f>
        <v>Clean</v>
      </c>
    </row>
    <row r="901" customFormat="false" ht="15" hidden="false" customHeight="true" outlineLevel="0" collapsed="false">
      <c r="A901" s="3" t="s">
        <v>2806</v>
      </c>
      <c r="B901" s="4" t="n">
        <v>45804</v>
      </c>
      <c r="C901" s="4" t="n">
        <v>45811</v>
      </c>
      <c r="D901" s="3" t="s">
        <v>2807</v>
      </c>
      <c r="E901" s="3" t="s">
        <v>40</v>
      </c>
      <c r="F901" s="3" t="s">
        <v>41</v>
      </c>
      <c r="G901" s="3" t="s">
        <v>42</v>
      </c>
      <c r="H901" s="3" t="s">
        <v>43</v>
      </c>
      <c r="I901" s="3" t="s">
        <v>149</v>
      </c>
      <c r="J901" s="3" t="s">
        <v>150</v>
      </c>
      <c r="K901" s="3" t="s">
        <v>62</v>
      </c>
      <c r="L901" s="3" t="s">
        <v>91</v>
      </c>
      <c r="M901" s="3" t="s">
        <v>2808</v>
      </c>
      <c r="N901" s="3" t="s">
        <v>72</v>
      </c>
      <c r="O901" s="3" t="s">
        <v>43</v>
      </c>
      <c r="P901" s="5" t="n">
        <v>5</v>
      </c>
      <c r="Q901" s="6" t="n">
        <v>881.08</v>
      </c>
      <c r="R901" s="3" t="s">
        <v>84</v>
      </c>
      <c r="S901" s="7" t="n">
        <v>0.25</v>
      </c>
      <c r="T901" s="3" t="s">
        <v>51</v>
      </c>
      <c r="U901" s="7" t="n">
        <f aca="false">IF(T901="Valid",S901,0)</f>
        <v>0.25</v>
      </c>
      <c r="V901" s="6" t="n">
        <v>3304.05</v>
      </c>
      <c r="W901" s="6" t="n">
        <v>2279.41</v>
      </c>
      <c r="X901" s="6" t="n">
        <v>1024.64</v>
      </c>
      <c r="Y901" s="6" t="n">
        <f aca="false">P901*Q901*(1-U901)</f>
        <v>3304.05</v>
      </c>
      <c r="Z901" s="6" t="n">
        <f aca="false">Y901-W901</f>
        <v>1024.64</v>
      </c>
      <c r="AA901" s="8" t="n">
        <f aca="false">IF(Y901=0,0,Z901/Y901)</f>
        <v>0.310116372330927</v>
      </c>
      <c r="AB901" s="3" t="str">
        <f aca="false">IF(ABS(V901-Y901)&gt;1,"Mismatch","OK")</f>
        <v>OK</v>
      </c>
      <c r="AC901" s="3" t="str">
        <f aca="false">IF(ABS(X901-Z901)&gt;1,"Mismatch","OK")</f>
        <v>OK</v>
      </c>
      <c r="AD901" s="5" t="n">
        <f aca="false">IF(OR(B901="",C901=""),"",C901-B901)</f>
        <v>7</v>
      </c>
      <c r="AE901" s="3" t="str">
        <f aca="false">IF(AD901="","Unknown",IF(AD901&lt;0,"Invalid - Ship Before Order","OK"))</f>
        <v>OK</v>
      </c>
      <c r="AF901" s="5" t="n">
        <f aca="false">IF(B901="","",MONTH(B901))</f>
        <v>5</v>
      </c>
      <c r="AG901" s="5" t="n">
        <f aca="false">IF(B901="","",YEAR(B901))</f>
        <v>2025</v>
      </c>
      <c r="AH901" s="3" t="s">
        <v>185</v>
      </c>
      <c r="AI901" s="3" t="s">
        <v>93</v>
      </c>
      <c r="AJ901" s="3" t="str">
        <f aca="false">IF(AND(AI901="Completed",AH901="Failed"),"Inconsistent - Completed Order with Failed Payment","OK")</f>
        <v>OK</v>
      </c>
      <c r="AK901" s="3" t="s">
        <v>54</v>
      </c>
      <c r="AL901" s="3" t="str">
        <f aca="false">IF(OR(T901="Negative - Invalid",T901="Above Allowed Range - Invalid",AE901="Invalid - Ship Before Order",AK901&lt;&gt;"Unique",AB901="Mismatch",AC901="Mismatch",AJ901&lt;&gt;"OK"),"Invalid",IF(OR(H901="Yes",O901="Yes",T901="Missing"),"Warning","Clean"))</f>
        <v>Clean</v>
      </c>
    </row>
    <row r="902" customFormat="false" ht="15" hidden="false" customHeight="true" outlineLevel="0" collapsed="false">
      <c r="A902" s="3" t="s">
        <v>1138</v>
      </c>
      <c r="B902" s="4" t="n">
        <v>45630</v>
      </c>
      <c r="C902" s="4" t="n">
        <v>45632</v>
      </c>
      <c r="D902" s="3" t="s">
        <v>1139</v>
      </c>
      <c r="E902" s="3" t="s">
        <v>159</v>
      </c>
      <c r="F902" s="3" t="s">
        <v>121</v>
      </c>
      <c r="G902" s="3" t="s">
        <v>59</v>
      </c>
      <c r="H902" s="3" t="s">
        <v>43</v>
      </c>
      <c r="I902" s="3" t="s">
        <v>60</v>
      </c>
      <c r="J902" s="3" t="s">
        <v>61</v>
      </c>
      <c r="K902" s="3" t="s">
        <v>46</v>
      </c>
      <c r="L902" s="3" t="s">
        <v>183</v>
      </c>
      <c r="M902" s="3" t="s">
        <v>1140</v>
      </c>
      <c r="N902" s="3" t="s">
        <v>49</v>
      </c>
      <c r="O902" s="3" t="s">
        <v>43</v>
      </c>
      <c r="P902" s="5" t="n">
        <v>4</v>
      </c>
      <c r="Q902" s="6" t="n">
        <v>2685.66</v>
      </c>
      <c r="R902" s="3" t="s">
        <v>66</v>
      </c>
      <c r="S902" s="7" t="n">
        <v>0</v>
      </c>
      <c r="T902" s="3" t="s">
        <v>51</v>
      </c>
      <c r="U902" s="7" t="n">
        <f aca="false">IF(T902="Valid",S902,0)</f>
        <v>0</v>
      </c>
      <c r="V902" s="6" t="n">
        <v>10989.89</v>
      </c>
      <c r="W902" s="6" t="n">
        <v>6477.37</v>
      </c>
      <c r="X902" s="6" t="n">
        <v>4265.27</v>
      </c>
      <c r="Y902" s="6" t="n">
        <f aca="false">P902*Q902*(1-U902)</f>
        <v>10742.64</v>
      </c>
      <c r="Z902" s="6" t="n">
        <f aca="false">Y902-W902</f>
        <v>4265.27</v>
      </c>
      <c r="AA902" s="8" t="n">
        <f aca="false">IF(Y902=0,0,Z902/Y902)</f>
        <v>0.397041137001705</v>
      </c>
      <c r="AB902" s="3" t="str">
        <f aca="false">IF(ABS(V902-Y902)&gt;1,"Mismatch","OK")</f>
        <v>Mismatch</v>
      </c>
      <c r="AC902" s="3" t="str">
        <f aca="false">IF(ABS(X902-Z902)&gt;1,"Mismatch","OK")</f>
        <v>OK</v>
      </c>
      <c r="AD902" s="5" t="n">
        <f aca="false">IF(OR(B902="",C902=""),"",C902-B902)</f>
        <v>2</v>
      </c>
      <c r="AE902" s="3" t="str">
        <f aca="false">IF(AD902="","Unknown",IF(AD902&lt;0,"Invalid - Ship Before Order","OK"))</f>
        <v>OK</v>
      </c>
      <c r="AF902" s="5" t="n">
        <f aca="false">IF(B902="","",MONTH(B902))</f>
        <v>12</v>
      </c>
      <c r="AG902" s="5" t="n">
        <f aca="false">IF(B902="","",YEAR(B902))</f>
        <v>2024</v>
      </c>
      <c r="AH902" s="3" t="s">
        <v>52</v>
      </c>
      <c r="AI902" s="3" t="s">
        <v>53</v>
      </c>
      <c r="AJ902" s="3" t="str">
        <f aca="false">IF(AND(AI902="Completed",AH902="Failed"),"Inconsistent - Completed Order with Failed Payment","OK")</f>
        <v>OK</v>
      </c>
      <c r="AK902" s="3" t="s">
        <v>417</v>
      </c>
      <c r="AL902" s="3" t="str">
        <f aca="false">IF(OR(T902="Negative - Invalid",T902="Above Allowed Range - Invalid",AE902="Invalid - Ship Before Order",AK902&lt;&gt;"Unique",AB902="Mismatch",AC902="Mismatch",AJ902&lt;&gt;"OK"),"Invalid",IF(OR(H902="Yes",O902="Yes",T902="Missing"),"Warning","Clean"))</f>
        <v>Invalid</v>
      </c>
    </row>
    <row r="903" customFormat="false" ht="15" hidden="false" customHeight="true" outlineLevel="0" collapsed="false">
      <c r="A903" s="3" t="s">
        <v>414</v>
      </c>
      <c r="B903" s="4" t="n">
        <v>45893</v>
      </c>
      <c r="C903" s="4" t="n">
        <v>45898</v>
      </c>
      <c r="D903" s="3" t="s">
        <v>415</v>
      </c>
      <c r="E903" s="3" t="s">
        <v>155</v>
      </c>
      <c r="F903" s="3" t="s">
        <v>58</v>
      </c>
      <c r="G903" s="3" t="s">
        <v>59</v>
      </c>
      <c r="H903" s="3" t="s">
        <v>43</v>
      </c>
      <c r="I903" s="3" t="s">
        <v>174</v>
      </c>
      <c r="J903" s="3" t="s">
        <v>175</v>
      </c>
      <c r="K903" s="3" t="s">
        <v>99</v>
      </c>
      <c r="L903" s="3" t="s">
        <v>105</v>
      </c>
      <c r="M903" s="3" t="s">
        <v>416</v>
      </c>
      <c r="N903" s="3" t="s">
        <v>72</v>
      </c>
      <c r="O903" s="3" t="s">
        <v>43</v>
      </c>
      <c r="P903" s="5" t="n">
        <v>3</v>
      </c>
      <c r="Q903" s="6" t="n">
        <v>3703.96</v>
      </c>
      <c r="R903" s="3" t="s">
        <v>107</v>
      </c>
      <c r="S903" s="7" t="n">
        <v>0.15</v>
      </c>
      <c r="T903" s="3" t="s">
        <v>51</v>
      </c>
      <c r="U903" s="7" t="n">
        <f aca="false">IF(T903="Valid",S903,0)</f>
        <v>0.15</v>
      </c>
      <c r="V903" s="6" t="n">
        <v>9549.44</v>
      </c>
      <c r="W903" s="6" t="n">
        <v>5586.28</v>
      </c>
      <c r="X903" s="6" t="n">
        <v>3858.82</v>
      </c>
      <c r="Y903" s="6" t="n">
        <f aca="false">P903*Q903*(1-U903)</f>
        <v>9445.098</v>
      </c>
      <c r="Z903" s="6" t="n">
        <f aca="false">Y903-W903</f>
        <v>3858.818</v>
      </c>
      <c r="AA903" s="8" t="n">
        <f aca="false">IF(Y903=0,0,Z903/Y903)</f>
        <v>0.4085524575817</v>
      </c>
      <c r="AB903" s="3" t="str">
        <f aca="false">IF(ABS(V903-Y903)&gt;1,"Mismatch","OK")</f>
        <v>Mismatch</v>
      </c>
      <c r="AC903" s="3" t="str">
        <f aca="false">IF(ABS(X903-Z903)&gt;1,"Mismatch","OK")</f>
        <v>OK</v>
      </c>
      <c r="AD903" s="5" t="n">
        <f aca="false">IF(OR(B903="",C903=""),"",C903-B903)</f>
        <v>5</v>
      </c>
      <c r="AE903" s="3" t="str">
        <f aca="false">IF(AD903="","Unknown",IF(AD903&lt;0,"Invalid - Ship Before Order","OK"))</f>
        <v>OK</v>
      </c>
      <c r="AF903" s="5" t="n">
        <f aca="false">IF(B903="","",MONTH(B903))</f>
        <v>8</v>
      </c>
      <c r="AG903" s="5" t="n">
        <f aca="false">IF(B903="","",YEAR(B903))</f>
        <v>2025</v>
      </c>
      <c r="AH903" s="3" t="s">
        <v>52</v>
      </c>
      <c r="AI903" s="3" t="s">
        <v>130</v>
      </c>
      <c r="AJ903" s="3" t="str">
        <f aca="false">IF(AND(AI903="Completed",AH903="Failed"),"Inconsistent - Completed Order with Failed Payment","OK")</f>
        <v>OK</v>
      </c>
      <c r="AK903" s="3" t="s">
        <v>417</v>
      </c>
      <c r="AL903" s="3" t="str">
        <f aca="false">IF(OR(T903="Negative - Invalid",T903="Above Allowed Range - Invalid",AE903="Invalid - Ship Before Order",AK903&lt;&gt;"Unique",AB903="Mismatch",AC903="Mismatch",AJ903&lt;&gt;"OK"),"Invalid",IF(OR(H903="Yes",O903="Yes",T903="Missing"),"Warning","Clean"))</f>
        <v>Invalid</v>
      </c>
    </row>
    <row r="904" customFormat="false" ht="15" hidden="false" customHeight="true" outlineLevel="0" collapsed="false">
      <c r="A904" s="3" t="s">
        <v>1263</v>
      </c>
      <c r="B904" s="4" t="n">
        <v>45760</v>
      </c>
      <c r="C904" s="4" t="n">
        <v>45760</v>
      </c>
      <c r="D904" s="3" t="s">
        <v>1264</v>
      </c>
      <c r="E904" s="3" t="s">
        <v>159</v>
      </c>
      <c r="F904" s="3" t="s">
        <v>58</v>
      </c>
      <c r="G904" s="3" t="s">
        <v>42</v>
      </c>
      <c r="H904" s="3" t="s">
        <v>43</v>
      </c>
      <c r="I904" s="3" t="s">
        <v>163</v>
      </c>
      <c r="J904" s="3" t="s">
        <v>164</v>
      </c>
      <c r="K904" s="3" t="s">
        <v>46</v>
      </c>
      <c r="L904" s="3" t="s">
        <v>151</v>
      </c>
      <c r="M904" s="3" t="s">
        <v>1265</v>
      </c>
      <c r="N904" s="3" t="s">
        <v>49</v>
      </c>
      <c r="O904" s="3" t="s">
        <v>43</v>
      </c>
      <c r="P904" s="5" t="n">
        <v>9</v>
      </c>
      <c r="Q904" s="6" t="n">
        <v>1118.68</v>
      </c>
      <c r="R904" s="3" t="s">
        <v>66</v>
      </c>
      <c r="S904" s="7" t="n">
        <v>0</v>
      </c>
      <c r="T904" s="3" t="s">
        <v>51</v>
      </c>
      <c r="U904" s="7" t="n">
        <f aca="false">IF(T904="Valid",S904,0)</f>
        <v>0</v>
      </c>
      <c r="V904" s="6" t="n">
        <v>10348.43</v>
      </c>
      <c r="W904" s="6" t="n">
        <v>8595.37</v>
      </c>
      <c r="X904" s="6" t="n">
        <v>1472.75</v>
      </c>
      <c r="Y904" s="6" t="n">
        <f aca="false">P904*Q904*(1-U904)</f>
        <v>10068.12</v>
      </c>
      <c r="Z904" s="6" t="n">
        <f aca="false">Y904-W904</f>
        <v>1472.75</v>
      </c>
      <c r="AA904" s="8" t="n">
        <f aca="false">IF(Y904=0,0,Z904/Y904)</f>
        <v>0.146278550513899</v>
      </c>
      <c r="AB904" s="3" t="str">
        <f aca="false">IF(ABS(V904-Y904)&gt;1,"Mismatch","OK")</f>
        <v>Mismatch</v>
      </c>
      <c r="AC904" s="3" t="str">
        <f aca="false">IF(ABS(X904-Z904)&gt;1,"Mismatch","OK")</f>
        <v>OK</v>
      </c>
      <c r="AD904" s="5" t="n">
        <f aca="false">IF(OR(B904="",C904=""),"",C904-B904)</f>
        <v>0</v>
      </c>
      <c r="AE904" s="3" t="str">
        <f aca="false">IF(AD904="","Unknown",IF(AD904&lt;0,"Invalid - Ship Before Order","OK"))</f>
        <v>OK</v>
      </c>
      <c r="AF904" s="5" t="n">
        <f aca="false">IF(B904="","",MONTH(B904))</f>
        <v>4</v>
      </c>
      <c r="AG904" s="5" t="n">
        <f aca="false">IF(B904="","",YEAR(B904))</f>
        <v>2025</v>
      </c>
      <c r="AH904" s="3" t="s">
        <v>52</v>
      </c>
      <c r="AI904" s="3" t="s">
        <v>130</v>
      </c>
      <c r="AJ904" s="3" t="str">
        <f aca="false">IF(AND(AI904="Completed",AH904="Failed"),"Inconsistent - Completed Order with Failed Payment","OK")</f>
        <v>OK</v>
      </c>
      <c r="AK904" s="3" t="s">
        <v>417</v>
      </c>
      <c r="AL904" s="3" t="str">
        <f aca="false">IF(OR(T904="Negative - Invalid",T904="Above Allowed Range - Invalid",AE904="Invalid - Ship Before Order",AK904&lt;&gt;"Unique",AB904="Mismatch",AC904="Mismatch",AJ904&lt;&gt;"OK"),"Invalid",IF(OR(H904="Yes",O904="Yes",T904="Missing"),"Warning","Clean"))</f>
        <v>Invalid</v>
      </c>
    </row>
    <row r="905" customFormat="false" ht="15" hidden="false" customHeight="true" outlineLevel="0" collapsed="false">
      <c r="A905" s="3" t="s">
        <v>819</v>
      </c>
      <c r="B905" s="4" t="n">
        <v>45932</v>
      </c>
      <c r="C905" s="4" t="n">
        <v>45938</v>
      </c>
      <c r="D905" s="3" t="s">
        <v>820</v>
      </c>
      <c r="E905" s="3" t="s">
        <v>69</v>
      </c>
      <c r="F905" s="3" t="s">
        <v>58</v>
      </c>
      <c r="G905" s="3" t="s">
        <v>42</v>
      </c>
      <c r="H905" s="3" t="s">
        <v>43</v>
      </c>
      <c r="I905" s="3" t="s">
        <v>149</v>
      </c>
      <c r="J905" s="3" t="s">
        <v>150</v>
      </c>
      <c r="K905" s="3" t="s">
        <v>62</v>
      </c>
      <c r="L905" s="3" t="s">
        <v>81</v>
      </c>
      <c r="M905" s="3" t="s">
        <v>821</v>
      </c>
      <c r="N905" s="3" t="s">
        <v>83</v>
      </c>
      <c r="O905" s="3" t="s">
        <v>43</v>
      </c>
      <c r="P905" s="5" t="n">
        <v>4</v>
      </c>
      <c r="Q905" s="6" t="n">
        <v>3944.64</v>
      </c>
      <c r="R905" s="3" t="s">
        <v>84</v>
      </c>
      <c r="S905" s="7" t="n">
        <v>0.25</v>
      </c>
      <c r="T905" s="3" t="s">
        <v>51</v>
      </c>
      <c r="U905" s="7" t="n">
        <f aca="false">IF(T905="Valid",S905,0)</f>
        <v>0.25</v>
      </c>
      <c r="V905" s="6" t="n">
        <v>12116.89</v>
      </c>
      <c r="W905" s="6" t="n">
        <v>6682.92</v>
      </c>
      <c r="X905" s="6" t="n">
        <v>5151</v>
      </c>
      <c r="Y905" s="6" t="n">
        <f aca="false">P905*Q905*(1-U905)</f>
        <v>11833.92</v>
      </c>
      <c r="Z905" s="6" t="n">
        <f aca="false">Y905-W905</f>
        <v>5151</v>
      </c>
      <c r="AA905" s="8" t="n">
        <f aca="false">IF(Y905=0,0,Z905/Y905)</f>
        <v>0.435274194856818</v>
      </c>
      <c r="AB905" s="3" t="str">
        <f aca="false">IF(ABS(V905-Y905)&gt;1,"Mismatch","OK")</f>
        <v>Mismatch</v>
      </c>
      <c r="AC905" s="3" t="str">
        <f aca="false">IF(ABS(X905-Z905)&gt;1,"Mismatch","OK")</f>
        <v>OK</v>
      </c>
      <c r="AD905" s="5" t="n">
        <f aca="false">IF(OR(B905="",C905=""),"",C905-B905)</f>
        <v>6</v>
      </c>
      <c r="AE905" s="3" t="str">
        <f aca="false">IF(AD905="","Unknown",IF(AD905&lt;0,"Invalid - Ship Before Order","OK"))</f>
        <v>OK</v>
      </c>
      <c r="AF905" s="5" t="n">
        <f aca="false">IF(B905="","",MONTH(B905))</f>
        <v>10</v>
      </c>
      <c r="AG905" s="5" t="n">
        <f aca="false">IF(B905="","",YEAR(B905))</f>
        <v>2025</v>
      </c>
      <c r="AH905" s="3" t="s">
        <v>52</v>
      </c>
      <c r="AI905" s="3" t="s">
        <v>130</v>
      </c>
      <c r="AJ905" s="3" t="str">
        <f aca="false">IF(AND(AI905="Completed",AH905="Failed"),"Inconsistent - Completed Order with Failed Payment","OK")</f>
        <v>OK</v>
      </c>
      <c r="AK905" s="3" t="s">
        <v>417</v>
      </c>
      <c r="AL905" s="3" t="str">
        <f aca="false">IF(OR(T905="Negative - Invalid",T905="Above Allowed Range - Invalid",AE905="Invalid - Ship Before Order",AK905&lt;&gt;"Unique",AB905="Mismatch",AC905="Mismatch",AJ905&lt;&gt;"OK"),"Invalid",IF(OR(H905="Yes",O905="Yes",T905="Missing"),"Warning","Clean"))</f>
        <v>Invalid</v>
      </c>
    </row>
    <row r="906" customFormat="false" ht="15" hidden="false" customHeight="true" outlineLevel="0" collapsed="false">
      <c r="A906" s="3" t="s">
        <v>1088</v>
      </c>
      <c r="B906" s="4" t="n">
        <v>45795</v>
      </c>
      <c r="C906" s="4" t="n">
        <v>45797</v>
      </c>
      <c r="D906" s="3" t="s">
        <v>1089</v>
      </c>
      <c r="E906" s="3" t="s">
        <v>69</v>
      </c>
      <c r="F906" s="3" t="s">
        <v>116</v>
      </c>
      <c r="G906" s="3" t="s">
        <v>88</v>
      </c>
      <c r="H906" s="3" t="s">
        <v>43</v>
      </c>
      <c r="I906" s="3" t="s">
        <v>97</v>
      </c>
      <c r="J906" s="3" t="s">
        <v>98</v>
      </c>
      <c r="K906" s="3" t="s">
        <v>46</v>
      </c>
      <c r="L906" s="3" t="s">
        <v>117</v>
      </c>
      <c r="M906" s="3" t="s">
        <v>1090</v>
      </c>
      <c r="N906" s="3" t="s">
        <v>83</v>
      </c>
      <c r="O906" s="3" t="s">
        <v>43</v>
      </c>
      <c r="P906" s="5" t="n">
        <v>9</v>
      </c>
      <c r="Q906" s="6" t="n">
        <v>847.76</v>
      </c>
      <c r="R906" s="3" t="s">
        <v>107</v>
      </c>
      <c r="S906" s="7" t="n">
        <v>0.15</v>
      </c>
      <c r="T906" s="3" t="s">
        <v>51</v>
      </c>
      <c r="U906" s="7" t="n">
        <f aca="false">IF(T906="Valid",S906,0)</f>
        <v>0.15</v>
      </c>
      <c r="V906" s="6" t="n">
        <v>6589.37</v>
      </c>
      <c r="W906" s="6" t="n">
        <v>5376.17</v>
      </c>
      <c r="X906" s="6" t="n">
        <v>1109.19</v>
      </c>
      <c r="Y906" s="6" t="n">
        <f aca="false">P906*Q906*(1-U906)</f>
        <v>6485.364</v>
      </c>
      <c r="Z906" s="6" t="n">
        <f aca="false">Y906-W906</f>
        <v>1109.194</v>
      </c>
      <c r="AA906" s="8" t="n">
        <f aca="false">IF(Y906=0,0,Z906/Y906)</f>
        <v>0.171030338466738</v>
      </c>
      <c r="AB906" s="3" t="str">
        <f aca="false">IF(ABS(V906-Y906)&gt;1,"Mismatch","OK")</f>
        <v>Mismatch</v>
      </c>
      <c r="AC906" s="3" t="str">
        <f aca="false">IF(ABS(X906-Z906)&gt;1,"Mismatch","OK")</f>
        <v>OK</v>
      </c>
      <c r="AD906" s="5" t="n">
        <f aca="false">IF(OR(B906="",C906=""),"",C906-B906)</f>
        <v>2</v>
      </c>
      <c r="AE906" s="3" t="str">
        <f aca="false">IF(AD906="","Unknown",IF(AD906&lt;0,"Invalid - Ship Before Order","OK"))</f>
        <v>OK</v>
      </c>
      <c r="AF906" s="5" t="n">
        <f aca="false">IF(B906="","",MONTH(B906))</f>
        <v>5</v>
      </c>
      <c r="AG906" s="5" t="n">
        <f aca="false">IF(B906="","",YEAR(B906))</f>
        <v>2025</v>
      </c>
      <c r="AH906" s="3" t="s">
        <v>185</v>
      </c>
      <c r="AI906" s="3" t="s">
        <v>53</v>
      </c>
      <c r="AJ906" s="3" t="str">
        <f aca="false">IF(AND(AI906="Completed",AH906="Failed"),"Inconsistent - Completed Order with Failed Payment","OK")</f>
        <v>Inconsistent - Completed Order with Failed Payment</v>
      </c>
      <c r="AK906" s="3" t="s">
        <v>417</v>
      </c>
      <c r="AL906" s="3" t="str">
        <f aca="false">IF(OR(T906="Negative - Invalid",T906="Above Allowed Range - Invalid",AE906="Invalid - Ship Before Order",AK906&lt;&gt;"Unique",AB906="Mismatch",AC906="Mismatch",AJ906&lt;&gt;"OK"),"Invalid",IF(OR(H906="Yes",O906="Yes",T906="Missing"),"Warning","Clean"))</f>
        <v>Invalid</v>
      </c>
    </row>
    <row r="907" customFormat="false" ht="15" hidden="false" customHeight="true" outlineLevel="0" collapsed="false">
      <c r="A907" s="3" t="s">
        <v>656</v>
      </c>
      <c r="B907" s="4" t="n">
        <v>45907</v>
      </c>
      <c r="C907" s="4" t="n">
        <v>45915</v>
      </c>
      <c r="D907" s="3" t="s">
        <v>657</v>
      </c>
      <c r="E907" s="3" t="s">
        <v>168</v>
      </c>
      <c r="F907" s="3" t="s">
        <v>116</v>
      </c>
      <c r="G907" s="3" t="s">
        <v>59</v>
      </c>
      <c r="H907" s="3" t="s">
        <v>43</v>
      </c>
      <c r="I907" s="3" t="s">
        <v>174</v>
      </c>
      <c r="J907" s="3" t="s">
        <v>175</v>
      </c>
      <c r="K907" s="3" t="s">
        <v>99</v>
      </c>
      <c r="L907" s="3" t="s">
        <v>105</v>
      </c>
      <c r="M907" s="3" t="s">
        <v>658</v>
      </c>
      <c r="N907" s="3" t="s">
        <v>83</v>
      </c>
      <c r="O907" s="3" t="s">
        <v>43</v>
      </c>
      <c r="P907" s="5" t="n">
        <v>3</v>
      </c>
      <c r="Q907" s="6" t="n">
        <v>1711.32</v>
      </c>
      <c r="R907" s="3" t="s">
        <v>66</v>
      </c>
      <c r="S907" s="7" t="n">
        <v>0</v>
      </c>
      <c r="T907" s="3" t="s">
        <v>51</v>
      </c>
      <c r="U907" s="7" t="n">
        <f aca="false">IF(T907="Valid",S907,0)</f>
        <v>0</v>
      </c>
      <c r="V907" s="6" t="n">
        <v>5206.53</v>
      </c>
      <c r="W907" s="6" t="n">
        <v>3930</v>
      </c>
      <c r="X907" s="6" t="n">
        <v>1203.96</v>
      </c>
      <c r="Y907" s="6" t="n">
        <f aca="false">P907*Q907*(1-U907)</f>
        <v>5133.96</v>
      </c>
      <c r="Z907" s="6" t="n">
        <f aca="false">Y907-W907</f>
        <v>1203.96</v>
      </c>
      <c r="AA907" s="8" t="n">
        <f aca="false">IF(Y907=0,0,Z907/Y907)</f>
        <v>0.234509033962088</v>
      </c>
      <c r="AB907" s="3" t="str">
        <f aca="false">IF(ABS(V907-Y907)&gt;1,"Mismatch","OK")</f>
        <v>Mismatch</v>
      </c>
      <c r="AC907" s="3" t="str">
        <f aca="false">IF(ABS(X907-Z907)&gt;1,"Mismatch","OK")</f>
        <v>OK</v>
      </c>
      <c r="AD907" s="5" t="n">
        <f aca="false">IF(OR(B907="",C907=""),"",C907-B907)</f>
        <v>8</v>
      </c>
      <c r="AE907" s="3" t="str">
        <f aca="false">IF(AD907="","Unknown",IF(AD907&lt;0,"Invalid - Ship Before Order","OK"))</f>
        <v>OK</v>
      </c>
      <c r="AF907" s="5" t="n">
        <f aca="false">IF(B907="","",MONTH(B907))</f>
        <v>9</v>
      </c>
      <c r="AG907" s="5" t="n">
        <f aca="false">IF(B907="","",YEAR(B907))</f>
        <v>2025</v>
      </c>
      <c r="AH907" s="3" t="s">
        <v>52</v>
      </c>
      <c r="AI907" s="3" t="s">
        <v>130</v>
      </c>
      <c r="AJ907" s="3" t="str">
        <f aca="false">IF(AND(AI907="Completed",AH907="Failed"),"Inconsistent - Completed Order with Failed Payment","OK")</f>
        <v>OK</v>
      </c>
      <c r="AK907" s="3" t="s">
        <v>417</v>
      </c>
      <c r="AL907" s="3" t="str">
        <f aca="false">IF(OR(T907="Negative - Invalid",T907="Above Allowed Range - Invalid",AE907="Invalid - Ship Before Order",AK907&lt;&gt;"Unique",AB907="Mismatch",AC907="Mismatch",AJ907&lt;&gt;"OK"),"Invalid",IF(OR(H907="Yes",O907="Yes",T907="Missing"),"Warning","Clean"))</f>
        <v>Invalid</v>
      </c>
    </row>
    <row r="908" customFormat="false" ht="15" hidden="false" customHeight="true" outlineLevel="0" collapsed="false">
      <c r="A908" s="3" t="s">
        <v>1413</v>
      </c>
      <c r="B908" s="4" t="n">
        <v>45342</v>
      </c>
      <c r="C908" s="4" t="n">
        <v>45349</v>
      </c>
      <c r="D908" s="3" t="s">
        <v>1414</v>
      </c>
      <c r="E908" s="3" t="s">
        <v>192</v>
      </c>
      <c r="F908" s="3" t="s">
        <v>41</v>
      </c>
      <c r="G908" s="3" t="s">
        <v>78</v>
      </c>
      <c r="H908" s="3" t="s">
        <v>43</v>
      </c>
      <c r="I908" s="3" t="s">
        <v>216</v>
      </c>
      <c r="J908" s="3" t="s">
        <v>217</v>
      </c>
      <c r="K908" s="3" t="s">
        <v>99</v>
      </c>
      <c r="L908" s="3" t="s">
        <v>100</v>
      </c>
      <c r="M908" s="3" t="s">
        <v>1415</v>
      </c>
      <c r="N908" s="3" t="s">
        <v>72</v>
      </c>
      <c r="O908" s="3" t="s">
        <v>43</v>
      </c>
      <c r="P908" s="5" t="n">
        <v>9</v>
      </c>
      <c r="Q908" s="6" t="n">
        <v>3779.31</v>
      </c>
      <c r="R908" s="3" t="s">
        <v>50</v>
      </c>
      <c r="S908" s="7" t="n">
        <v>0.2</v>
      </c>
      <c r="T908" s="3" t="s">
        <v>51</v>
      </c>
      <c r="U908" s="7" t="n">
        <f aca="false">IF(T908="Valid",S908,0)</f>
        <v>0.2</v>
      </c>
      <c r="V908" s="6" t="n">
        <v>27322.9</v>
      </c>
      <c r="W908" s="6" t="n">
        <v>17940.43</v>
      </c>
      <c r="X908" s="6" t="n">
        <v>9270.6</v>
      </c>
      <c r="Y908" s="6" t="n">
        <f aca="false">P908*Q908*(1-U908)</f>
        <v>27211.032</v>
      </c>
      <c r="Z908" s="6" t="n">
        <f aca="false">Y908-W908</f>
        <v>9270.602</v>
      </c>
      <c r="AA908" s="8" t="n">
        <f aca="false">IF(Y908=0,0,Z908/Y908)</f>
        <v>0.340692774901003</v>
      </c>
      <c r="AB908" s="3" t="str">
        <f aca="false">IF(ABS(V908-Y908)&gt;1,"Mismatch","OK")</f>
        <v>Mismatch</v>
      </c>
      <c r="AC908" s="3" t="str">
        <f aca="false">IF(ABS(X908-Z908)&gt;1,"Mismatch","OK")</f>
        <v>OK</v>
      </c>
      <c r="AD908" s="5" t="n">
        <f aca="false">IF(OR(B908="",C908=""),"",C908-B908)</f>
        <v>7</v>
      </c>
      <c r="AE908" s="3" t="str">
        <f aca="false">IF(AD908="","Unknown",IF(AD908&lt;0,"Invalid - Ship Before Order","OK"))</f>
        <v>OK</v>
      </c>
      <c r="AF908" s="5" t="n">
        <f aca="false">IF(B908="","",MONTH(B908))</f>
        <v>2</v>
      </c>
      <c r="AG908" s="5" t="n">
        <f aca="false">IF(B908="","",YEAR(B908))</f>
        <v>2024</v>
      </c>
      <c r="AH908" s="3" t="s">
        <v>52</v>
      </c>
      <c r="AI908" s="3" t="s">
        <v>130</v>
      </c>
      <c r="AJ908" s="3" t="str">
        <f aca="false">IF(AND(AI908="Completed",AH908="Failed"),"Inconsistent - Completed Order with Failed Payment","OK")</f>
        <v>OK</v>
      </c>
      <c r="AK908" s="3" t="s">
        <v>417</v>
      </c>
      <c r="AL908" s="3" t="str">
        <f aca="false">IF(OR(T908="Negative - Invalid",T908="Above Allowed Range - Invalid",AE908="Invalid - Ship Before Order",AK908&lt;&gt;"Unique",AB908="Mismatch",AC908="Mismatch",AJ908&lt;&gt;"OK"),"Invalid",IF(OR(H908="Yes",O908="Yes",T908="Missing"),"Warning","Clean"))</f>
        <v>Invalid</v>
      </c>
    </row>
    <row r="909" customFormat="false" ht="15" hidden="false" customHeight="true" outlineLevel="0" collapsed="false">
      <c r="A909" s="3" t="s">
        <v>1853</v>
      </c>
      <c r="B909" s="4" t="n">
        <v>45698</v>
      </c>
      <c r="C909" s="4" t="n">
        <v>45702</v>
      </c>
      <c r="D909" s="3" t="s">
        <v>1854</v>
      </c>
      <c r="E909" s="3" t="s">
        <v>141</v>
      </c>
      <c r="F909" s="3" t="s">
        <v>58</v>
      </c>
      <c r="G909" s="3" t="s">
        <v>42</v>
      </c>
      <c r="H909" s="3" t="s">
        <v>43</v>
      </c>
      <c r="I909" s="3" t="s">
        <v>163</v>
      </c>
      <c r="J909" s="3" t="s">
        <v>164</v>
      </c>
      <c r="K909" s="3" t="s">
        <v>99</v>
      </c>
      <c r="L909" s="3" t="s">
        <v>201</v>
      </c>
      <c r="M909" s="3" t="s">
        <v>1855</v>
      </c>
      <c r="N909" s="3" t="s">
        <v>237</v>
      </c>
      <c r="O909" s="3" t="s">
        <v>238</v>
      </c>
      <c r="P909" s="5" t="n">
        <v>5</v>
      </c>
      <c r="Q909" s="6" t="n">
        <v>4276.29</v>
      </c>
      <c r="R909" s="3" t="s">
        <v>66</v>
      </c>
      <c r="S909" s="7" t="n">
        <v>0</v>
      </c>
      <c r="T909" s="3" t="s">
        <v>51</v>
      </c>
      <c r="U909" s="7" t="n">
        <f aca="false">IF(T909="Valid",S909,0)</f>
        <v>0</v>
      </c>
      <c r="V909" s="6" t="n">
        <v>21443.63</v>
      </c>
      <c r="W909" s="6" t="n">
        <v>13240.21</v>
      </c>
      <c r="X909" s="6" t="n">
        <v>8141.24</v>
      </c>
      <c r="Y909" s="6" t="n">
        <f aca="false">P909*Q909*(1-U909)</f>
        <v>21381.45</v>
      </c>
      <c r="Z909" s="6" t="n">
        <f aca="false">Y909-W909</f>
        <v>8141.24</v>
      </c>
      <c r="AA909" s="8" t="n">
        <f aca="false">IF(Y909=0,0,Z909/Y909)</f>
        <v>0.380761828594413</v>
      </c>
      <c r="AB909" s="3" t="str">
        <f aca="false">IF(ABS(V909-Y909)&gt;1,"Mismatch","OK")</f>
        <v>Mismatch</v>
      </c>
      <c r="AC909" s="3" t="str">
        <f aca="false">IF(ABS(X909-Z909)&gt;1,"Mismatch","OK")</f>
        <v>OK</v>
      </c>
      <c r="AD909" s="5" t="n">
        <f aca="false">IF(OR(B909="",C909=""),"",C909-B909)</f>
        <v>4</v>
      </c>
      <c r="AE909" s="3" t="str">
        <f aca="false">IF(AD909="","Unknown",IF(AD909&lt;0,"Invalid - Ship Before Order","OK"))</f>
        <v>OK</v>
      </c>
      <c r="AF909" s="5" t="n">
        <f aca="false">IF(B909="","",MONTH(B909))</f>
        <v>2</v>
      </c>
      <c r="AG909" s="5" t="n">
        <f aca="false">IF(B909="","",YEAR(B909))</f>
        <v>2025</v>
      </c>
      <c r="AH909" s="3" t="s">
        <v>185</v>
      </c>
      <c r="AI909" s="3" t="s">
        <v>53</v>
      </c>
      <c r="AJ909" s="3" t="str">
        <f aca="false">IF(AND(AI909="Completed",AH909="Failed"),"Inconsistent - Completed Order with Failed Payment","OK")</f>
        <v>Inconsistent - Completed Order with Failed Payment</v>
      </c>
      <c r="AK909" s="3" t="s">
        <v>417</v>
      </c>
      <c r="AL909" s="3" t="str">
        <f aca="false">IF(OR(T909="Negative - Invalid",T909="Above Allowed Range - Invalid",AE909="Invalid - Ship Before Order",AK909&lt;&gt;"Unique",AB909="Mismatch",AC909="Mismatch",AJ909&lt;&gt;"OK"),"Invalid",IF(OR(H909="Yes",O909="Yes",T909="Missing"),"Warning","Clean"))</f>
        <v>Invalid</v>
      </c>
    </row>
    <row r="910" customFormat="false" ht="15" hidden="false" customHeight="true" outlineLevel="0" collapsed="false">
      <c r="A910" s="3" t="s">
        <v>573</v>
      </c>
      <c r="B910" s="4" t="n">
        <v>45381</v>
      </c>
      <c r="C910" s="4" t="n">
        <v>45377</v>
      </c>
      <c r="D910" s="3" t="s">
        <v>574</v>
      </c>
      <c r="E910" s="3" t="s">
        <v>115</v>
      </c>
      <c r="F910" s="3" t="s">
        <v>121</v>
      </c>
      <c r="G910" s="3" t="s">
        <v>42</v>
      </c>
      <c r="H910" s="3" t="s">
        <v>43</v>
      </c>
      <c r="I910" s="3" t="s">
        <v>44</v>
      </c>
      <c r="J910" s="3" t="s">
        <v>45</v>
      </c>
      <c r="K910" s="3" t="s">
        <v>99</v>
      </c>
      <c r="L910" s="3" t="s">
        <v>201</v>
      </c>
      <c r="M910" s="3" t="s">
        <v>575</v>
      </c>
      <c r="N910" s="3" t="s">
        <v>49</v>
      </c>
      <c r="O910" s="3" t="s">
        <v>43</v>
      </c>
      <c r="P910" s="5" t="n">
        <v>5</v>
      </c>
      <c r="Q910" s="6" t="n">
        <v>907.54</v>
      </c>
      <c r="R910" s="3" t="s">
        <v>107</v>
      </c>
      <c r="S910" s="7" t="n">
        <v>0.15</v>
      </c>
      <c r="T910" s="3" t="s">
        <v>51</v>
      </c>
      <c r="U910" s="7" t="n">
        <f aca="false">IF(T910="Valid",S910,0)</f>
        <v>0.15</v>
      </c>
      <c r="V910" s="6" t="n">
        <v>4099.69</v>
      </c>
      <c r="W910" s="6" t="n">
        <v>2769.26</v>
      </c>
      <c r="X910" s="6" t="n">
        <v>1087.78</v>
      </c>
      <c r="Y910" s="6" t="n">
        <f aca="false">P910*Q910*(1-U910)</f>
        <v>3857.045</v>
      </c>
      <c r="Z910" s="6" t="n">
        <f aca="false">Y910-W910</f>
        <v>1087.785</v>
      </c>
      <c r="AA910" s="8" t="n">
        <f aca="false">IF(Y910=0,0,Z910/Y910)</f>
        <v>0.282025488424428</v>
      </c>
      <c r="AB910" s="3" t="str">
        <f aca="false">IF(ABS(V910-Y910)&gt;1,"Mismatch","OK")</f>
        <v>Mismatch</v>
      </c>
      <c r="AC910" s="3" t="str">
        <f aca="false">IF(ABS(X910-Z910)&gt;1,"Mismatch","OK")</f>
        <v>OK</v>
      </c>
      <c r="AD910" s="5" t="n">
        <f aca="false">IF(OR(B910="",C910=""),"",C910-B910)</f>
        <v>-4</v>
      </c>
      <c r="AE910" s="3" t="str">
        <f aca="false">IF(AD910="","Unknown",IF(AD910&lt;0,"Invalid - Ship Before Order","OK"))</f>
        <v>Invalid - Ship Before Order</v>
      </c>
      <c r="AF910" s="5" t="n">
        <f aca="false">IF(B910="","",MONTH(B910))</f>
        <v>3</v>
      </c>
      <c r="AG910" s="5" t="n">
        <f aca="false">IF(B910="","",YEAR(B910))</f>
        <v>2024</v>
      </c>
      <c r="AH910" s="3" t="s">
        <v>52</v>
      </c>
      <c r="AI910" s="3" t="s">
        <v>130</v>
      </c>
      <c r="AJ910" s="3" t="str">
        <f aca="false">IF(AND(AI910="Completed",AH910="Failed"),"Inconsistent - Completed Order with Failed Payment","OK")</f>
        <v>OK</v>
      </c>
      <c r="AK910" s="3" t="s">
        <v>417</v>
      </c>
      <c r="AL910" s="3" t="str">
        <f aca="false">IF(OR(T910="Negative - Invalid",T910="Above Allowed Range - Invalid",AE910="Invalid - Ship Before Order",AK910&lt;&gt;"Unique",AB910="Mismatch",AC910="Mismatch",AJ910&lt;&gt;"OK"),"Invalid",IF(OR(H910="Yes",O910="Yes",T910="Missing"),"Warning","Clean"))</f>
        <v>Invalid</v>
      </c>
    </row>
    <row r="911" customFormat="false" ht="15" hidden="false" customHeight="true" outlineLevel="0" collapsed="false">
      <c r="A911" s="3" t="s">
        <v>962</v>
      </c>
      <c r="B911" s="4" t="n">
        <v>45522</v>
      </c>
      <c r="C911" s="4" t="n">
        <v>45528</v>
      </c>
      <c r="D911" s="3" t="s">
        <v>963</v>
      </c>
      <c r="E911" s="3" t="s">
        <v>77</v>
      </c>
      <c r="F911" s="3" t="s">
        <v>41</v>
      </c>
      <c r="G911" s="3" t="s">
        <v>78</v>
      </c>
      <c r="H911" s="3" t="s">
        <v>43</v>
      </c>
      <c r="I911" s="3" t="s">
        <v>110</v>
      </c>
      <c r="J911" s="3" t="s">
        <v>111</v>
      </c>
      <c r="K911" s="3" t="s">
        <v>62</v>
      </c>
      <c r="L911" s="3" t="s">
        <v>91</v>
      </c>
      <c r="M911" s="3" t="s">
        <v>964</v>
      </c>
      <c r="N911" s="3" t="s">
        <v>72</v>
      </c>
      <c r="O911" s="3" t="s">
        <v>43</v>
      </c>
      <c r="P911" s="5" t="n">
        <v>7</v>
      </c>
      <c r="Q911" s="6" t="n">
        <v>557.21</v>
      </c>
      <c r="R911" s="3" t="s">
        <v>203</v>
      </c>
      <c r="S911" s="7" t="n">
        <v>0.1</v>
      </c>
      <c r="T911" s="3" t="s">
        <v>51</v>
      </c>
      <c r="U911" s="7" t="n">
        <f aca="false">IF(T911="Valid",S911,0)</f>
        <v>0.1</v>
      </c>
      <c r="V911" s="6" t="n">
        <v>3797.79</v>
      </c>
      <c r="W911" s="6" t="n">
        <v>2191.5</v>
      </c>
      <c r="X911" s="6" t="n">
        <v>1213.48</v>
      </c>
      <c r="Y911" s="6" t="n">
        <f aca="false">P911*Q911*(1-U911)</f>
        <v>3510.423</v>
      </c>
      <c r="Z911" s="6" t="n">
        <f aca="false">Y911-W911</f>
        <v>1318.923</v>
      </c>
      <c r="AA911" s="8" t="n">
        <f aca="false">IF(Y911=0,0,Z911/Y911)</f>
        <v>0.375716259835353</v>
      </c>
      <c r="AB911" s="3" t="str">
        <f aca="false">IF(ABS(V911-Y911)&gt;1,"Mismatch","OK")</f>
        <v>Mismatch</v>
      </c>
      <c r="AC911" s="3" t="str">
        <f aca="false">IF(ABS(X911-Z911)&gt;1,"Mismatch","OK")</f>
        <v>Mismatch</v>
      </c>
      <c r="AD911" s="5" t="n">
        <f aca="false">IF(OR(B911="",C911=""),"",C911-B911)</f>
        <v>6</v>
      </c>
      <c r="AE911" s="3" t="str">
        <f aca="false">IF(AD911="","Unknown",IF(AD911&lt;0,"Invalid - Ship Before Order","OK"))</f>
        <v>OK</v>
      </c>
      <c r="AF911" s="5" t="n">
        <f aca="false">IF(B911="","",MONTH(B911))</f>
        <v>8</v>
      </c>
      <c r="AG911" s="5" t="n">
        <f aca="false">IF(B911="","",YEAR(B911))</f>
        <v>2024</v>
      </c>
      <c r="AH911" s="3" t="s">
        <v>52</v>
      </c>
      <c r="AI911" s="3" t="s">
        <v>130</v>
      </c>
      <c r="AJ911" s="3" t="str">
        <f aca="false">IF(AND(AI911="Completed",AH911="Failed"),"Inconsistent - Completed Order with Failed Payment","OK")</f>
        <v>OK</v>
      </c>
      <c r="AK911" s="3" t="s">
        <v>417</v>
      </c>
      <c r="AL911" s="3" t="str">
        <f aca="false">IF(OR(T911="Negative - Invalid",T911="Above Allowed Range - Invalid",AE911="Invalid - Ship Before Order",AK911&lt;&gt;"Unique",AB911="Mismatch",AC911="Mismatch",AJ911&lt;&gt;"OK"),"Invalid",IF(OR(H911="Yes",O911="Yes",T911="Missing"),"Warning","Clean"))</f>
        <v>Invalid</v>
      </c>
    </row>
    <row r="912" customFormat="false" ht="15" hidden="false" customHeight="true" outlineLevel="0" collapsed="false">
      <c r="A912" s="3" t="s">
        <v>515</v>
      </c>
      <c r="B912" s="4" t="n">
        <v>45436</v>
      </c>
      <c r="C912" s="4" t="n">
        <v>45437</v>
      </c>
      <c r="D912" s="3" t="s">
        <v>516</v>
      </c>
      <c r="E912" s="3" t="s">
        <v>159</v>
      </c>
      <c r="F912" s="3" t="s">
        <v>58</v>
      </c>
      <c r="G912" s="3" t="s">
        <v>42</v>
      </c>
      <c r="H912" s="3" t="s">
        <v>43</v>
      </c>
      <c r="I912" s="3" t="s">
        <v>149</v>
      </c>
      <c r="J912" s="3" t="s">
        <v>150</v>
      </c>
      <c r="K912" s="3" t="s">
        <v>99</v>
      </c>
      <c r="L912" s="3" t="s">
        <v>105</v>
      </c>
      <c r="M912" s="3" t="s">
        <v>517</v>
      </c>
      <c r="N912" s="3" t="s">
        <v>65</v>
      </c>
      <c r="O912" s="3" t="s">
        <v>43</v>
      </c>
      <c r="P912" s="5" t="n">
        <v>1</v>
      </c>
      <c r="Q912" s="6" t="n">
        <v>634.13</v>
      </c>
      <c r="R912" s="3" t="s">
        <v>66</v>
      </c>
      <c r="S912" s="7" t="n">
        <v>0</v>
      </c>
      <c r="T912" s="3" t="s">
        <v>51</v>
      </c>
      <c r="U912" s="7" t="n">
        <f aca="false">IF(T912="Valid",S912,0)</f>
        <v>0</v>
      </c>
      <c r="V912" s="6" t="n">
        <v>808.67</v>
      </c>
      <c r="W912" s="6" t="n">
        <v>453.35</v>
      </c>
      <c r="X912" s="6" t="n">
        <v>180.78</v>
      </c>
      <c r="Y912" s="6" t="n">
        <f aca="false">P912*Q912*(1-U912)</f>
        <v>634.13</v>
      </c>
      <c r="Z912" s="6" t="n">
        <f aca="false">Y912-W912</f>
        <v>180.78</v>
      </c>
      <c r="AA912" s="8" t="n">
        <f aca="false">IF(Y912=0,0,Z912/Y912)</f>
        <v>0.28508350022866</v>
      </c>
      <c r="AB912" s="3" t="str">
        <f aca="false">IF(ABS(V912-Y912)&gt;1,"Mismatch","OK")</f>
        <v>Mismatch</v>
      </c>
      <c r="AC912" s="3" t="str">
        <f aca="false">IF(ABS(X912-Z912)&gt;1,"Mismatch","OK")</f>
        <v>OK</v>
      </c>
      <c r="AD912" s="5" t="n">
        <f aca="false">IF(OR(B912="",C912=""),"",C912-B912)</f>
        <v>1</v>
      </c>
      <c r="AE912" s="3" t="str">
        <f aca="false">IF(AD912="","Unknown",IF(AD912&lt;0,"Invalid - Ship Before Order","OK"))</f>
        <v>OK</v>
      </c>
      <c r="AF912" s="5" t="n">
        <f aca="false">IF(B912="","",MONTH(B912))</f>
        <v>5</v>
      </c>
      <c r="AG912" s="5" t="n">
        <f aca="false">IF(B912="","",YEAR(B912))</f>
        <v>2024</v>
      </c>
      <c r="AH912" s="3" t="s">
        <v>129</v>
      </c>
      <c r="AI912" s="3" t="s">
        <v>130</v>
      </c>
      <c r="AJ912" s="3" t="str">
        <f aca="false">IF(AND(AI912="Completed",AH912="Failed"),"Inconsistent - Completed Order with Failed Payment","OK")</f>
        <v>OK</v>
      </c>
      <c r="AK912" s="3" t="s">
        <v>417</v>
      </c>
      <c r="AL912" s="3" t="str">
        <f aca="false">IF(OR(T912="Negative - Invalid",T912="Above Allowed Range - Invalid",AE912="Invalid - Ship Before Order",AK912&lt;&gt;"Unique",AB912="Mismatch",AC912="Mismatch",AJ912&lt;&gt;"OK"),"Invalid",IF(OR(H912="Yes",O912="Yes",T912="Missing"),"Warning","Clean"))</f>
        <v>Invalid</v>
      </c>
    </row>
    <row r="913" customFormat="false" ht="15" hidden="false" customHeight="true" outlineLevel="0" collapsed="false">
      <c r="A913" s="3" t="s">
        <v>1150</v>
      </c>
      <c r="B913" s="4" t="n">
        <v>45824</v>
      </c>
      <c r="C913" s="4" t="n">
        <v>45826</v>
      </c>
      <c r="D913" s="3" t="s">
        <v>1151</v>
      </c>
      <c r="E913" s="3" t="s">
        <v>145</v>
      </c>
      <c r="F913" s="3" t="s">
        <v>121</v>
      </c>
      <c r="G913" s="3" t="s">
        <v>88</v>
      </c>
      <c r="H913" s="3" t="s">
        <v>43</v>
      </c>
      <c r="I913" s="3" t="s">
        <v>97</v>
      </c>
      <c r="J913" s="3" t="s">
        <v>98</v>
      </c>
      <c r="K913" s="3" t="s">
        <v>46</v>
      </c>
      <c r="L913" s="3" t="s">
        <v>47</v>
      </c>
      <c r="M913" s="3" t="s">
        <v>1152</v>
      </c>
      <c r="N913" s="3" t="s">
        <v>72</v>
      </c>
      <c r="O913" s="3" t="s">
        <v>43</v>
      </c>
      <c r="P913" s="5" t="n">
        <v>3</v>
      </c>
      <c r="Q913" s="6" t="n">
        <v>4289.37</v>
      </c>
      <c r="R913" s="3" t="s">
        <v>203</v>
      </c>
      <c r="S913" s="7" t="n">
        <v>0.1</v>
      </c>
      <c r="T913" s="3" t="s">
        <v>51</v>
      </c>
      <c r="U913" s="7" t="n">
        <f aca="false">IF(T913="Valid",S913,0)</f>
        <v>0.1</v>
      </c>
      <c r="V913" s="6" t="n">
        <v>11778.71</v>
      </c>
      <c r="W913" s="6" t="n">
        <v>6829.43</v>
      </c>
      <c r="X913" s="6" t="n">
        <v>4751.87</v>
      </c>
      <c r="Y913" s="6" t="n">
        <f aca="false">P913*Q913*(1-U913)</f>
        <v>11581.299</v>
      </c>
      <c r="Z913" s="6" t="n">
        <f aca="false">Y913-W913</f>
        <v>4751.869</v>
      </c>
      <c r="AA913" s="8" t="n">
        <f aca="false">IF(Y913=0,0,Z913/Y913)</f>
        <v>0.410305355211017</v>
      </c>
      <c r="AB913" s="3" t="str">
        <f aca="false">IF(ABS(V913-Y913)&gt;1,"Mismatch","OK")</f>
        <v>Mismatch</v>
      </c>
      <c r="AC913" s="3" t="str">
        <f aca="false">IF(ABS(X913-Z913)&gt;1,"Mismatch","OK")</f>
        <v>OK</v>
      </c>
      <c r="AD913" s="5" t="n">
        <f aca="false">IF(OR(B913="",C913=""),"",C913-B913)</f>
        <v>2</v>
      </c>
      <c r="AE913" s="3" t="str">
        <f aca="false">IF(AD913="","Unknown",IF(AD913&lt;0,"Invalid - Ship Before Order","OK"))</f>
        <v>OK</v>
      </c>
      <c r="AF913" s="5" t="n">
        <f aca="false">IF(B913="","",MONTH(B913))</f>
        <v>6</v>
      </c>
      <c r="AG913" s="5" t="n">
        <f aca="false">IF(B913="","",YEAR(B913))</f>
        <v>2025</v>
      </c>
      <c r="AH913" s="3" t="s">
        <v>52</v>
      </c>
      <c r="AI913" s="3" t="s">
        <v>130</v>
      </c>
      <c r="AJ913" s="3" t="str">
        <f aca="false">IF(AND(AI913="Completed",AH913="Failed"),"Inconsistent - Completed Order with Failed Payment","OK")</f>
        <v>OK</v>
      </c>
      <c r="AK913" s="3" t="s">
        <v>417</v>
      </c>
      <c r="AL913" s="3" t="str">
        <f aca="false">IF(OR(T913="Negative - Invalid",T913="Above Allowed Range - Invalid",AE913="Invalid - Ship Before Order",AK913&lt;&gt;"Unique",AB913="Mismatch",AC913="Mismatch",AJ913&lt;&gt;"OK"),"Invalid",IF(OR(H913="Yes",O913="Yes",T913="Missing"),"Warning","Clean"))</f>
        <v>Invalid</v>
      </c>
    </row>
  </sheetData>
  <conditionalFormatting sqref="AL2:AL913">
    <cfRule type="cellIs" priority="2" operator="equal" aboveAverage="0" equalAverage="0" bottom="0" percent="0" rank="0" text="" dxfId="6">
      <formula>"Invalid"</formula>
    </cfRule>
    <cfRule type="cellIs" priority="3" operator="equal" aboveAverage="0" equalAverage="0" bottom="0" percent="0" rank="0" text="" dxfId="7">
      <formula>"Warning"</formula>
    </cfRule>
    <cfRule type="cellIs" priority="4" operator="equal" aboveAverage="0" equalAverage="0" bottom="0" percent="0" rank="0" text="" dxfId="8">
      <formula>"Clean"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1" width="16"/>
  </cols>
  <sheetData>
    <row r="1" customFormat="false" ht="15" hidden="false" customHeight="true" outlineLevel="0" collapsed="false">
      <c r="A1" s="9" t="s">
        <v>2809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15" hidden="false" customHeight="true" outlineLevel="0" collapsed="false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15</v>
      </c>
      <c r="O2" s="10" t="s">
        <v>16</v>
      </c>
      <c r="P2" s="10" t="s">
        <v>2810</v>
      </c>
      <c r="Q2" s="10" t="s">
        <v>2811</v>
      </c>
      <c r="R2" s="10" t="s">
        <v>22</v>
      </c>
      <c r="S2" s="10" t="s">
        <v>2812</v>
      </c>
      <c r="T2" s="10" t="s">
        <v>33</v>
      </c>
      <c r="U2" s="10" t="s">
        <v>34</v>
      </c>
    </row>
    <row r="3" customFormat="false" ht="15" hidden="false" customHeight="true" outlineLevel="0" collapsed="false">
      <c r="A3" s="1" t="s">
        <v>1648</v>
      </c>
      <c r="B3" s="1" t="s">
        <v>2813</v>
      </c>
      <c r="C3" s="1" t="s">
        <v>2814</v>
      </c>
      <c r="D3" s="1" t="s">
        <v>1649</v>
      </c>
      <c r="E3" s="1" t="s">
        <v>141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99</v>
      </c>
      <c r="K3" s="1" t="s">
        <v>105</v>
      </c>
      <c r="L3" s="1" t="s">
        <v>1650</v>
      </c>
      <c r="M3" s="1" t="s">
        <v>49</v>
      </c>
      <c r="N3" s="1" t="s">
        <v>2815</v>
      </c>
      <c r="O3" s="1" t="s">
        <v>2816</v>
      </c>
      <c r="P3" s="1" t="s">
        <v>203</v>
      </c>
      <c r="Q3" s="1" t="s">
        <v>2817</v>
      </c>
      <c r="R3" s="1" t="s">
        <v>2818</v>
      </c>
      <c r="S3" s="1" t="s">
        <v>2819</v>
      </c>
      <c r="T3" s="1" t="s">
        <v>52</v>
      </c>
      <c r="U3" s="1" t="s">
        <v>53</v>
      </c>
    </row>
    <row r="4" customFormat="false" ht="15" hidden="false" customHeight="true" outlineLevel="0" collapsed="false">
      <c r="A4" s="1" t="s">
        <v>1931</v>
      </c>
      <c r="B4" s="1" t="s">
        <v>2820</v>
      </c>
      <c r="C4" s="1" t="s">
        <v>2821</v>
      </c>
      <c r="D4" s="1" t="s">
        <v>1932</v>
      </c>
      <c r="E4" s="1" t="s">
        <v>87</v>
      </c>
      <c r="F4" s="1" t="s">
        <v>116</v>
      </c>
      <c r="G4" s="1" t="s">
        <v>59</v>
      </c>
      <c r="H4" s="1" t="s">
        <v>125</v>
      </c>
      <c r="I4" s="1" t="s">
        <v>126</v>
      </c>
      <c r="J4" s="1" t="s">
        <v>99</v>
      </c>
      <c r="K4" s="1" t="s">
        <v>105</v>
      </c>
      <c r="L4" s="1" t="s">
        <v>1933</v>
      </c>
      <c r="M4" s="1" t="s">
        <v>65</v>
      </c>
      <c r="N4" s="1" t="s">
        <v>2822</v>
      </c>
      <c r="O4" s="1" t="s">
        <v>2823</v>
      </c>
      <c r="P4" s="1" t="s">
        <v>84</v>
      </c>
      <c r="Q4" s="1" t="s">
        <v>2824</v>
      </c>
      <c r="R4" s="1" t="s">
        <v>2825</v>
      </c>
      <c r="S4" s="1" t="s">
        <v>2826</v>
      </c>
      <c r="T4" s="1" t="s">
        <v>52</v>
      </c>
      <c r="U4" s="1" t="s">
        <v>53</v>
      </c>
    </row>
    <row r="5" customFormat="false" ht="15" hidden="false" customHeight="true" outlineLevel="0" collapsed="false">
      <c r="A5" s="1" t="s">
        <v>2210</v>
      </c>
      <c r="B5" s="1" t="s">
        <v>2827</v>
      </c>
      <c r="C5" s="1" t="s">
        <v>2828</v>
      </c>
      <c r="D5" s="1" t="s">
        <v>1177</v>
      </c>
      <c r="E5" s="1" t="s">
        <v>69</v>
      </c>
      <c r="F5" s="1" t="s">
        <v>41</v>
      </c>
      <c r="G5" s="1" t="s">
        <v>78</v>
      </c>
      <c r="H5" s="1" t="s">
        <v>110</v>
      </c>
      <c r="I5" s="1" t="s">
        <v>111</v>
      </c>
      <c r="J5" s="1" t="s">
        <v>46</v>
      </c>
      <c r="K5" s="1" t="s">
        <v>151</v>
      </c>
      <c r="L5" s="1" t="s">
        <v>2211</v>
      </c>
      <c r="M5" s="1" t="s">
        <v>72</v>
      </c>
      <c r="N5" s="1" t="s">
        <v>2829</v>
      </c>
      <c r="O5" s="1" t="s">
        <v>2830</v>
      </c>
      <c r="P5" s="1" t="s">
        <v>107</v>
      </c>
      <c r="Q5" s="1" t="s">
        <v>2831</v>
      </c>
      <c r="R5" s="1" t="s">
        <v>2832</v>
      </c>
      <c r="S5" s="1" t="s">
        <v>2833</v>
      </c>
      <c r="T5" s="1" t="s">
        <v>52</v>
      </c>
      <c r="U5" s="1" t="s">
        <v>53</v>
      </c>
    </row>
    <row r="6" customFormat="false" ht="15" hidden="false" customHeight="true" outlineLevel="0" collapsed="false">
      <c r="A6" s="1" t="s">
        <v>2239</v>
      </c>
      <c r="B6" s="1" t="s">
        <v>2834</v>
      </c>
      <c r="C6" s="1" t="s">
        <v>2835</v>
      </c>
      <c r="D6" s="1" t="s">
        <v>2240</v>
      </c>
      <c r="E6" s="1" t="s">
        <v>141</v>
      </c>
      <c r="F6" s="1" t="s">
        <v>121</v>
      </c>
      <c r="G6" s="1" t="s">
        <v>78</v>
      </c>
      <c r="H6" s="1" t="s">
        <v>281</v>
      </c>
      <c r="I6" s="1" t="s">
        <v>282</v>
      </c>
      <c r="J6" s="1" t="s">
        <v>62</v>
      </c>
      <c r="K6" s="1" t="s">
        <v>188</v>
      </c>
      <c r="L6" s="1" t="s">
        <v>2241</v>
      </c>
      <c r="N6" s="1" t="s">
        <v>2836</v>
      </c>
      <c r="O6" s="1" t="s">
        <v>2837</v>
      </c>
      <c r="P6" s="1" t="s">
        <v>107</v>
      </c>
      <c r="Q6" s="1" t="s">
        <v>2838</v>
      </c>
      <c r="R6" s="1" t="s">
        <v>2839</v>
      </c>
      <c r="S6" s="1" t="s">
        <v>2840</v>
      </c>
      <c r="T6" s="1" t="s">
        <v>52</v>
      </c>
      <c r="U6" s="1" t="s">
        <v>53</v>
      </c>
    </row>
    <row r="7" customFormat="false" ht="15" hidden="false" customHeight="true" outlineLevel="0" collapsed="false">
      <c r="A7" s="1" t="s">
        <v>974</v>
      </c>
      <c r="B7" s="1" t="s">
        <v>2841</v>
      </c>
      <c r="C7" s="1" t="s">
        <v>2842</v>
      </c>
      <c r="D7" s="1" t="s">
        <v>975</v>
      </c>
      <c r="E7" s="1" t="s">
        <v>155</v>
      </c>
      <c r="F7" s="1" t="s">
        <v>58</v>
      </c>
      <c r="H7" s="1" t="s">
        <v>196</v>
      </c>
      <c r="I7" s="1" t="s">
        <v>197</v>
      </c>
      <c r="J7" s="1" t="s">
        <v>62</v>
      </c>
      <c r="K7" s="1" t="s">
        <v>91</v>
      </c>
      <c r="L7" s="1" t="s">
        <v>976</v>
      </c>
      <c r="M7" s="1" t="s">
        <v>49</v>
      </c>
      <c r="N7" s="1" t="s">
        <v>2815</v>
      </c>
      <c r="O7" s="1" t="s">
        <v>2843</v>
      </c>
      <c r="P7" s="1" t="s">
        <v>977</v>
      </c>
      <c r="Q7" s="1" t="s">
        <v>2844</v>
      </c>
      <c r="R7" s="1" t="s">
        <v>2845</v>
      </c>
      <c r="S7" s="1" t="s">
        <v>2846</v>
      </c>
      <c r="T7" s="1" t="s">
        <v>52</v>
      </c>
      <c r="U7" s="1" t="s">
        <v>53</v>
      </c>
    </row>
    <row r="8" customFormat="false" ht="15" hidden="false" customHeight="true" outlineLevel="0" collapsed="false">
      <c r="A8" s="1" t="s">
        <v>2030</v>
      </c>
      <c r="B8" s="1" t="s">
        <v>2847</v>
      </c>
      <c r="C8" s="1" t="s">
        <v>2848</v>
      </c>
      <c r="D8" s="1" t="s">
        <v>2031</v>
      </c>
      <c r="E8" s="1" t="s">
        <v>159</v>
      </c>
      <c r="F8" s="1" t="s">
        <v>58</v>
      </c>
      <c r="G8" s="1" t="s">
        <v>78</v>
      </c>
      <c r="H8" s="1" t="s">
        <v>206</v>
      </c>
      <c r="I8" s="1" t="s">
        <v>207</v>
      </c>
      <c r="J8" s="1" t="s">
        <v>62</v>
      </c>
      <c r="K8" s="1" t="s">
        <v>81</v>
      </c>
      <c r="L8" s="1" t="s">
        <v>2032</v>
      </c>
      <c r="M8" s="1" t="s">
        <v>72</v>
      </c>
      <c r="N8" s="1" t="s">
        <v>2829</v>
      </c>
      <c r="O8" s="1" t="s">
        <v>2849</v>
      </c>
      <c r="P8" s="1" t="s">
        <v>66</v>
      </c>
      <c r="Q8" s="1" t="s">
        <v>2850</v>
      </c>
      <c r="R8" s="1" t="s">
        <v>2851</v>
      </c>
      <c r="S8" s="1" t="s">
        <v>2852</v>
      </c>
      <c r="T8" s="1" t="s">
        <v>52</v>
      </c>
      <c r="U8" s="1" t="s">
        <v>53</v>
      </c>
    </row>
    <row r="9" customFormat="false" ht="15" hidden="false" customHeight="true" outlineLevel="0" collapsed="false">
      <c r="A9" s="1" t="s">
        <v>2312</v>
      </c>
      <c r="B9" s="1" t="s">
        <v>2853</v>
      </c>
      <c r="C9" s="1" t="s">
        <v>2854</v>
      </c>
      <c r="D9" s="1" t="s">
        <v>2313</v>
      </c>
      <c r="E9" s="1" t="s">
        <v>87</v>
      </c>
      <c r="F9" s="1" t="s">
        <v>116</v>
      </c>
      <c r="G9" s="1" t="s">
        <v>78</v>
      </c>
      <c r="H9" s="1" t="s">
        <v>281</v>
      </c>
      <c r="I9" s="1" t="s">
        <v>282</v>
      </c>
      <c r="J9" s="1" t="s">
        <v>99</v>
      </c>
      <c r="K9" s="1" t="s">
        <v>308</v>
      </c>
      <c r="L9" s="1" t="s">
        <v>2314</v>
      </c>
      <c r="M9" s="1" t="s">
        <v>65</v>
      </c>
      <c r="N9" s="1" t="s">
        <v>2815</v>
      </c>
      <c r="O9" s="1" t="s">
        <v>2855</v>
      </c>
      <c r="P9" s="1" t="s">
        <v>107</v>
      </c>
      <c r="Q9" s="1" t="s">
        <v>2856</v>
      </c>
      <c r="R9" s="1" t="s">
        <v>2857</v>
      </c>
      <c r="S9" s="1" t="s">
        <v>2858</v>
      </c>
      <c r="T9" s="1" t="s">
        <v>52</v>
      </c>
      <c r="U9" s="1" t="s">
        <v>53</v>
      </c>
    </row>
    <row r="10" customFormat="false" ht="15" hidden="false" customHeight="true" outlineLevel="0" collapsed="false">
      <c r="A10" s="1" t="s">
        <v>546</v>
      </c>
      <c r="B10" s="1" t="s">
        <v>2859</v>
      </c>
      <c r="C10" s="1" t="s">
        <v>2860</v>
      </c>
      <c r="D10" s="1" t="s">
        <v>547</v>
      </c>
      <c r="E10" s="1" t="s">
        <v>40</v>
      </c>
      <c r="F10" s="1" t="s">
        <v>41</v>
      </c>
      <c r="G10" s="1" t="s">
        <v>88</v>
      </c>
      <c r="H10" s="1" t="s">
        <v>221</v>
      </c>
      <c r="I10" s="1" t="s">
        <v>222</v>
      </c>
      <c r="J10" s="1" t="s">
        <v>99</v>
      </c>
      <c r="K10" s="1" t="s">
        <v>201</v>
      </c>
      <c r="L10" s="1" t="s">
        <v>548</v>
      </c>
      <c r="M10" s="1" t="s">
        <v>49</v>
      </c>
      <c r="N10" s="1" t="s">
        <v>2861</v>
      </c>
      <c r="O10" s="1" t="s">
        <v>2862</v>
      </c>
      <c r="P10" s="1" t="s">
        <v>107</v>
      </c>
      <c r="Q10" s="1" t="s">
        <v>2863</v>
      </c>
      <c r="R10" s="1" t="s">
        <v>2864</v>
      </c>
      <c r="S10" s="1" t="s">
        <v>2865</v>
      </c>
      <c r="T10" s="1" t="s">
        <v>52</v>
      </c>
      <c r="U10" s="1" t="s">
        <v>53</v>
      </c>
    </row>
    <row r="11" customFormat="false" ht="15" hidden="false" customHeight="true" outlineLevel="0" collapsed="false">
      <c r="A11" s="1" t="s">
        <v>2283</v>
      </c>
      <c r="B11" s="1" t="s">
        <v>2866</v>
      </c>
      <c r="C11" s="1" t="s">
        <v>2867</v>
      </c>
      <c r="D11" s="1" t="s">
        <v>173</v>
      </c>
      <c r="E11" s="1" t="s">
        <v>298</v>
      </c>
      <c r="F11" s="1" t="s">
        <v>116</v>
      </c>
      <c r="G11" s="1" t="s">
        <v>88</v>
      </c>
      <c r="H11" s="1" t="s">
        <v>211</v>
      </c>
      <c r="I11" s="1" t="s">
        <v>212</v>
      </c>
      <c r="J11" s="1" t="s">
        <v>46</v>
      </c>
      <c r="K11" s="1" t="s">
        <v>70</v>
      </c>
      <c r="L11" s="1" t="s">
        <v>2284</v>
      </c>
      <c r="M11" s="1" t="s">
        <v>65</v>
      </c>
      <c r="N11" s="1" t="s">
        <v>2868</v>
      </c>
      <c r="O11" s="1" t="s">
        <v>2869</v>
      </c>
      <c r="P11" s="1" t="s">
        <v>50</v>
      </c>
      <c r="Q11" s="1" t="s">
        <v>2870</v>
      </c>
      <c r="R11" s="1" t="s">
        <v>2871</v>
      </c>
      <c r="S11" s="1" t="s">
        <v>2872</v>
      </c>
      <c r="T11" s="1" t="s">
        <v>52</v>
      </c>
      <c r="U11" s="1" t="s">
        <v>53</v>
      </c>
    </row>
    <row r="12" customFormat="false" ht="15" hidden="false" customHeight="true" outlineLevel="0" collapsed="false">
      <c r="A12" s="1" t="s">
        <v>1340</v>
      </c>
      <c r="B12" s="1" t="s">
        <v>2873</v>
      </c>
      <c r="C12" s="1" t="s">
        <v>2874</v>
      </c>
      <c r="D12" s="1" t="s">
        <v>1341</v>
      </c>
      <c r="E12" s="1" t="s">
        <v>192</v>
      </c>
      <c r="F12" s="1" t="s">
        <v>58</v>
      </c>
      <c r="G12" s="1" t="s">
        <v>78</v>
      </c>
      <c r="H12" s="1" t="s">
        <v>110</v>
      </c>
      <c r="I12" s="1" t="s">
        <v>111</v>
      </c>
      <c r="J12" s="1" t="s">
        <v>46</v>
      </c>
      <c r="K12" s="1" t="s">
        <v>47</v>
      </c>
      <c r="L12" s="1" t="s">
        <v>1342</v>
      </c>
      <c r="M12" s="1" t="s">
        <v>65</v>
      </c>
      <c r="N12" s="1" t="s">
        <v>2836</v>
      </c>
      <c r="O12" s="1" t="s">
        <v>2875</v>
      </c>
      <c r="P12" s="1" t="s">
        <v>84</v>
      </c>
      <c r="Q12" s="1" t="s">
        <v>2876</v>
      </c>
      <c r="R12" s="1" t="s">
        <v>2877</v>
      </c>
      <c r="S12" s="1" t="s">
        <v>2878</v>
      </c>
      <c r="T12" s="1" t="s">
        <v>52</v>
      </c>
      <c r="U12" s="1" t="s">
        <v>53</v>
      </c>
    </row>
    <row r="13" customFormat="false" ht="15" hidden="false" customHeight="true" outlineLevel="0" collapsed="false">
      <c r="A13" s="1" t="s">
        <v>515</v>
      </c>
      <c r="B13" s="1" t="s">
        <v>2879</v>
      </c>
      <c r="C13" s="1" t="s">
        <v>2880</v>
      </c>
      <c r="D13" s="1" t="s">
        <v>516</v>
      </c>
      <c r="E13" s="1" t="s">
        <v>159</v>
      </c>
      <c r="F13" s="1" t="s">
        <v>58</v>
      </c>
      <c r="G13" s="1" t="s">
        <v>2881</v>
      </c>
      <c r="H13" s="1" t="s">
        <v>149</v>
      </c>
      <c r="I13" s="1" t="s">
        <v>150</v>
      </c>
      <c r="J13" s="1" t="s">
        <v>99</v>
      </c>
      <c r="K13" s="1" t="s">
        <v>105</v>
      </c>
      <c r="L13" s="1" t="s">
        <v>517</v>
      </c>
      <c r="M13" s="1" t="s">
        <v>65</v>
      </c>
      <c r="N13" s="1" t="s">
        <v>2836</v>
      </c>
      <c r="O13" s="1" t="s">
        <v>2882</v>
      </c>
      <c r="P13" s="1" t="s">
        <v>66</v>
      </c>
      <c r="Q13" s="1" t="s">
        <v>2882</v>
      </c>
      <c r="R13" s="1" t="s">
        <v>2883</v>
      </c>
      <c r="S13" s="1" t="s">
        <v>2884</v>
      </c>
      <c r="T13" s="1" t="s">
        <v>129</v>
      </c>
      <c r="U13" s="1" t="s">
        <v>93</v>
      </c>
    </row>
    <row r="14" customFormat="false" ht="15" hidden="false" customHeight="true" outlineLevel="0" collapsed="false">
      <c r="A14" s="1" t="s">
        <v>897</v>
      </c>
      <c r="B14" s="1" t="s">
        <v>2885</v>
      </c>
      <c r="C14" s="1" t="s">
        <v>2886</v>
      </c>
      <c r="D14" s="1" t="s">
        <v>898</v>
      </c>
      <c r="E14" s="1" t="s">
        <v>77</v>
      </c>
      <c r="F14" s="1" t="s">
        <v>58</v>
      </c>
      <c r="G14" s="1" t="s">
        <v>59</v>
      </c>
      <c r="H14" s="1" t="s">
        <v>125</v>
      </c>
      <c r="I14" s="1" t="s">
        <v>126</v>
      </c>
      <c r="J14" s="1" t="s">
        <v>62</v>
      </c>
      <c r="K14" s="1" t="s">
        <v>81</v>
      </c>
      <c r="L14" s="1" t="s">
        <v>899</v>
      </c>
      <c r="M14" s="1" t="s">
        <v>83</v>
      </c>
      <c r="N14" s="1" t="s">
        <v>2829</v>
      </c>
      <c r="O14" s="1" t="s">
        <v>2887</v>
      </c>
      <c r="P14" s="1" t="s">
        <v>107</v>
      </c>
      <c r="Q14" s="1" t="s">
        <v>2888</v>
      </c>
      <c r="R14" s="1" t="s">
        <v>2889</v>
      </c>
      <c r="S14" s="1" t="s">
        <v>2890</v>
      </c>
      <c r="T14" s="1" t="s">
        <v>138</v>
      </c>
      <c r="U14" s="1" t="s">
        <v>130</v>
      </c>
    </row>
    <row r="15" customFormat="false" ht="15" hidden="false" customHeight="true" outlineLevel="0" collapsed="false">
      <c r="A15" s="1" t="s">
        <v>1275</v>
      </c>
      <c r="B15" s="1" t="s">
        <v>2891</v>
      </c>
      <c r="C15" s="1" t="s">
        <v>2892</v>
      </c>
      <c r="D15" s="1" t="s">
        <v>1276</v>
      </c>
      <c r="E15" s="1" t="s">
        <v>298</v>
      </c>
      <c r="F15" s="1" t="s">
        <v>58</v>
      </c>
      <c r="G15" s="1" t="s">
        <v>59</v>
      </c>
      <c r="H15" s="1" t="s">
        <v>60</v>
      </c>
      <c r="I15" s="1" t="s">
        <v>61</v>
      </c>
      <c r="J15" s="1" t="s">
        <v>46</v>
      </c>
      <c r="K15" s="1" t="s">
        <v>2893</v>
      </c>
      <c r="L15" s="1" t="s">
        <v>1277</v>
      </c>
      <c r="M15" s="1" t="s">
        <v>65</v>
      </c>
      <c r="N15" s="1" t="s">
        <v>2836</v>
      </c>
      <c r="O15" s="1" t="s">
        <v>2894</v>
      </c>
      <c r="P15" s="1" t="s">
        <v>66</v>
      </c>
      <c r="Q15" s="1" t="s">
        <v>2894</v>
      </c>
      <c r="R15" s="1" t="s">
        <v>2895</v>
      </c>
      <c r="S15" s="1" t="s">
        <v>2896</v>
      </c>
      <c r="T15" s="1" t="s">
        <v>52</v>
      </c>
      <c r="U15" s="1" t="s">
        <v>53</v>
      </c>
    </row>
    <row r="16" customFormat="false" ht="15" hidden="false" customHeight="true" outlineLevel="0" collapsed="false">
      <c r="A16" s="1" t="s">
        <v>986</v>
      </c>
      <c r="B16" s="1" t="s">
        <v>2897</v>
      </c>
      <c r="C16" s="1" t="s">
        <v>2898</v>
      </c>
      <c r="D16" s="1" t="s">
        <v>987</v>
      </c>
      <c r="E16" s="1" t="s">
        <v>115</v>
      </c>
      <c r="F16" s="1" t="s">
        <v>41</v>
      </c>
      <c r="G16" s="1" t="s">
        <v>78</v>
      </c>
      <c r="H16" s="1" t="s">
        <v>206</v>
      </c>
      <c r="I16" s="1" t="s">
        <v>207</v>
      </c>
      <c r="J16" s="1" t="s">
        <v>99</v>
      </c>
      <c r="K16" s="1" t="s">
        <v>105</v>
      </c>
      <c r="L16" s="1" t="s">
        <v>988</v>
      </c>
      <c r="M16" s="1" t="s">
        <v>83</v>
      </c>
      <c r="N16" s="1" t="s">
        <v>2899</v>
      </c>
      <c r="O16" s="1" t="s">
        <v>2900</v>
      </c>
      <c r="P16" s="1" t="s">
        <v>66</v>
      </c>
      <c r="Q16" s="1" t="s">
        <v>2901</v>
      </c>
      <c r="R16" s="1" t="s">
        <v>2902</v>
      </c>
      <c r="S16" s="1" t="s">
        <v>2903</v>
      </c>
      <c r="T16" s="1" t="s">
        <v>52</v>
      </c>
      <c r="U16" s="1" t="s">
        <v>53</v>
      </c>
    </row>
    <row r="17" customFormat="false" ht="15" hidden="false" customHeight="true" outlineLevel="0" collapsed="false">
      <c r="A17" s="1" t="s">
        <v>2263</v>
      </c>
      <c r="B17" s="1" t="s">
        <v>2904</v>
      </c>
      <c r="C17" s="1" t="s">
        <v>2905</v>
      </c>
      <c r="D17" s="1" t="s">
        <v>2264</v>
      </c>
      <c r="E17" s="1" t="s">
        <v>69</v>
      </c>
      <c r="F17" s="1" t="s">
        <v>121</v>
      </c>
      <c r="G17" s="1" t="s">
        <v>88</v>
      </c>
      <c r="H17" s="1" t="s">
        <v>97</v>
      </c>
      <c r="I17" s="1" t="s">
        <v>98</v>
      </c>
      <c r="J17" s="1" t="s">
        <v>62</v>
      </c>
      <c r="K17" s="1" t="s">
        <v>91</v>
      </c>
      <c r="L17" s="1" t="s">
        <v>2265</v>
      </c>
      <c r="M17" s="1" t="s">
        <v>72</v>
      </c>
      <c r="N17" s="1" t="s">
        <v>2906</v>
      </c>
      <c r="O17" s="1" t="s">
        <v>2907</v>
      </c>
      <c r="P17" s="1" t="s">
        <v>66</v>
      </c>
      <c r="Q17" s="1" t="s">
        <v>2908</v>
      </c>
      <c r="R17" s="1" t="s">
        <v>2909</v>
      </c>
      <c r="S17" s="1" t="s">
        <v>2910</v>
      </c>
      <c r="T17" s="1" t="s">
        <v>52</v>
      </c>
      <c r="U17" s="1" t="s">
        <v>53</v>
      </c>
    </row>
    <row r="18" customFormat="false" ht="15" hidden="false" customHeight="true" outlineLevel="0" collapsed="false">
      <c r="A18" s="1" t="s">
        <v>1788</v>
      </c>
      <c r="B18" s="1" t="s">
        <v>2911</v>
      </c>
      <c r="C18" s="1" t="s">
        <v>2912</v>
      </c>
      <c r="D18" s="1" t="s">
        <v>1789</v>
      </c>
      <c r="E18" s="1" t="s">
        <v>57</v>
      </c>
      <c r="F18" s="1" t="s">
        <v>116</v>
      </c>
      <c r="G18" s="1" t="s">
        <v>78</v>
      </c>
      <c r="H18" s="1" t="s">
        <v>79</v>
      </c>
      <c r="I18" s="1" t="s">
        <v>80</v>
      </c>
      <c r="J18" s="1" t="s">
        <v>46</v>
      </c>
      <c r="K18" s="1" t="s">
        <v>70</v>
      </c>
      <c r="L18" s="1" t="s">
        <v>1790</v>
      </c>
      <c r="M18" s="1" t="s">
        <v>49</v>
      </c>
      <c r="N18" s="1" t="s">
        <v>2822</v>
      </c>
      <c r="O18" s="1" t="s">
        <v>2913</v>
      </c>
      <c r="P18" s="1" t="s">
        <v>203</v>
      </c>
      <c r="Q18" s="1" t="s">
        <v>2914</v>
      </c>
      <c r="R18" s="1" t="s">
        <v>2915</v>
      </c>
      <c r="S18" s="1" t="s">
        <v>2916</v>
      </c>
      <c r="T18" s="1" t="s">
        <v>52</v>
      </c>
      <c r="U18" s="1" t="s">
        <v>53</v>
      </c>
    </row>
    <row r="19" customFormat="false" ht="15" hidden="false" customHeight="true" outlineLevel="0" collapsed="false">
      <c r="A19" s="1" t="s">
        <v>2665</v>
      </c>
      <c r="B19" s="1" t="s">
        <v>2917</v>
      </c>
      <c r="C19" s="1" t="s">
        <v>2918</v>
      </c>
      <c r="D19" s="1" t="s">
        <v>2666</v>
      </c>
      <c r="E19" s="1" t="s">
        <v>69</v>
      </c>
      <c r="F19" s="1" t="s">
        <v>121</v>
      </c>
      <c r="G19" s="1" t="s">
        <v>88</v>
      </c>
      <c r="H19" s="1" t="s">
        <v>211</v>
      </c>
      <c r="I19" s="1" t="s">
        <v>212</v>
      </c>
      <c r="J19" s="1" t="s">
        <v>62</v>
      </c>
      <c r="K19" s="1" t="s">
        <v>188</v>
      </c>
      <c r="L19" s="1" t="s">
        <v>2667</v>
      </c>
      <c r="M19" s="1" t="s">
        <v>83</v>
      </c>
      <c r="N19" s="1" t="s">
        <v>2822</v>
      </c>
      <c r="O19" s="1" t="s">
        <v>2919</v>
      </c>
      <c r="P19" s="1" t="s">
        <v>50</v>
      </c>
      <c r="Q19" s="1" t="s">
        <v>2920</v>
      </c>
      <c r="R19" s="1" t="s">
        <v>2921</v>
      </c>
      <c r="S19" s="1" t="s">
        <v>2922</v>
      </c>
      <c r="T19" s="1" t="s">
        <v>52</v>
      </c>
      <c r="U19" s="1" t="s">
        <v>53</v>
      </c>
    </row>
    <row r="20" customFormat="false" ht="15" hidden="false" customHeight="true" outlineLevel="0" collapsed="false">
      <c r="A20" s="1" t="s">
        <v>528</v>
      </c>
      <c r="B20" s="1" t="s">
        <v>2923</v>
      </c>
      <c r="C20" s="1" t="s">
        <v>2924</v>
      </c>
      <c r="D20" s="1" t="s">
        <v>529</v>
      </c>
      <c r="E20" s="1" t="s">
        <v>141</v>
      </c>
      <c r="F20" s="1" t="s">
        <v>116</v>
      </c>
      <c r="G20" s="1" t="s">
        <v>88</v>
      </c>
      <c r="H20" s="1" t="s">
        <v>97</v>
      </c>
      <c r="I20" s="1" t="s">
        <v>98</v>
      </c>
      <c r="J20" s="1" t="s">
        <v>46</v>
      </c>
      <c r="K20" s="1" t="s">
        <v>151</v>
      </c>
      <c r="L20" s="1" t="s">
        <v>530</v>
      </c>
      <c r="M20" s="1" t="s">
        <v>49</v>
      </c>
      <c r="N20" s="1" t="s">
        <v>2868</v>
      </c>
      <c r="O20" s="1" t="s">
        <v>2925</v>
      </c>
      <c r="P20" s="1" t="s">
        <v>128</v>
      </c>
      <c r="Q20" s="1" t="s">
        <v>2926</v>
      </c>
      <c r="R20" s="1" t="s">
        <v>2927</v>
      </c>
      <c r="S20" s="1" t="s">
        <v>2928</v>
      </c>
      <c r="T20" s="1" t="s">
        <v>52</v>
      </c>
      <c r="U20" s="1" t="s">
        <v>53</v>
      </c>
    </row>
    <row r="21" customFormat="false" ht="15" hidden="false" customHeight="true" outlineLevel="0" collapsed="false">
      <c r="A21" s="1" t="s">
        <v>2158</v>
      </c>
      <c r="B21" s="1" t="s">
        <v>2929</v>
      </c>
      <c r="C21" s="1" t="s">
        <v>2930</v>
      </c>
      <c r="D21" s="1" t="s">
        <v>2159</v>
      </c>
      <c r="E21" s="1" t="s">
        <v>145</v>
      </c>
      <c r="F21" s="1" t="s">
        <v>58</v>
      </c>
      <c r="G21" s="1" t="s">
        <v>42</v>
      </c>
      <c r="H21" s="1" t="s">
        <v>384</v>
      </c>
      <c r="I21" s="1" t="s">
        <v>385</v>
      </c>
      <c r="J21" s="1" t="s">
        <v>99</v>
      </c>
      <c r="K21" s="1" t="s">
        <v>201</v>
      </c>
      <c r="L21" s="1" t="s">
        <v>2160</v>
      </c>
      <c r="M21" s="1" t="s">
        <v>65</v>
      </c>
      <c r="N21" s="1" t="s">
        <v>2906</v>
      </c>
      <c r="O21" s="1" t="s">
        <v>2931</v>
      </c>
      <c r="P21" s="1" t="s">
        <v>107</v>
      </c>
      <c r="Q21" s="1" t="s">
        <v>2932</v>
      </c>
      <c r="R21" s="1" t="s">
        <v>2933</v>
      </c>
      <c r="S21" s="1" t="s">
        <v>2934</v>
      </c>
      <c r="T21" s="1" t="s">
        <v>52</v>
      </c>
      <c r="U21" s="1" t="s">
        <v>53</v>
      </c>
    </row>
    <row r="22" customFormat="false" ht="15" hidden="false" customHeight="true" outlineLevel="0" collapsed="false">
      <c r="A22" s="1" t="s">
        <v>102</v>
      </c>
      <c r="B22" s="1" t="s">
        <v>2935</v>
      </c>
      <c r="C22" s="1" t="s">
        <v>2936</v>
      </c>
      <c r="D22" s="1" t="s">
        <v>103</v>
      </c>
      <c r="E22" s="1" t="s">
        <v>104</v>
      </c>
      <c r="F22" s="1" t="s">
        <v>41</v>
      </c>
      <c r="G22" s="1" t="s">
        <v>59</v>
      </c>
      <c r="H22" s="1" t="s">
        <v>60</v>
      </c>
      <c r="I22" s="1" t="s">
        <v>61</v>
      </c>
      <c r="J22" s="1" t="s">
        <v>99</v>
      </c>
      <c r="K22" s="1" t="s">
        <v>105</v>
      </c>
      <c r="L22" s="1" t="s">
        <v>106</v>
      </c>
      <c r="M22" s="1" t="s">
        <v>83</v>
      </c>
      <c r="N22" s="1" t="s">
        <v>2937</v>
      </c>
      <c r="O22" s="1" t="s">
        <v>2938</v>
      </c>
      <c r="P22" s="1" t="s">
        <v>107</v>
      </c>
      <c r="Q22" s="1" t="s">
        <v>2939</v>
      </c>
      <c r="R22" s="1" t="s">
        <v>2940</v>
      </c>
      <c r="S22" s="1" t="s">
        <v>2941</v>
      </c>
      <c r="T22" s="1" t="s">
        <v>52</v>
      </c>
      <c r="U22" s="1" t="s">
        <v>53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1" width="14"/>
  </cols>
  <sheetData>
    <row r="1" customFormat="false" ht="15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15</v>
      </c>
      <c r="O1" s="10" t="s">
        <v>16</v>
      </c>
      <c r="P1" s="10" t="s">
        <v>2810</v>
      </c>
      <c r="Q1" s="10" t="s">
        <v>2811</v>
      </c>
      <c r="R1" s="10" t="s">
        <v>22</v>
      </c>
      <c r="S1" s="10" t="s">
        <v>2812</v>
      </c>
      <c r="T1" s="10" t="s">
        <v>33</v>
      </c>
      <c r="U1" s="10" t="s">
        <v>34</v>
      </c>
    </row>
    <row r="2" customFormat="false" ht="15" hidden="false" customHeight="true" outlineLevel="0" collapsed="false">
      <c r="A2" s="1" t="s">
        <v>38</v>
      </c>
      <c r="B2" s="1" t="s">
        <v>2942</v>
      </c>
      <c r="C2" s="1" t="s">
        <v>2943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2861</v>
      </c>
      <c r="O2" s="1" t="s">
        <v>2944</v>
      </c>
      <c r="P2" s="1" t="s">
        <v>50</v>
      </c>
      <c r="Q2" s="1" t="s">
        <v>2945</v>
      </c>
      <c r="R2" s="1" t="s">
        <v>2946</v>
      </c>
      <c r="S2" s="1" t="s">
        <v>2947</v>
      </c>
      <c r="T2" s="1" t="s">
        <v>52</v>
      </c>
      <c r="U2" s="1" t="s">
        <v>53</v>
      </c>
    </row>
    <row r="3" customFormat="false" ht="15" hidden="false" customHeight="true" outlineLevel="0" collapsed="false">
      <c r="A3" s="1" t="s">
        <v>55</v>
      </c>
      <c r="B3" s="1" t="s">
        <v>2948</v>
      </c>
      <c r="C3" s="1" t="s">
        <v>2949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2822</v>
      </c>
      <c r="O3" s="1" t="s">
        <v>2950</v>
      </c>
      <c r="P3" s="1" t="s">
        <v>66</v>
      </c>
      <c r="Q3" s="1" t="s">
        <v>2951</v>
      </c>
      <c r="R3" s="1" t="s">
        <v>2952</v>
      </c>
      <c r="S3" s="1" t="s">
        <v>2953</v>
      </c>
      <c r="T3" s="1" t="s">
        <v>52</v>
      </c>
      <c r="U3" s="1" t="s">
        <v>53</v>
      </c>
    </row>
    <row r="4" customFormat="false" ht="15" hidden="false" customHeight="true" outlineLevel="0" collapsed="false">
      <c r="A4" s="1" t="s">
        <v>67</v>
      </c>
      <c r="B4" s="1" t="s">
        <v>2954</v>
      </c>
      <c r="C4" s="1" t="s">
        <v>2955</v>
      </c>
      <c r="D4" s="1" t="s">
        <v>68</v>
      </c>
      <c r="E4" s="1" t="s">
        <v>69</v>
      </c>
      <c r="F4" s="1" t="s">
        <v>41</v>
      </c>
      <c r="G4" s="1" t="s">
        <v>59</v>
      </c>
      <c r="H4" s="1" t="s">
        <v>60</v>
      </c>
      <c r="I4" s="1" t="s">
        <v>61</v>
      </c>
      <c r="J4" s="1" t="s">
        <v>46</v>
      </c>
      <c r="K4" s="1" t="s">
        <v>70</v>
      </c>
      <c r="L4" s="1" t="s">
        <v>71</v>
      </c>
      <c r="M4" s="1" t="s">
        <v>72</v>
      </c>
      <c r="N4" s="1" t="s">
        <v>2937</v>
      </c>
      <c r="O4" s="1" t="s">
        <v>2956</v>
      </c>
      <c r="P4" s="1" t="s">
        <v>73</v>
      </c>
      <c r="Q4" s="1" t="s">
        <v>2957</v>
      </c>
      <c r="R4" s="1" t="s">
        <v>2958</v>
      </c>
      <c r="S4" s="1" t="s">
        <v>2959</v>
      </c>
      <c r="T4" s="1" t="s">
        <v>52</v>
      </c>
      <c r="U4" s="1" t="s">
        <v>53</v>
      </c>
    </row>
    <row r="5" customFormat="false" ht="15" hidden="false" customHeight="true" outlineLevel="0" collapsed="false">
      <c r="A5" s="1" t="s">
        <v>75</v>
      </c>
      <c r="B5" s="1" t="s">
        <v>2960</v>
      </c>
      <c r="C5" s="1" t="s">
        <v>2961</v>
      </c>
      <c r="D5" s="1" t="s">
        <v>76</v>
      </c>
      <c r="E5" s="1" t="s">
        <v>77</v>
      </c>
      <c r="F5" s="1" t="s">
        <v>58</v>
      </c>
      <c r="G5" s="1" t="s">
        <v>78</v>
      </c>
      <c r="H5" s="1" t="s">
        <v>79</v>
      </c>
      <c r="I5" s="1" t="s">
        <v>80</v>
      </c>
      <c r="J5" s="1" t="s">
        <v>62</v>
      </c>
      <c r="K5" s="1" t="s">
        <v>81</v>
      </c>
      <c r="L5" s="1" t="s">
        <v>82</v>
      </c>
      <c r="M5" s="1" t="s">
        <v>83</v>
      </c>
      <c r="N5" s="1" t="s">
        <v>2815</v>
      </c>
      <c r="O5" s="1" t="s">
        <v>2962</v>
      </c>
      <c r="P5" s="1" t="s">
        <v>84</v>
      </c>
      <c r="Q5" s="1" t="s">
        <v>2963</v>
      </c>
      <c r="R5" s="1" t="s">
        <v>2964</v>
      </c>
      <c r="S5" s="1" t="s">
        <v>2965</v>
      </c>
      <c r="T5" s="1" t="s">
        <v>52</v>
      </c>
      <c r="U5" s="1" t="s">
        <v>53</v>
      </c>
    </row>
    <row r="6" customFormat="false" ht="15" hidden="false" customHeight="true" outlineLevel="0" collapsed="false">
      <c r="A6" s="1" t="s">
        <v>85</v>
      </c>
      <c r="B6" s="1" t="s">
        <v>2966</v>
      </c>
      <c r="C6" s="1" t="s">
        <v>2967</v>
      </c>
      <c r="D6" s="1" t="s">
        <v>86</v>
      </c>
      <c r="E6" s="1" t="s">
        <v>87</v>
      </c>
      <c r="F6" s="1" t="s">
        <v>58</v>
      </c>
      <c r="G6" s="1" t="s">
        <v>88</v>
      </c>
      <c r="H6" s="1" t="s">
        <v>89</v>
      </c>
      <c r="I6" s="1" t="s">
        <v>90</v>
      </c>
      <c r="J6" s="1" t="s">
        <v>62</v>
      </c>
      <c r="K6" s="1" t="s">
        <v>91</v>
      </c>
      <c r="L6" s="1" t="s">
        <v>92</v>
      </c>
      <c r="M6" s="1" t="s">
        <v>72</v>
      </c>
      <c r="N6" s="1" t="s">
        <v>2906</v>
      </c>
      <c r="O6" s="1" t="s">
        <v>2968</v>
      </c>
      <c r="P6" s="1" t="s">
        <v>66</v>
      </c>
      <c r="Q6" s="1" t="s">
        <v>2969</v>
      </c>
      <c r="R6" s="1" t="s">
        <v>2970</v>
      </c>
      <c r="S6" s="1" t="s">
        <v>2971</v>
      </c>
      <c r="T6" s="1" t="s">
        <v>52</v>
      </c>
      <c r="U6" s="1" t="s">
        <v>93</v>
      </c>
    </row>
    <row r="7" customFormat="false" ht="15" hidden="false" customHeight="true" outlineLevel="0" collapsed="false">
      <c r="A7" s="1" t="s">
        <v>94</v>
      </c>
      <c r="B7" s="1" t="s">
        <v>2972</v>
      </c>
      <c r="C7" s="1" t="s">
        <v>2973</v>
      </c>
      <c r="D7" s="1" t="s">
        <v>95</v>
      </c>
      <c r="E7" s="1" t="s">
        <v>96</v>
      </c>
      <c r="F7" s="1" t="s">
        <v>58</v>
      </c>
      <c r="G7" s="1" t="s">
        <v>88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101</v>
      </c>
      <c r="M7" s="1" t="s">
        <v>65</v>
      </c>
      <c r="N7" s="1" t="s">
        <v>2822</v>
      </c>
      <c r="O7" s="1" t="s">
        <v>2974</v>
      </c>
      <c r="P7" s="1" t="s">
        <v>50</v>
      </c>
      <c r="Q7" s="1" t="s">
        <v>2975</v>
      </c>
      <c r="R7" s="1" t="s">
        <v>2976</v>
      </c>
      <c r="S7" s="1" t="s">
        <v>2977</v>
      </c>
      <c r="T7" s="1" t="s">
        <v>52</v>
      </c>
      <c r="U7" s="1" t="s">
        <v>53</v>
      </c>
    </row>
    <row r="8" customFormat="false" ht="15" hidden="false" customHeight="true" outlineLevel="0" collapsed="false">
      <c r="A8" s="1" t="s">
        <v>102</v>
      </c>
      <c r="B8" s="1" t="s">
        <v>2935</v>
      </c>
      <c r="C8" s="1" t="s">
        <v>2936</v>
      </c>
      <c r="D8" s="1" t="s">
        <v>103</v>
      </c>
      <c r="E8" s="1" t="s">
        <v>104</v>
      </c>
      <c r="F8" s="1" t="s">
        <v>41</v>
      </c>
      <c r="G8" s="1" t="s">
        <v>59</v>
      </c>
      <c r="H8" s="1" t="s">
        <v>60</v>
      </c>
      <c r="I8" s="1" t="s">
        <v>61</v>
      </c>
      <c r="J8" s="1" t="s">
        <v>99</v>
      </c>
      <c r="K8" s="1" t="s">
        <v>105</v>
      </c>
      <c r="L8" s="1" t="s">
        <v>106</v>
      </c>
      <c r="M8" s="1" t="s">
        <v>83</v>
      </c>
      <c r="N8" s="1" t="s">
        <v>2937</v>
      </c>
      <c r="O8" s="1" t="s">
        <v>2938</v>
      </c>
      <c r="P8" s="1" t="s">
        <v>107</v>
      </c>
      <c r="Q8" s="1" t="s">
        <v>2939</v>
      </c>
      <c r="R8" s="1" t="s">
        <v>2940</v>
      </c>
      <c r="S8" s="1" t="s">
        <v>2941</v>
      </c>
      <c r="T8" s="1" t="s">
        <v>52</v>
      </c>
      <c r="U8" s="1" t="s">
        <v>53</v>
      </c>
    </row>
    <row r="9" customFormat="false" ht="15" hidden="false" customHeight="true" outlineLevel="0" collapsed="false">
      <c r="A9" s="1" t="s">
        <v>108</v>
      </c>
      <c r="B9" s="1" t="s">
        <v>2978</v>
      </c>
      <c r="C9" s="1" t="s">
        <v>2979</v>
      </c>
      <c r="D9" s="1" t="s">
        <v>109</v>
      </c>
      <c r="E9" s="1" t="s">
        <v>69</v>
      </c>
      <c r="F9" s="1" t="s">
        <v>58</v>
      </c>
      <c r="G9" s="1" t="s">
        <v>78</v>
      </c>
      <c r="H9" s="1" t="s">
        <v>110</v>
      </c>
      <c r="I9" s="1" t="s">
        <v>111</v>
      </c>
      <c r="J9" s="1" t="s">
        <v>46</v>
      </c>
      <c r="K9" s="1" t="s">
        <v>70</v>
      </c>
      <c r="L9" s="1" t="s">
        <v>112</v>
      </c>
      <c r="M9" s="1" t="s">
        <v>72</v>
      </c>
      <c r="N9" s="1" t="s">
        <v>2836</v>
      </c>
      <c r="O9" s="1" t="s">
        <v>2980</v>
      </c>
      <c r="P9" s="1" t="s">
        <v>66</v>
      </c>
      <c r="Q9" s="1" t="s">
        <v>2980</v>
      </c>
      <c r="R9" s="1" t="s">
        <v>2981</v>
      </c>
      <c r="S9" s="1" t="s">
        <v>2982</v>
      </c>
      <c r="T9" s="1" t="s">
        <v>52</v>
      </c>
      <c r="U9" s="1" t="s">
        <v>53</v>
      </c>
    </row>
    <row r="10" customFormat="false" ht="15" hidden="false" customHeight="true" outlineLevel="0" collapsed="false">
      <c r="A10" s="1" t="s">
        <v>113</v>
      </c>
      <c r="B10" s="1" t="s">
        <v>2983</v>
      </c>
      <c r="C10" s="1" t="s">
        <v>2984</v>
      </c>
      <c r="D10" s="1" t="s">
        <v>114</v>
      </c>
      <c r="E10" s="1" t="s">
        <v>115</v>
      </c>
      <c r="F10" s="1" t="s">
        <v>116</v>
      </c>
      <c r="G10" s="1" t="s">
        <v>78</v>
      </c>
      <c r="H10" s="1" t="s">
        <v>79</v>
      </c>
      <c r="I10" s="1" t="s">
        <v>80</v>
      </c>
      <c r="J10" s="1" t="s">
        <v>46</v>
      </c>
      <c r="K10" s="1" t="s">
        <v>117</v>
      </c>
      <c r="L10" s="1" t="s">
        <v>118</v>
      </c>
      <c r="M10" s="1" t="s">
        <v>72</v>
      </c>
      <c r="N10" s="1" t="s">
        <v>2861</v>
      </c>
      <c r="O10" s="1" t="s">
        <v>2985</v>
      </c>
      <c r="P10" s="1" t="s">
        <v>66</v>
      </c>
      <c r="Q10" s="1" t="s">
        <v>2986</v>
      </c>
      <c r="R10" s="1" t="s">
        <v>2987</v>
      </c>
      <c r="S10" s="1" t="s">
        <v>2988</v>
      </c>
      <c r="T10" s="1" t="s">
        <v>52</v>
      </c>
      <c r="U10" s="1" t="s">
        <v>53</v>
      </c>
    </row>
    <row r="11" customFormat="false" ht="15" hidden="false" customHeight="true" outlineLevel="0" collapsed="false">
      <c r="A11" s="1" t="s">
        <v>119</v>
      </c>
      <c r="B11" s="1" t="s">
        <v>2989</v>
      </c>
      <c r="C11" s="1" t="s">
        <v>2990</v>
      </c>
      <c r="D11" s="1" t="s">
        <v>120</v>
      </c>
      <c r="E11" s="1" t="s">
        <v>57</v>
      </c>
      <c r="F11" s="1" t="s">
        <v>121</v>
      </c>
      <c r="G11" s="1" t="s">
        <v>78</v>
      </c>
      <c r="H11" s="1" t="s">
        <v>79</v>
      </c>
      <c r="I11" s="1" t="s">
        <v>80</v>
      </c>
      <c r="J11" s="1" t="s">
        <v>46</v>
      </c>
      <c r="K11" s="1" t="s">
        <v>47</v>
      </c>
      <c r="L11" s="1" t="s">
        <v>122</v>
      </c>
      <c r="M11" s="1" t="s">
        <v>49</v>
      </c>
      <c r="N11" s="1" t="s">
        <v>2899</v>
      </c>
      <c r="O11" s="1" t="s">
        <v>2991</v>
      </c>
      <c r="P11" s="1" t="s">
        <v>50</v>
      </c>
      <c r="Q11" s="1" t="s">
        <v>2992</v>
      </c>
      <c r="R11" s="1" t="s">
        <v>2993</v>
      </c>
      <c r="S11" s="1" t="s">
        <v>2994</v>
      </c>
      <c r="T11" s="1" t="s">
        <v>52</v>
      </c>
      <c r="U11" s="1" t="s">
        <v>53</v>
      </c>
    </row>
    <row r="12" customFormat="false" ht="15" hidden="false" customHeight="true" outlineLevel="0" collapsed="false">
      <c r="A12" s="1" t="s">
        <v>123</v>
      </c>
      <c r="B12" s="1" t="s">
        <v>2995</v>
      </c>
      <c r="C12" s="1" t="s">
        <v>2996</v>
      </c>
      <c r="D12" s="1" t="s">
        <v>124</v>
      </c>
      <c r="E12" s="1" t="s">
        <v>87</v>
      </c>
      <c r="F12" s="1" t="s">
        <v>116</v>
      </c>
      <c r="G12" s="1" t="s">
        <v>59</v>
      </c>
      <c r="H12" s="1" t="s">
        <v>125</v>
      </c>
      <c r="I12" s="1" t="s">
        <v>126</v>
      </c>
      <c r="J12" s="1" t="s">
        <v>46</v>
      </c>
      <c r="K12" s="1" t="s">
        <v>117</v>
      </c>
      <c r="L12" s="1" t="s">
        <v>127</v>
      </c>
      <c r="M12" s="1" t="s">
        <v>49</v>
      </c>
      <c r="N12" s="1" t="s">
        <v>2822</v>
      </c>
      <c r="O12" s="1" t="s">
        <v>2997</v>
      </c>
      <c r="P12" s="1" t="s">
        <v>128</v>
      </c>
      <c r="Q12" s="1" t="s">
        <v>2998</v>
      </c>
      <c r="R12" s="1" t="s">
        <v>2999</v>
      </c>
      <c r="S12" s="1" t="s">
        <v>3000</v>
      </c>
      <c r="T12" s="1" t="s">
        <v>129</v>
      </c>
      <c r="U12" s="1" t="s">
        <v>130</v>
      </c>
    </row>
    <row r="13" customFormat="false" ht="15" hidden="false" customHeight="true" outlineLevel="0" collapsed="false">
      <c r="A13" s="1" t="s">
        <v>131</v>
      </c>
      <c r="B13" s="1" t="s">
        <v>3001</v>
      </c>
      <c r="C13" s="1" t="s">
        <v>3002</v>
      </c>
      <c r="D13" s="1" t="s">
        <v>132</v>
      </c>
      <c r="E13" s="1" t="s">
        <v>96</v>
      </c>
      <c r="F13" s="1" t="s">
        <v>58</v>
      </c>
      <c r="G13" s="1" t="s">
        <v>59</v>
      </c>
      <c r="H13" s="1" t="s">
        <v>60</v>
      </c>
      <c r="I13" s="1" t="s">
        <v>61</v>
      </c>
      <c r="J13" s="1" t="s">
        <v>99</v>
      </c>
      <c r="K13" s="1" t="s">
        <v>100</v>
      </c>
      <c r="L13" s="1" t="s">
        <v>133</v>
      </c>
      <c r="M13" s="1" t="s">
        <v>65</v>
      </c>
      <c r="N13" s="1" t="s">
        <v>2815</v>
      </c>
      <c r="O13" s="1" t="s">
        <v>3003</v>
      </c>
      <c r="P13" s="1" t="s">
        <v>50</v>
      </c>
      <c r="Q13" s="1" t="s">
        <v>3004</v>
      </c>
      <c r="R13" s="1" t="s">
        <v>3005</v>
      </c>
      <c r="S13" s="1" t="s">
        <v>3006</v>
      </c>
      <c r="T13" s="1" t="s">
        <v>52</v>
      </c>
      <c r="U13" s="1" t="s">
        <v>53</v>
      </c>
    </row>
    <row r="14" customFormat="false" ht="15" hidden="false" customHeight="true" outlineLevel="0" collapsed="false">
      <c r="A14" s="1" t="s">
        <v>134</v>
      </c>
      <c r="B14" s="1" t="s">
        <v>3007</v>
      </c>
      <c r="C14" s="1" t="s">
        <v>3008</v>
      </c>
      <c r="D14" s="1" t="s">
        <v>135</v>
      </c>
      <c r="E14" s="1" t="s">
        <v>87</v>
      </c>
      <c r="F14" s="1" t="s">
        <v>116</v>
      </c>
      <c r="G14" s="1" t="s">
        <v>88</v>
      </c>
      <c r="H14" s="1" t="s">
        <v>44</v>
      </c>
      <c r="I14" s="1" t="s">
        <v>136</v>
      </c>
      <c r="J14" s="1" t="s">
        <v>46</v>
      </c>
      <c r="K14" s="1" t="s">
        <v>47</v>
      </c>
      <c r="L14" s="1" t="s">
        <v>137</v>
      </c>
      <c r="M14" s="1" t="s">
        <v>72</v>
      </c>
      <c r="N14" s="1" t="s">
        <v>2836</v>
      </c>
      <c r="O14" s="1" t="s">
        <v>3009</v>
      </c>
      <c r="P14" s="1" t="s">
        <v>107</v>
      </c>
      <c r="Q14" s="1" t="s">
        <v>3010</v>
      </c>
      <c r="R14" s="1" t="s">
        <v>3011</v>
      </c>
      <c r="S14" s="1" t="s">
        <v>3012</v>
      </c>
      <c r="T14" s="1" t="s">
        <v>138</v>
      </c>
      <c r="U14" s="1" t="s">
        <v>130</v>
      </c>
    </row>
    <row r="15" customFormat="false" ht="15" hidden="false" customHeight="true" outlineLevel="0" collapsed="false">
      <c r="A15" s="1" t="s">
        <v>139</v>
      </c>
      <c r="B15" s="1" t="s">
        <v>3013</v>
      </c>
      <c r="C15" s="1" t="s">
        <v>3014</v>
      </c>
      <c r="D15" s="1" t="s">
        <v>140</v>
      </c>
      <c r="E15" s="1" t="s">
        <v>141</v>
      </c>
      <c r="F15" s="1" t="s">
        <v>58</v>
      </c>
      <c r="G15" s="1" t="s">
        <v>88</v>
      </c>
      <c r="H15" s="1" t="s">
        <v>89</v>
      </c>
      <c r="I15" s="1" t="s">
        <v>90</v>
      </c>
      <c r="J15" s="1" t="s">
        <v>46</v>
      </c>
      <c r="K15" s="1" t="s">
        <v>70</v>
      </c>
      <c r="L15" s="1" t="s">
        <v>142</v>
      </c>
      <c r="M15" s="1" t="s">
        <v>49</v>
      </c>
      <c r="N15" s="1" t="s">
        <v>2906</v>
      </c>
      <c r="O15" s="1" t="s">
        <v>3015</v>
      </c>
      <c r="P15" s="1" t="s">
        <v>128</v>
      </c>
      <c r="Q15" s="1" t="s">
        <v>3016</v>
      </c>
      <c r="R15" s="1" t="s">
        <v>3017</v>
      </c>
      <c r="S15" s="1" t="s">
        <v>3018</v>
      </c>
      <c r="T15" s="1" t="s">
        <v>52</v>
      </c>
      <c r="U15" s="1" t="s">
        <v>53</v>
      </c>
    </row>
    <row r="16" customFormat="false" ht="15" hidden="false" customHeight="true" outlineLevel="0" collapsed="false">
      <c r="A16" s="1" t="s">
        <v>143</v>
      </c>
      <c r="B16" s="1" t="s">
        <v>3019</v>
      </c>
      <c r="C16" s="1" t="s">
        <v>3020</v>
      </c>
      <c r="D16" s="1" t="s">
        <v>144</v>
      </c>
      <c r="E16" s="1" t="s">
        <v>145</v>
      </c>
      <c r="F16" s="1" t="s">
        <v>41</v>
      </c>
      <c r="G16" s="1" t="s">
        <v>88</v>
      </c>
      <c r="H16" s="1" t="s">
        <v>44</v>
      </c>
      <c r="I16" s="1" t="s">
        <v>136</v>
      </c>
      <c r="J16" s="1" t="s">
        <v>99</v>
      </c>
      <c r="K16" s="1" t="s">
        <v>105</v>
      </c>
      <c r="L16" s="1" t="s">
        <v>146</v>
      </c>
      <c r="M16" s="1" t="s">
        <v>83</v>
      </c>
      <c r="N16" s="1" t="s">
        <v>2868</v>
      </c>
      <c r="O16" s="1" t="s">
        <v>3021</v>
      </c>
      <c r="P16" s="1" t="s">
        <v>84</v>
      </c>
      <c r="Q16" s="1" t="s">
        <v>3022</v>
      </c>
      <c r="R16" s="1" t="s">
        <v>3023</v>
      </c>
      <c r="S16" s="1" t="s">
        <v>3024</v>
      </c>
      <c r="T16" s="1" t="s">
        <v>52</v>
      </c>
      <c r="U16" s="1" t="s">
        <v>53</v>
      </c>
    </row>
    <row r="17" customFormat="false" ht="15" hidden="false" customHeight="true" outlineLevel="0" collapsed="false">
      <c r="A17" s="1" t="s">
        <v>147</v>
      </c>
      <c r="B17" s="1" t="s">
        <v>3025</v>
      </c>
      <c r="C17" s="1" t="s">
        <v>3026</v>
      </c>
      <c r="D17" s="1" t="s">
        <v>148</v>
      </c>
      <c r="E17" s="1" t="s">
        <v>40</v>
      </c>
      <c r="F17" s="1" t="s">
        <v>58</v>
      </c>
      <c r="G17" s="1" t="s">
        <v>42</v>
      </c>
      <c r="H17" s="1" t="s">
        <v>149</v>
      </c>
      <c r="I17" s="1" t="s">
        <v>150</v>
      </c>
      <c r="J17" s="1" t="s">
        <v>46</v>
      </c>
      <c r="K17" s="1" t="s">
        <v>151</v>
      </c>
      <c r="L17" s="1" t="s">
        <v>152</v>
      </c>
      <c r="M17" s="1" t="s">
        <v>49</v>
      </c>
      <c r="N17" s="1" t="s">
        <v>2815</v>
      </c>
      <c r="O17" s="1" t="s">
        <v>3027</v>
      </c>
      <c r="P17" s="1" t="s">
        <v>66</v>
      </c>
      <c r="Q17" s="1" t="s">
        <v>3028</v>
      </c>
      <c r="R17" s="1" t="s">
        <v>3029</v>
      </c>
      <c r="S17" s="1" t="s">
        <v>3030</v>
      </c>
      <c r="T17" s="1" t="s">
        <v>52</v>
      </c>
      <c r="U17" s="1" t="s">
        <v>53</v>
      </c>
    </row>
    <row r="18" customFormat="false" ht="15" hidden="false" customHeight="true" outlineLevel="0" collapsed="false">
      <c r="A18" s="1" t="s">
        <v>153</v>
      </c>
      <c r="B18" s="1" t="s">
        <v>3031</v>
      </c>
      <c r="C18" s="1" t="s">
        <v>3032</v>
      </c>
      <c r="D18" s="1" t="s">
        <v>154</v>
      </c>
      <c r="E18" s="1" t="s">
        <v>155</v>
      </c>
      <c r="F18" s="1" t="s">
        <v>41</v>
      </c>
      <c r="G18" s="1" t="s">
        <v>78</v>
      </c>
      <c r="H18" s="1" t="s">
        <v>79</v>
      </c>
      <c r="I18" s="1" t="s">
        <v>80</v>
      </c>
      <c r="J18" s="1" t="s">
        <v>46</v>
      </c>
      <c r="K18" s="1" t="s">
        <v>70</v>
      </c>
      <c r="L18" s="1" t="s">
        <v>156</v>
      </c>
      <c r="M18" s="1" t="s">
        <v>72</v>
      </c>
      <c r="N18" s="1" t="s">
        <v>2937</v>
      </c>
      <c r="O18" s="1" t="s">
        <v>3033</v>
      </c>
      <c r="P18" s="1" t="s">
        <v>84</v>
      </c>
      <c r="Q18" s="1" t="s">
        <v>3034</v>
      </c>
      <c r="R18" s="1" t="s">
        <v>3035</v>
      </c>
      <c r="S18" s="1" t="s">
        <v>3036</v>
      </c>
      <c r="T18" s="1" t="s">
        <v>52</v>
      </c>
      <c r="U18" s="1" t="s">
        <v>53</v>
      </c>
    </row>
    <row r="19" customFormat="false" ht="15" hidden="false" customHeight="true" outlineLevel="0" collapsed="false">
      <c r="A19" s="1" t="s">
        <v>157</v>
      </c>
      <c r="B19" s="1" t="s">
        <v>3037</v>
      </c>
      <c r="C19" s="1" t="s">
        <v>3038</v>
      </c>
      <c r="D19" s="1" t="s">
        <v>158</v>
      </c>
      <c r="E19" s="1" t="s">
        <v>159</v>
      </c>
      <c r="F19" s="1" t="s">
        <v>58</v>
      </c>
      <c r="G19" s="1" t="s">
        <v>42</v>
      </c>
      <c r="H19" s="1" t="s">
        <v>44</v>
      </c>
      <c r="I19" s="1" t="s">
        <v>45</v>
      </c>
      <c r="J19" s="1" t="s">
        <v>62</v>
      </c>
      <c r="K19" s="1" t="s">
        <v>81</v>
      </c>
      <c r="L19" s="1" t="s">
        <v>160</v>
      </c>
      <c r="M19" s="1" t="s">
        <v>65</v>
      </c>
      <c r="N19" s="1" t="s">
        <v>2829</v>
      </c>
      <c r="O19" s="1" t="s">
        <v>3039</v>
      </c>
      <c r="P19" s="1" t="s">
        <v>66</v>
      </c>
      <c r="Q19" s="1" t="s">
        <v>3040</v>
      </c>
      <c r="R19" s="1" t="s">
        <v>3041</v>
      </c>
      <c r="S19" s="1" t="s">
        <v>3042</v>
      </c>
      <c r="T19" s="1" t="s">
        <v>52</v>
      </c>
      <c r="U19" s="1" t="s">
        <v>53</v>
      </c>
    </row>
    <row r="20" customFormat="false" ht="15" hidden="false" customHeight="true" outlineLevel="0" collapsed="false">
      <c r="A20" s="1" t="s">
        <v>161</v>
      </c>
      <c r="B20" s="1" t="s">
        <v>3043</v>
      </c>
      <c r="C20" s="1" t="s">
        <v>3044</v>
      </c>
      <c r="D20" s="1" t="s">
        <v>162</v>
      </c>
      <c r="E20" s="1" t="s">
        <v>155</v>
      </c>
      <c r="F20" s="1" t="s">
        <v>121</v>
      </c>
      <c r="G20" s="1" t="s">
        <v>42</v>
      </c>
      <c r="H20" s="1" t="s">
        <v>163</v>
      </c>
      <c r="I20" s="1" t="s">
        <v>164</v>
      </c>
      <c r="J20" s="1" t="s">
        <v>99</v>
      </c>
      <c r="K20" s="1" t="s">
        <v>105</v>
      </c>
      <c r="L20" s="1" t="s">
        <v>165</v>
      </c>
      <c r="M20" s="1" t="s">
        <v>72</v>
      </c>
      <c r="N20" s="1" t="s">
        <v>2868</v>
      </c>
      <c r="O20" s="1" t="s">
        <v>3045</v>
      </c>
      <c r="P20" s="1" t="s">
        <v>66</v>
      </c>
      <c r="Q20" s="1" t="s">
        <v>3046</v>
      </c>
      <c r="R20" s="1" t="s">
        <v>3047</v>
      </c>
      <c r="S20" s="1" t="s">
        <v>3048</v>
      </c>
      <c r="T20" s="1" t="s">
        <v>129</v>
      </c>
      <c r="U20" s="1" t="s">
        <v>93</v>
      </c>
    </row>
    <row r="21" customFormat="false" ht="15" hidden="false" customHeight="true" outlineLevel="0" collapsed="false">
      <c r="A21" s="1" t="s">
        <v>166</v>
      </c>
      <c r="B21" s="1" t="s">
        <v>2943</v>
      </c>
      <c r="C21" s="1" t="s">
        <v>3049</v>
      </c>
      <c r="D21" s="1" t="s">
        <v>167</v>
      </c>
      <c r="E21" s="1" t="s">
        <v>168</v>
      </c>
      <c r="F21" s="1" t="s">
        <v>121</v>
      </c>
      <c r="G21" s="1" t="s">
        <v>88</v>
      </c>
      <c r="H21" s="1" t="s">
        <v>97</v>
      </c>
      <c r="I21" s="1" t="s">
        <v>98</v>
      </c>
      <c r="J21" s="1" t="s">
        <v>46</v>
      </c>
      <c r="K21" s="1" t="s">
        <v>151</v>
      </c>
      <c r="L21" s="1" t="s">
        <v>169</v>
      </c>
      <c r="M21" s="1" t="s">
        <v>49</v>
      </c>
      <c r="N21" s="1" t="s">
        <v>2822</v>
      </c>
      <c r="O21" s="1" t="s">
        <v>3050</v>
      </c>
      <c r="P21" s="1" t="s">
        <v>170</v>
      </c>
      <c r="Q21" s="1" t="s">
        <v>3051</v>
      </c>
      <c r="R21" s="1" t="s">
        <v>3052</v>
      </c>
      <c r="S21" s="1" t="s">
        <v>3053</v>
      </c>
      <c r="T21" s="1" t="s">
        <v>52</v>
      </c>
      <c r="U21" s="1" t="s">
        <v>53</v>
      </c>
    </row>
    <row r="22" customFormat="false" ht="15" hidden="false" customHeight="true" outlineLevel="0" collapsed="false">
      <c r="A22" s="1" t="s">
        <v>172</v>
      </c>
      <c r="B22" s="1" t="s">
        <v>3054</v>
      </c>
      <c r="C22" s="1" t="s">
        <v>3055</v>
      </c>
      <c r="D22" s="1" t="s">
        <v>173</v>
      </c>
      <c r="E22" s="1" t="s">
        <v>115</v>
      </c>
      <c r="F22" s="1" t="s">
        <v>121</v>
      </c>
      <c r="G22" s="1" t="s">
        <v>59</v>
      </c>
      <c r="H22" s="1" t="s">
        <v>174</v>
      </c>
      <c r="I22" s="1" t="s">
        <v>175</v>
      </c>
      <c r="J22" s="1" t="s">
        <v>99</v>
      </c>
      <c r="K22" s="1" t="s">
        <v>105</v>
      </c>
      <c r="L22" s="1" t="s">
        <v>176</v>
      </c>
      <c r="M22" s="1" t="s">
        <v>72</v>
      </c>
      <c r="N22" s="1" t="s">
        <v>2829</v>
      </c>
      <c r="O22" s="1" t="s">
        <v>3056</v>
      </c>
      <c r="P22" s="1" t="s">
        <v>84</v>
      </c>
      <c r="Q22" s="1" t="s">
        <v>3057</v>
      </c>
      <c r="R22" s="1" t="s">
        <v>3058</v>
      </c>
      <c r="S22" s="1" t="s">
        <v>3059</v>
      </c>
      <c r="T22" s="1" t="s">
        <v>52</v>
      </c>
      <c r="U22" s="1" t="s">
        <v>53</v>
      </c>
    </row>
    <row r="23" customFormat="false" ht="15" hidden="false" customHeight="true" outlineLevel="0" collapsed="false">
      <c r="A23" s="1" t="s">
        <v>177</v>
      </c>
      <c r="B23" s="1" t="s">
        <v>3060</v>
      </c>
      <c r="C23" s="1" t="s">
        <v>2923</v>
      </c>
      <c r="D23" s="1" t="s">
        <v>178</v>
      </c>
      <c r="E23" s="1" t="s">
        <v>159</v>
      </c>
      <c r="F23" s="1" t="s">
        <v>41</v>
      </c>
      <c r="G23" s="1" t="s">
        <v>88</v>
      </c>
      <c r="H23" s="1" t="s">
        <v>97</v>
      </c>
      <c r="I23" s="1" t="s">
        <v>98</v>
      </c>
      <c r="J23" s="1" t="s">
        <v>62</v>
      </c>
      <c r="K23" s="1" t="s">
        <v>81</v>
      </c>
      <c r="L23" s="1" t="s">
        <v>179</v>
      </c>
      <c r="M23" s="1" t="s">
        <v>49</v>
      </c>
      <c r="N23" s="1" t="s">
        <v>2937</v>
      </c>
      <c r="O23" s="1" t="s">
        <v>3061</v>
      </c>
      <c r="P23" s="1" t="s">
        <v>180</v>
      </c>
      <c r="Q23" s="1" t="s">
        <v>3062</v>
      </c>
      <c r="R23" s="1" t="s">
        <v>3063</v>
      </c>
      <c r="S23" s="1" t="s">
        <v>3064</v>
      </c>
      <c r="T23" s="1" t="s">
        <v>52</v>
      </c>
      <c r="U23" s="1" t="s">
        <v>53</v>
      </c>
    </row>
    <row r="24" customFormat="false" ht="15" hidden="false" customHeight="true" outlineLevel="0" collapsed="false">
      <c r="A24" s="1" t="s">
        <v>181</v>
      </c>
      <c r="B24" s="1" t="s">
        <v>3065</v>
      </c>
      <c r="C24" s="1" t="s">
        <v>3066</v>
      </c>
      <c r="D24" s="1" t="s">
        <v>182</v>
      </c>
      <c r="E24" s="1" t="s">
        <v>57</v>
      </c>
      <c r="F24" s="1" t="s">
        <v>41</v>
      </c>
      <c r="G24" s="1" t="s">
        <v>78</v>
      </c>
      <c r="H24" s="1" t="s">
        <v>79</v>
      </c>
      <c r="I24" s="1" t="s">
        <v>80</v>
      </c>
      <c r="J24" s="1" t="s">
        <v>46</v>
      </c>
      <c r="K24" s="1" t="s">
        <v>183</v>
      </c>
      <c r="L24" s="1" t="s">
        <v>184</v>
      </c>
      <c r="M24" s="1" t="s">
        <v>83</v>
      </c>
      <c r="N24" s="1" t="s">
        <v>2861</v>
      </c>
      <c r="O24" s="1" t="s">
        <v>3067</v>
      </c>
      <c r="P24" s="1" t="s">
        <v>107</v>
      </c>
      <c r="Q24" s="1" t="s">
        <v>3068</v>
      </c>
      <c r="R24" s="1" t="s">
        <v>3069</v>
      </c>
      <c r="S24" s="1" t="s">
        <v>3070</v>
      </c>
      <c r="T24" s="1" t="s">
        <v>185</v>
      </c>
      <c r="U24" s="1" t="s">
        <v>130</v>
      </c>
    </row>
    <row r="25" customFormat="false" ht="15" hidden="false" customHeight="true" outlineLevel="0" collapsed="false">
      <c r="A25" s="1" t="s">
        <v>186</v>
      </c>
      <c r="B25" s="1" t="s">
        <v>2966</v>
      </c>
      <c r="C25" s="1" t="s">
        <v>3071</v>
      </c>
      <c r="D25" s="1" t="s">
        <v>187</v>
      </c>
      <c r="E25" s="1" t="s">
        <v>145</v>
      </c>
      <c r="F25" s="1" t="s">
        <v>121</v>
      </c>
      <c r="G25" s="1" t="s">
        <v>59</v>
      </c>
      <c r="H25" s="1" t="s">
        <v>174</v>
      </c>
      <c r="I25" s="1" t="s">
        <v>175</v>
      </c>
      <c r="J25" s="1" t="s">
        <v>62</v>
      </c>
      <c r="K25" s="1" t="s">
        <v>188</v>
      </c>
      <c r="L25" s="1" t="s">
        <v>189</v>
      </c>
      <c r="M25" s="1" t="s">
        <v>72</v>
      </c>
      <c r="N25" s="1" t="s">
        <v>2937</v>
      </c>
      <c r="O25" s="1" t="s">
        <v>3072</v>
      </c>
      <c r="P25" s="1" t="s">
        <v>50</v>
      </c>
      <c r="Q25" s="1" t="s">
        <v>3073</v>
      </c>
      <c r="R25" s="1" t="s">
        <v>3074</v>
      </c>
      <c r="S25" s="1" t="s">
        <v>3075</v>
      </c>
      <c r="T25" s="1" t="s">
        <v>52</v>
      </c>
      <c r="U25" s="1" t="s">
        <v>53</v>
      </c>
    </row>
    <row r="26" customFormat="false" ht="15" hidden="false" customHeight="true" outlineLevel="0" collapsed="false">
      <c r="A26" s="1" t="s">
        <v>190</v>
      </c>
      <c r="B26" s="1" t="s">
        <v>3076</v>
      </c>
      <c r="C26" s="1" t="s">
        <v>3077</v>
      </c>
      <c r="D26" s="1" t="s">
        <v>191</v>
      </c>
      <c r="E26" s="1" t="s">
        <v>192</v>
      </c>
      <c r="F26" s="1" t="s">
        <v>41</v>
      </c>
      <c r="G26" s="1" t="s">
        <v>42</v>
      </c>
      <c r="H26" s="1" t="s">
        <v>149</v>
      </c>
      <c r="I26" s="1" t="s">
        <v>150</v>
      </c>
      <c r="J26" s="1" t="s">
        <v>46</v>
      </c>
      <c r="K26" s="1" t="s">
        <v>70</v>
      </c>
      <c r="L26" s="1" t="s">
        <v>193</v>
      </c>
      <c r="M26" s="1" t="s">
        <v>83</v>
      </c>
      <c r="N26" s="1" t="s">
        <v>2937</v>
      </c>
      <c r="O26" s="1" t="s">
        <v>3078</v>
      </c>
      <c r="P26" s="1" t="s">
        <v>84</v>
      </c>
      <c r="Q26" s="1" t="s">
        <v>3079</v>
      </c>
      <c r="R26" s="1" t="s">
        <v>3080</v>
      </c>
      <c r="S26" s="1" t="s">
        <v>3081</v>
      </c>
      <c r="T26" s="1" t="s">
        <v>138</v>
      </c>
      <c r="U26" s="1" t="s">
        <v>93</v>
      </c>
    </row>
    <row r="27" customFormat="false" ht="15" hidden="false" customHeight="true" outlineLevel="0" collapsed="false">
      <c r="A27" s="1" t="s">
        <v>194</v>
      </c>
      <c r="B27" s="1" t="s">
        <v>3082</v>
      </c>
      <c r="C27" s="1" t="s">
        <v>3083</v>
      </c>
      <c r="D27" s="1" t="s">
        <v>195</v>
      </c>
      <c r="E27" s="1" t="s">
        <v>77</v>
      </c>
      <c r="F27" s="1" t="s">
        <v>116</v>
      </c>
      <c r="G27" s="1" t="s">
        <v>59</v>
      </c>
      <c r="H27" s="1" t="s">
        <v>196</v>
      </c>
      <c r="I27" s="1" t="s">
        <v>197</v>
      </c>
      <c r="J27" s="1" t="s">
        <v>99</v>
      </c>
      <c r="K27" s="1" t="s">
        <v>100</v>
      </c>
      <c r="L27" s="1" t="s">
        <v>198</v>
      </c>
      <c r="M27" s="1" t="s">
        <v>72</v>
      </c>
      <c r="N27" s="1" t="s">
        <v>2868</v>
      </c>
      <c r="O27" s="1" t="s">
        <v>3084</v>
      </c>
      <c r="P27" s="1" t="s">
        <v>107</v>
      </c>
      <c r="Q27" s="1" t="s">
        <v>3085</v>
      </c>
      <c r="R27" s="1" t="s">
        <v>3086</v>
      </c>
      <c r="S27" s="1" t="s">
        <v>3087</v>
      </c>
      <c r="T27" s="1" t="s">
        <v>52</v>
      </c>
      <c r="U27" s="1" t="s">
        <v>53</v>
      </c>
    </row>
    <row r="28" customFormat="false" ht="15" hidden="false" customHeight="true" outlineLevel="0" collapsed="false">
      <c r="A28" s="1" t="s">
        <v>199</v>
      </c>
      <c r="B28" s="1" t="s">
        <v>3088</v>
      </c>
      <c r="C28" s="1" t="s">
        <v>3089</v>
      </c>
      <c r="D28" s="1" t="s">
        <v>200</v>
      </c>
      <c r="E28" s="1" t="s">
        <v>192</v>
      </c>
      <c r="F28" s="1" t="s">
        <v>116</v>
      </c>
      <c r="G28" s="1" t="s">
        <v>42</v>
      </c>
      <c r="H28" s="1" t="s">
        <v>163</v>
      </c>
      <c r="I28" s="1" t="s">
        <v>164</v>
      </c>
      <c r="J28" s="1" t="s">
        <v>99</v>
      </c>
      <c r="K28" s="1" t="s">
        <v>201</v>
      </c>
      <c r="L28" s="1" t="s">
        <v>202</v>
      </c>
      <c r="M28" s="1" t="s">
        <v>83</v>
      </c>
      <c r="N28" s="1" t="s">
        <v>2937</v>
      </c>
      <c r="O28" s="1" t="s">
        <v>3090</v>
      </c>
      <c r="P28" s="1" t="s">
        <v>203</v>
      </c>
      <c r="Q28" s="1" t="s">
        <v>3091</v>
      </c>
      <c r="R28" s="1" t="s">
        <v>3092</v>
      </c>
      <c r="S28" s="1" t="s">
        <v>3093</v>
      </c>
      <c r="T28" s="1" t="s">
        <v>52</v>
      </c>
      <c r="U28" s="1" t="s">
        <v>130</v>
      </c>
    </row>
    <row r="29" customFormat="false" ht="15" hidden="false" customHeight="true" outlineLevel="0" collapsed="false">
      <c r="A29" s="1" t="s">
        <v>204</v>
      </c>
      <c r="B29" s="1" t="s">
        <v>3094</v>
      </c>
      <c r="C29" s="1" t="s">
        <v>3095</v>
      </c>
      <c r="D29" s="1" t="s">
        <v>205</v>
      </c>
      <c r="E29" s="1" t="s">
        <v>77</v>
      </c>
      <c r="F29" s="1" t="s">
        <v>58</v>
      </c>
      <c r="G29" s="1" t="s">
        <v>78</v>
      </c>
      <c r="H29" s="1" t="s">
        <v>206</v>
      </c>
      <c r="I29" s="1" t="s">
        <v>207</v>
      </c>
      <c r="J29" s="1" t="s">
        <v>46</v>
      </c>
      <c r="K29" s="1" t="s">
        <v>47</v>
      </c>
      <c r="L29" s="1" t="s">
        <v>208</v>
      </c>
      <c r="M29" s="1" t="s">
        <v>49</v>
      </c>
      <c r="N29" s="1" t="s">
        <v>2829</v>
      </c>
      <c r="O29" s="1" t="s">
        <v>3096</v>
      </c>
      <c r="P29" s="1" t="s">
        <v>84</v>
      </c>
      <c r="Q29" s="1" t="s">
        <v>3097</v>
      </c>
      <c r="R29" s="1" t="s">
        <v>3098</v>
      </c>
      <c r="S29" s="1" t="s">
        <v>3099</v>
      </c>
      <c r="T29" s="1" t="s">
        <v>185</v>
      </c>
      <c r="U29" s="1" t="s">
        <v>130</v>
      </c>
    </row>
    <row r="30" customFormat="false" ht="15" hidden="false" customHeight="true" outlineLevel="0" collapsed="false">
      <c r="A30" s="1" t="s">
        <v>209</v>
      </c>
      <c r="B30" s="1" t="s">
        <v>3082</v>
      </c>
      <c r="C30" s="1" t="s">
        <v>3100</v>
      </c>
      <c r="D30" s="1" t="s">
        <v>210</v>
      </c>
      <c r="E30" s="1" t="s">
        <v>87</v>
      </c>
      <c r="F30" s="1" t="s">
        <v>121</v>
      </c>
      <c r="G30" s="1" t="s">
        <v>88</v>
      </c>
      <c r="H30" s="1" t="s">
        <v>211</v>
      </c>
      <c r="I30" s="1" t="s">
        <v>212</v>
      </c>
      <c r="J30" s="1" t="s">
        <v>99</v>
      </c>
      <c r="K30" s="1" t="s">
        <v>201</v>
      </c>
      <c r="L30" s="1" t="s">
        <v>213</v>
      </c>
      <c r="M30" s="1" t="s">
        <v>49</v>
      </c>
      <c r="N30" s="1" t="s">
        <v>2868</v>
      </c>
      <c r="O30" s="1" t="s">
        <v>3101</v>
      </c>
      <c r="P30" s="1" t="s">
        <v>84</v>
      </c>
      <c r="Q30" s="1" t="s">
        <v>3102</v>
      </c>
      <c r="R30" s="1" t="s">
        <v>3103</v>
      </c>
      <c r="S30" s="1" t="s">
        <v>3104</v>
      </c>
      <c r="T30" s="1" t="s">
        <v>129</v>
      </c>
      <c r="U30" s="1" t="s">
        <v>93</v>
      </c>
    </row>
    <row r="31" customFormat="false" ht="15" hidden="false" customHeight="true" outlineLevel="0" collapsed="false">
      <c r="A31" s="1" t="s">
        <v>214</v>
      </c>
      <c r="B31" s="1" t="s">
        <v>3105</v>
      </c>
      <c r="C31" s="1" t="s">
        <v>3106</v>
      </c>
      <c r="D31" s="1" t="s">
        <v>215</v>
      </c>
      <c r="E31" s="1" t="s">
        <v>168</v>
      </c>
      <c r="F31" s="1" t="s">
        <v>121</v>
      </c>
      <c r="G31" s="1" t="s">
        <v>78</v>
      </c>
      <c r="H31" s="1" t="s">
        <v>216</v>
      </c>
      <c r="I31" s="1" t="s">
        <v>217</v>
      </c>
      <c r="J31" s="1" t="s">
        <v>99</v>
      </c>
      <c r="K31" s="1" t="s">
        <v>201</v>
      </c>
      <c r="L31" s="1" t="s">
        <v>218</v>
      </c>
      <c r="M31" s="1" t="s">
        <v>83</v>
      </c>
      <c r="N31" s="1" t="s">
        <v>2836</v>
      </c>
      <c r="O31" s="1" t="s">
        <v>3107</v>
      </c>
      <c r="P31" s="1" t="s">
        <v>107</v>
      </c>
      <c r="Q31" s="1" t="s">
        <v>3108</v>
      </c>
      <c r="R31" s="1" t="s">
        <v>3109</v>
      </c>
      <c r="S31" s="1" t="s">
        <v>3110</v>
      </c>
      <c r="T31" s="1" t="s">
        <v>52</v>
      </c>
      <c r="U31" s="1" t="s">
        <v>53</v>
      </c>
    </row>
    <row r="32" customFormat="false" ht="15" hidden="false" customHeight="true" outlineLevel="0" collapsed="false">
      <c r="A32" s="1" t="s">
        <v>219</v>
      </c>
      <c r="B32" s="1" t="s">
        <v>3111</v>
      </c>
      <c r="C32" s="1" t="s">
        <v>3112</v>
      </c>
      <c r="D32" s="1" t="s">
        <v>220</v>
      </c>
      <c r="E32" s="1" t="s">
        <v>87</v>
      </c>
      <c r="F32" s="1" t="s">
        <v>116</v>
      </c>
      <c r="G32" s="1" t="s">
        <v>88</v>
      </c>
      <c r="H32" s="1" t="s">
        <v>221</v>
      </c>
      <c r="I32" s="1" t="s">
        <v>222</v>
      </c>
      <c r="J32" s="1" t="s">
        <v>46</v>
      </c>
      <c r="K32" s="1" t="s">
        <v>117</v>
      </c>
      <c r="L32" s="1" t="s">
        <v>223</v>
      </c>
      <c r="M32" s="1" t="s">
        <v>72</v>
      </c>
      <c r="N32" s="1" t="s">
        <v>2836</v>
      </c>
      <c r="O32" s="1" t="s">
        <v>3113</v>
      </c>
      <c r="P32" s="1" t="s">
        <v>203</v>
      </c>
      <c r="Q32" s="1" t="s">
        <v>3114</v>
      </c>
      <c r="R32" s="1" t="s">
        <v>3115</v>
      </c>
      <c r="S32" s="1" t="s">
        <v>3116</v>
      </c>
      <c r="T32" s="1" t="s">
        <v>52</v>
      </c>
      <c r="U32" s="1" t="s">
        <v>53</v>
      </c>
    </row>
    <row r="33" customFormat="false" ht="15" hidden="false" customHeight="true" outlineLevel="0" collapsed="false">
      <c r="A33" s="1" t="s">
        <v>224</v>
      </c>
      <c r="B33" s="1" t="s">
        <v>3117</v>
      </c>
      <c r="C33" s="1" t="s">
        <v>3118</v>
      </c>
      <c r="D33" s="1" t="s">
        <v>225</v>
      </c>
      <c r="E33" s="1" t="s">
        <v>40</v>
      </c>
      <c r="F33" s="1" t="s">
        <v>58</v>
      </c>
      <c r="G33" s="1" t="s">
        <v>88</v>
      </c>
      <c r="H33" s="1" t="s">
        <v>97</v>
      </c>
      <c r="I33" s="1" t="s">
        <v>98</v>
      </c>
      <c r="J33" s="1" t="s">
        <v>46</v>
      </c>
      <c r="K33" s="1" t="s">
        <v>47</v>
      </c>
      <c r="L33" s="1" t="s">
        <v>226</v>
      </c>
      <c r="M33" s="1" t="s">
        <v>49</v>
      </c>
      <c r="N33" s="1" t="s">
        <v>2899</v>
      </c>
      <c r="O33" s="1" t="s">
        <v>3119</v>
      </c>
      <c r="P33" s="1" t="s">
        <v>66</v>
      </c>
      <c r="Q33" s="1" t="s">
        <v>3120</v>
      </c>
      <c r="R33" s="1" t="s">
        <v>3121</v>
      </c>
      <c r="S33" s="1" t="s">
        <v>3122</v>
      </c>
      <c r="T33" s="1" t="s">
        <v>185</v>
      </c>
      <c r="U33" s="1" t="s">
        <v>130</v>
      </c>
    </row>
    <row r="34" customFormat="false" ht="15" hidden="false" customHeight="true" outlineLevel="0" collapsed="false">
      <c r="A34" s="1" t="s">
        <v>227</v>
      </c>
      <c r="B34" s="1" t="s">
        <v>3123</v>
      </c>
      <c r="C34" s="1" t="s">
        <v>3124</v>
      </c>
      <c r="D34" s="1" t="s">
        <v>228</v>
      </c>
      <c r="E34" s="1" t="s">
        <v>155</v>
      </c>
      <c r="F34" s="1" t="s">
        <v>116</v>
      </c>
      <c r="G34" s="1" t="s">
        <v>78</v>
      </c>
      <c r="H34" s="1" t="s">
        <v>110</v>
      </c>
      <c r="I34" s="1" t="s">
        <v>111</v>
      </c>
      <c r="J34" s="1" t="s">
        <v>99</v>
      </c>
      <c r="K34" s="1" t="s">
        <v>201</v>
      </c>
      <c r="L34" s="1" t="s">
        <v>229</v>
      </c>
      <c r="M34" s="1" t="s">
        <v>49</v>
      </c>
      <c r="N34" s="1" t="s">
        <v>2822</v>
      </c>
      <c r="O34" s="1" t="s">
        <v>3125</v>
      </c>
      <c r="Q34" s="1" t="s">
        <v>3126</v>
      </c>
      <c r="R34" s="1" t="s">
        <v>3127</v>
      </c>
      <c r="S34" s="1" t="s">
        <v>3128</v>
      </c>
      <c r="T34" s="1" t="s">
        <v>52</v>
      </c>
      <c r="U34" s="1" t="s">
        <v>53</v>
      </c>
    </row>
    <row r="35" customFormat="false" ht="15" hidden="false" customHeight="true" outlineLevel="0" collapsed="false">
      <c r="A35" s="1" t="s">
        <v>231</v>
      </c>
      <c r="B35" s="1" t="s">
        <v>3129</v>
      </c>
      <c r="C35" s="1" t="s">
        <v>3130</v>
      </c>
      <c r="D35" s="1" t="s">
        <v>232</v>
      </c>
      <c r="E35" s="1" t="s">
        <v>141</v>
      </c>
      <c r="F35" s="1" t="s">
        <v>121</v>
      </c>
      <c r="G35" s="1" t="s">
        <v>88</v>
      </c>
      <c r="H35" s="1" t="s">
        <v>221</v>
      </c>
      <c r="I35" s="1" t="s">
        <v>222</v>
      </c>
      <c r="J35" s="1" t="s">
        <v>62</v>
      </c>
      <c r="K35" s="1" t="s">
        <v>63</v>
      </c>
      <c r="L35" s="1" t="s">
        <v>233</v>
      </c>
      <c r="M35" s="1" t="s">
        <v>65</v>
      </c>
      <c r="N35" s="1" t="s">
        <v>2906</v>
      </c>
      <c r="O35" s="1" t="s">
        <v>3131</v>
      </c>
      <c r="P35" s="1" t="s">
        <v>84</v>
      </c>
      <c r="Q35" s="1" t="s">
        <v>3132</v>
      </c>
      <c r="R35" s="1" t="s">
        <v>3133</v>
      </c>
      <c r="S35" s="1" t="s">
        <v>3134</v>
      </c>
      <c r="T35" s="1" t="s">
        <v>52</v>
      </c>
      <c r="U35" s="1" t="s">
        <v>53</v>
      </c>
    </row>
    <row r="36" customFormat="false" ht="15" hidden="false" customHeight="true" outlineLevel="0" collapsed="false">
      <c r="A36" s="1" t="s">
        <v>234</v>
      </c>
      <c r="B36" s="1" t="s">
        <v>3135</v>
      </c>
      <c r="C36" s="1" t="s">
        <v>3136</v>
      </c>
      <c r="D36" s="1" t="s">
        <v>235</v>
      </c>
      <c r="E36" s="1" t="s">
        <v>141</v>
      </c>
      <c r="F36" s="1" t="s">
        <v>121</v>
      </c>
      <c r="G36" s="1" t="s">
        <v>59</v>
      </c>
      <c r="H36" s="1" t="s">
        <v>125</v>
      </c>
      <c r="I36" s="1" t="s">
        <v>126</v>
      </c>
      <c r="J36" s="1" t="s">
        <v>62</v>
      </c>
      <c r="K36" s="1" t="s">
        <v>91</v>
      </c>
      <c r="L36" s="1" t="s">
        <v>236</v>
      </c>
      <c r="N36" s="1" t="s">
        <v>2868</v>
      </c>
      <c r="O36" s="1" t="s">
        <v>3137</v>
      </c>
      <c r="P36" s="1" t="s">
        <v>50</v>
      </c>
      <c r="Q36" s="1" t="s">
        <v>3138</v>
      </c>
      <c r="R36" s="1" t="s">
        <v>3139</v>
      </c>
      <c r="S36" s="1" t="s">
        <v>3140</v>
      </c>
      <c r="T36" s="1" t="s">
        <v>52</v>
      </c>
      <c r="U36" s="1" t="s">
        <v>53</v>
      </c>
    </row>
    <row r="37" customFormat="false" ht="15" hidden="false" customHeight="true" outlineLevel="0" collapsed="false">
      <c r="A37" s="1" t="s">
        <v>239</v>
      </c>
      <c r="B37" s="1" t="s">
        <v>3141</v>
      </c>
      <c r="C37" s="1" t="s">
        <v>3142</v>
      </c>
      <c r="D37" s="1" t="s">
        <v>240</v>
      </c>
      <c r="E37" s="1" t="s">
        <v>159</v>
      </c>
      <c r="F37" s="1" t="s">
        <v>58</v>
      </c>
      <c r="G37" s="1" t="s">
        <v>88</v>
      </c>
      <c r="H37" s="1" t="s">
        <v>211</v>
      </c>
      <c r="I37" s="1" t="s">
        <v>212</v>
      </c>
      <c r="J37" s="1" t="s">
        <v>62</v>
      </c>
      <c r="K37" s="1" t="s">
        <v>188</v>
      </c>
      <c r="L37" s="1" t="s">
        <v>241</v>
      </c>
      <c r="M37" s="1" t="s">
        <v>49</v>
      </c>
      <c r="N37" s="1" t="s">
        <v>2861</v>
      </c>
      <c r="O37" s="1" t="s">
        <v>3143</v>
      </c>
      <c r="P37" s="1" t="s">
        <v>128</v>
      </c>
      <c r="Q37" s="1" t="s">
        <v>3144</v>
      </c>
      <c r="R37" s="1" t="s">
        <v>3145</v>
      </c>
      <c r="S37" s="1" t="s">
        <v>3146</v>
      </c>
      <c r="T37" s="1" t="s">
        <v>138</v>
      </c>
      <c r="U37" s="1" t="s">
        <v>130</v>
      </c>
    </row>
    <row r="38" customFormat="false" ht="15" hidden="false" customHeight="true" outlineLevel="0" collapsed="false">
      <c r="A38" s="1" t="s">
        <v>242</v>
      </c>
      <c r="B38" s="1" t="s">
        <v>3147</v>
      </c>
      <c r="C38" s="1" t="s">
        <v>3148</v>
      </c>
      <c r="D38" s="1" t="s">
        <v>243</v>
      </c>
      <c r="E38" s="1" t="s">
        <v>168</v>
      </c>
      <c r="F38" s="1" t="s">
        <v>116</v>
      </c>
      <c r="G38" s="1" t="s">
        <v>88</v>
      </c>
      <c r="H38" s="1" t="s">
        <v>89</v>
      </c>
      <c r="I38" s="1" t="s">
        <v>90</v>
      </c>
      <c r="J38" s="1" t="s">
        <v>62</v>
      </c>
      <c r="K38" s="1" t="s">
        <v>188</v>
      </c>
      <c r="L38" s="1" t="s">
        <v>244</v>
      </c>
      <c r="M38" s="1" t="s">
        <v>49</v>
      </c>
      <c r="N38" s="1" t="s">
        <v>2822</v>
      </c>
      <c r="O38" s="1" t="s">
        <v>3149</v>
      </c>
      <c r="P38" s="1" t="s">
        <v>66</v>
      </c>
      <c r="Q38" s="1" t="s">
        <v>3150</v>
      </c>
      <c r="R38" s="1" t="s">
        <v>3151</v>
      </c>
      <c r="S38" s="1" t="s">
        <v>3152</v>
      </c>
      <c r="T38" s="1" t="s">
        <v>52</v>
      </c>
      <c r="U38" s="1" t="s">
        <v>130</v>
      </c>
    </row>
    <row r="39" customFormat="false" ht="15" hidden="false" customHeight="true" outlineLevel="0" collapsed="false">
      <c r="A39" s="1" t="s">
        <v>245</v>
      </c>
      <c r="B39" s="1" t="s">
        <v>3153</v>
      </c>
      <c r="C39" s="1" t="s">
        <v>3153</v>
      </c>
      <c r="D39" s="1" t="s">
        <v>246</v>
      </c>
      <c r="E39" s="1" t="s">
        <v>192</v>
      </c>
      <c r="F39" s="1" t="s">
        <v>41</v>
      </c>
      <c r="G39" s="1" t="s">
        <v>88</v>
      </c>
      <c r="H39" s="1" t="s">
        <v>89</v>
      </c>
      <c r="I39" s="1" t="s">
        <v>90</v>
      </c>
      <c r="J39" s="1" t="s">
        <v>99</v>
      </c>
      <c r="K39" s="1" t="s">
        <v>105</v>
      </c>
      <c r="L39" s="1" t="s">
        <v>247</v>
      </c>
      <c r="M39" s="1" t="s">
        <v>3154</v>
      </c>
      <c r="N39" s="1" t="s">
        <v>2937</v>
      </c>
      <c r="O39" s="1" t="s">
        <v>3155</v>
      </c>
      <c r="P39" s="1" t="s">
        <v>50</v>
      </c>
      <c r="Q39" s="1" t="s">
        <v>3156</v>
      </c>
      <c r="R39" s="1" t="s">
        <v>3157</v>
      </c>
      <c r="S39" s="1" t="s">
        <v>3158</v>
      </c>
      <c r="T39" s="1" t="s">
        <v>52</v>
      </c>
      <c r="U39" s="1" t="s">
        <v>53</v>
      </c>
    </row>
    <row r="40" customFormat="false" ht="15" hidden="false" customHeight="true" outlineLevel="0" collapsed="false">
      <c r="A40" s="1" t="s">
        <v>248</v>
      </c>
      <c r="B40" s="1" t="s">
        <v>3159</v>
      </c>
      <c r="C40" s="1" t="s">
        <v>3160</v>
      </c>
      <c r="D40" s="1" t="s">
        <v>249</v>
      </c>
      <c r="E40" s="1" t="s">
        <v>155</v>
      </c>
      <c r="F40" s="1" t="s">
        <v>116</v>
      </c>
      <c r="G40" s="1" t="s">
        <v>88</v>
      </c>
      <c r="H40" s="1" t="s">
        <v>211</v>
      </c>
      <c r="I40" s="1" t="s">
        <v>212</v>
      </c>
      <c r="J40" s="1" t="s">
        <v>99</v>
      </c>
      <c r="K40" s="1" t="s">
        <v>201</v>
      </c>
      <c r="L40" s="1" t="s">
        <v>250</v>
      </c>
      <c r="M40" s="1" t="s">
        <v>72</v>
      </c>
      <c r="N40" s="1" t="s">
        <v>2906</v>
      </c>
      <c r="O40" s="1" t="s">
        <v>3161</v>
      </c>
      <c r="P40" s="1" t="s">
        <v>203</v>
      </c>
      <c r="Q40" s="1" t="s">
        <v>3162</v>
      </c>
      <c r="R40" s="1" t="s">
        <v>3163</v>
      </c>
      <c r="S40" s="1" t="s">
        <v>3164</v>
      </c>
      <c r="T40" s="1" t="s">
        <v>52</v>
      </c>
      <c r="U40" s="1" t="s">
        <v>53</v>
      </c>
    </row>
    <row r="41" customFormat="false" ht="15" hidden="false" customHeight="true" outlineLevel="0" collapsed="false">
      <c r="A41" s="1" t="s">
        <v>251</v>
      </c>
      <c r="B41" s="1" t="s">
        <v>3165</v>
      </c>
      <c r="C41" s="1" t="s">
        <v>3166</v>
      </c>
      <c r="D41" s="1" t="s">
        <v>252</v>
      </c>
      <c r="E41" s="1" t="s">
        <v>57</v>
      </c>
      <c r="F41" s="1" t="s">
        <v>58</v>
      </c>
      <c r="G41" s="1" t="s">
        <v>88</v>
      </c>
      <c r="H41" s="1" t="s">
        <v>97</v>
      </c>
      <c r="I41" s="1" t="s">
        <v>98</v>
      </c>
      <c r="J41" s="1" t="s">
        <v>99</v>
      </c>
      <c r="K41" s="1" t="s">
        <v>105</v>
      </c>
      <c r="L41" s="1" t="s">
        <v>253</v>
      </c>
      <c r="M41" s="1" t="s">
        <v>72</v>
      </c>
      <c r="N41" s="1" t="s">
        <v>2937</v>
      </c>
      <c r="O41" s="1" t="s">
        <v>3167</v>
      </c>
      <c r="P41" s="1" t="s">
        <v>203</v>
      </c>
      <c r="Q41" s="1" t="s">
        <v>3168</v>
      </c>
      <c r="R41" s="1" t="s">
        <v>3169</v>
      </c>
      <c r="S41" s="1" t="s">
        <v>3170</v>
      </c>
      <c r="T41" s="1" t="s">
        <v>138</v>
      </c>
      <c r="U41" s="1" t="s">
        <v>130</v>
      </c>
    </row>
    <row r="42" customFormat="false" ht="15" hidden="false" customHeight="true" outlineLevel="0" collapsed="false">
      <c r="A42" s="1" t="s">
        <v>254</v>
      </c>
      <c r="B42" s="1" t="s">
        <v>3171</v>
      </c>
      <c r="C42" s="1" t="s">
        <v>3172</v>
      </c>
      <c r="D42" s="1" t="s">
        <v>255</v>
      </c>
      <c r="E42" s="1" t="s">
        <v>69</v>
      </c>
      <c r="F42" s="1" t="s">
        <v>121</v>
      </c>
      <c r="G42" s="1" t="s">
        <v>88</v>
      </c>
      <c r="H42" s="1" t="s">
        <v>44</v>
      </c>
      <c r="I42" s="1" t="s">
        <v>136</v>
      </c>
      <c r="J42" s="1" t="s">
        <v>99</v>
      </c>
      <c r="K42" s="1" t="s">
        <v>105</v>
      </c>
      <c r="L42" s="1" t="s">
        <v>256</v>
      </c>
      <c r="M42" s="1" t="s">
        <v>83</v>
      </c>
      <c r="N42" s="1" t="s">
        <v>2906</v>
      </c>
      <c r="O42" s="1" t="s">
        <v>3173</v>
      </c>
      <c r="P42" s="1" t="s">
        <v>50</v>
      </c>
      <c r="Q42" s="1" t="s">
        <v>3174</v>
      </c>
      <c r="R42" s="1" t="s">
        <v>3175</v>
      </c>
      <c r="S42" s="1" t="s">
        <v>3176</v>
      </c>
      <c r="T42" s="1" t="s">
        <v>52</v>
      </c>
      <c r="U42" s="1" t="s">
        <v>53</v>
      </c>
    </row>
    <row r="43" customFormat="false" ht="15" hidden="false" customHeight="true" outlineLevel="0" collapsed="false">
      <c r="A43" s="1" t="s">
        <v>257</v>
      </c>
      <c r="B43" s="1" t="s">
        <v>3177</v>
      </c>
      <c r="C43" s="1" t="s">
        <v>3178</v>
      </c>
      <c r="D43" s="1" t="s">
        <v>258</v>
      </c>
      <c r="E43" s="1" t="s">
        <v>155</v>
      </c>
      <c r="F43" s="1" t="s">
        <v>58</v>
      </c>
      <c r="G43" s="1" t="s">
        <v>59</v>
      </c>
      <c r="H43" s="1" t="s">
        <v>60</v>
      </c>
      <c r="I43" s="1" t="s">
        <v>61</v>
      </c>
      <c r="J43" s="1" t="s">
        <v>62</v>
      </c>
      <c r="K43" s="1" t="s">
        <v>188</v>
      </c>
      <c r="L43" s="1" t="s">
        <v>259</v>
      </c>
      <c r="M43" s="1" t="s">
        <v>65</v>
      </c>
      <c r="N43" s="1" t="s">
        <v>2861</v>
      </c>
      <c r="O43" s="1" t="s">
        <v>3179</v>
      </c>
      <c r="P43" s="1" t="s">
        <v>66</v>
      </c>
      <c r="Q43" s="1" t="s">
        <v>3180</v>
      </c>
      <c r="R43" s="1" t="s">
        <v>3181</v>
      </c>
      <c r="S43" s="1" t="s">
        <v>3182</v>
      </c>
      <c r="T43" s="1" t="s">
        <v>138</v>
      </c>
      <c r="U43" s="1" t="s">
        <v>93</v>
      </c>
    </row>
    <row r="44" customFormat="false" ht="15" hidden="false" customHeight="true" outlineLevel="0" collapsed="false">
      <c r="A44" s="1" t="s">
        <v>260</v>
      </c>
      <c r="B44" s="1" t="s">
        <v>3183</v>
      </c>
      <c r="C44" s="1" t="s">
        <v>3184</v>
      </c>
      <c r="D44" s="1" t="s">
        <v>261</v>
      </c>
      <c r="E44" s="1" t="s">
        <v>77</v>
      </c>
      <c r="F44" s="1" t="s">
        <v>116</v>
      </c>
      <c r="G44" s="1" t="s">
        <v>59</v>
      </c>
      <c r="H44" s="1" t="s">
        <v>262</v>
      </c>
      <c r="I44" s="1" t="s">
        <v>263</v>
      </c>
      <c r="J44" s="1" t="s">
        <v>99</v>
      </c>
      <c r="K44" s="1" t="s">
        <v>201</v>
      </c>
      <c r="L44" s="1" t="s">
        <v>264</v>
      </c>
      <c r="M44" s="1" t="s">
        <v>83</v>
      </c>
      <c r="N44" s="1" t="s">
        <v>2861</v>
      </c>
      <c r="O44" s="1" t="s">
        <v>3185</v>
      </c>
      <c r="P44" s="1" t="s">
        <v>128</v>
      </c>
      <c r="Q44" s="1" t="s">
        <v>3186</v>
      </c>
      <c r="R44" s="1" t="s">
        <v>3187</v>
      </c>
      <c r="S44" s="1" t="s">
        <v>3188</v>
      </c>
      <c r="T44" s="1" t="s">
        <v>52</v>
      </c>
      <c r="U44" s="1" t="s">
        <v>53</v>
      </c>
    </row>
    <row r="45" customFormat="false" ht="15" hidden="false" customHeight="true" outlineLevel="0" collapsed="false">
      <c r="A45" s="1" t="s">
        <v>265</v>
      </c>
      <c r="B45" s="1" t="s">
        <v>3189</v>
      </c>
      <c r="C45" s="1" t="s">
        <v>3190</v>
      </c>
      <c r="D45" s="1" t="s">
        <v>266</v>
      </c>
      <c r="E45" s="1" t="s">
        <v>141</v>
      </c>
      <c r="F45" s="1" t="s">
        <v>58</v>
      </c>
      <c r="G45" s="1" t="s">
        <v>59</v>
      </c>
      <c r="H45" s="1" t="s">
        <v>60</v>
      </c>
      <c r="I45" s="1" t="s">
        <v>61</v>
      </c>
      <c r="J45" s="1" t="s">
        <v>62</v>
      </c>
      <c r="K45" s="1" t="s">
        <v>81</v>
      </c>
      <c r="L45" s="1" t="s">
        <v>267</v>
      </c>
      <c r="M45" s="1" t="s">
        <v>65</v>
      </c>
      <c r="N45" s="1" t="s">
        <v>2822</v>
      </c>
      <c r="O45" s="1" t="s">
        <v>3191</v>
      </c>
      <c r="P45" s="1" t="s">
        <v>66</v>
      </c>
      <c r="Q45" s="1" t="s">
        <v>3192</v>
      </c>
      <c r="R45" s="1" t="s">
        <v>3193</v>
      </c>
      <c r="S45" s="1" t="s">
        <v>3194</v>
      </c>
      <c r="T45" s="1" t="s">
        <v>52</v>
      </c>
      <c r="U45" s="1" t="s">
        <v>53</v>
      </c>
    </row>
    <row r="46" customFormat="false" ht="15" hidden="false" customHeight="true" outlineLevel="0" collapsed="false">
      <c r="A46" s="1" t="s">
        <v>268</v>
      </c>
      <c r="B46" s="1" t="s">
        <v>3195</v>
      </c>
      <c r="C46" s="1" t="s">
        <v>3196</v>
      </c>
      <c r="D46" s="1" t="s">
        <v>269</v>
      </c>
      <c r="E46" s="1" t="s">
        <v>168</v>
      </c>
      <c r="F46" s="1" t="s">
        <v>58</v>
      </c>
      <c r="G46" s="1" t="s">
        <v>42</v>
      </c>
      <c r="H46" s="1" t="s">
        <v>270</v>
      </c>
      <c r="I46" s="1" t="s">
        <v>271</v>
      </c>
      <c r="J46" s="1" t="s">
        <v>62</v>
      </c>
      <c r="K46" s="1" t="s">
        <v>91</v>
      </c>
      <c r="L46" s="1" t="s">
        <v>272</v>
      </c>
      <c r="M46" s="1" t="s">
        <v>83</v>
      </c>
      <c r="N46" s="1" t="s">
        <v>2899</v>
      </c>
      <c r="O46" s="1" t="s">
        <v>3197</v>
      </c>
      <c r="P46" s="1" t="s">
        <v>203</v>
      </c>
      <c r="Q46" s="1" t="s">
        <v>3198</v>
      </c>
      <c r="R46" s="1" t="s">
        <v>3199</v>
      </c>
      <c r="S46" s="1" t="s">
        <v>3200</v>
      </c>
      <c r="T46" s="1" t="s">
        <v>52</v>
      </c>
      <c r="U46" s="1" t="s">
        <v>53</v>
      </c>
    </row>
    <row r="47" customFormat="false" ht="15" hidden="false" customHeight="true" outlineLevel="0" collapsed="false">
      <c r="A47" s="1" t="s">
        <v>273</v>
      </c>
      <c r="B47" s="1" t="s">
        <v>3201</v>
      </c>
      <c r="C47" s="1" t="s">
        <v>3202</v>
      </c>
      <c r="D47" s="1" t="s">
        <v>274</v>
      </c>
      <c r="E47" s="1" t="s">
        <v>69</v>
      </c>
      <c r="F47" s="1" t="s">
        <v>121</v>
      </c>
      <c r="G47" s="1" t="s">
        <v>59</v>
      </c>
      <c r="H47" s="1" t="s">
        <v>174</v>
      </c>
      <c r="I47" s="1" t="s">
        <v>175</v>
      </c>
      <c r="J47" s="1" t="s">
        <v>46</v>
      </c>
      <c r="K47" s="1" t="s">
        <v>70</v>
      </c>
      <c r="L47" s="1" t="s">
        <v>275</v>
      </c>
      <c r="M47" s="1" t="s">
        <v>49</v>
      </c>
      <c r="N47" s="1" t="s">
        <v>2861</v>
      </c>
      <c r="O47" s="1" t="s">
        <v>3203</v>
      </c>
      <c r="P47" s="1" t="s">
        <v>128</v>
      </c>
      <c r="Q47" s="1" t="s">
        <v>3204</v>
      </c>
      <c r="R47" s="1" t="s">
        <v>3205</v>
      </c>
      <c r="S47" s="1" t="s">
        <v>3206</v>
      </c>
      <c r="T47" s="1" t="s">
        <v>138</v>
      </c>
      <c r="U47" s="1" t="s">
        <v>130</v>
      </c>
    </row>
    <row r="48" customFormat="false" ht="15" hidden="false" customHeight="true" outlineLevel="0" collapsed="false">
      <c r="A48" s="1" t="s">
        <v>276</v>
      </c>
      <c r="B48" s="1" t="s">
        <v>3207</v>
      </c>
      <c r="C48" s="1" t="s">
        <v>3207</v>
      </c>
      <c r="D48" s="1" t="s">
        <v>277</v>
      </c>
      <c r="E48" s="1" t="s">
        <v>87</v>
      </c>
      <c r="F48" s="1" t="s">
        <v>58</v>
      </c>
      <c r="G48" s="1" t="s">
        <v>78</v>
      </c>
      <c r="H48" s="1" t="s">
        <v>216</v>
      </c>
      <c r="I48" s="1" t="s">
        <v>217</v>
      </c>
      <c r="J48" s="1" t="s">
        <v>62</v>
      </c>
      <c r="K48" s="1" t="s">
        <v>188</v>
      </c>
      <c r="L48" s="1" t="s">
        <v>278</v>
      </c>
      <c r="M48" s="1" t="s">
        <v>83</v>
      </c>
      <c r="N48" s="1" t="s">
        <v>2899</v>
      </c>
      <c r="O48" s="1" t="s">
        <v>3208</v>
      </c>
      <c r="P48" s="1" t="s">
        <v>84</v>
      </c>
      <c r="Q48" s="1" t="s">
        <v>3209</v>
      </c>
      <c r="R48" s="1" t="s">
        <v>3210</v>
      </c>
      <c r="S48" s="1" t="s">
        <v>3211</v>
      </c>
      <c r="T48" s="1" t="s">
        <v>129</v>
      </c>
      <c r="U48" s="1" t="s">
        <v>130</v>
      </c>
    </row>
    <row r="49" customFormat="false" ht="15" hidden="false" customHeight="true" outlineLevel="0" collapsed="false">
      <c r="A49" s="1" t="s">
        <v>279</v>
      </c>
      <c r="B49" s="1" t="s">
        <v>3212</v>
      </c>
      <c r="C49" s="1" t="s">
        <v>3213</v>
      </c>
      <c r="D49" s="1" t="s">
        <v>280</v>
      </c>
      <c r="E49" s="1" t="s">
        <v>145</v>
      </c>
      <c r="F49" s="1" t="s">
        <v>116</v>
      </c>
      <c r="G49" s="1" t="s">
        <v>78</v>
      </c>
      <c r="H49" s="1" t="s">
        <v>281</v>
      </c>
      <c r="I49" s="1" t="s">
        <v>282</v>
      </c>
      <c r="J49" s="1" t="s">
        <v>46</v>
      </c>
      <c r="K49" s="1" t="s">
        <v>151</v>
      </c>
      <c r="L49" s="1" t="s">
        <v>283</v>
      </c>
      <c r="M49" s="1" t="s">
        <v>83</v>
      </c>
      <c r="N49" s="1" t="s">
        <v>2861</v>
      </c>
      <c r="O49" s="1" t="s">
        <v>3214</v>
      </c>
      <c r="P49" s="1" t="s">
        <v>203</v>
      </c>
      <c r="Q49" s="1" t="s">
        <v>3215</v>
      </c>
      <c r="R49" s="1" t="s">
        <v>3216</v>
      </c>
      <c r="S49" s="1" t="s">
        <v>3217</v>
      </c>
      <c r="T49" s="1" t="s">
        <v>52</v>
      </c>
      <c r="U49" s="1" t="s">
        <v>53</v>
      </c>
    </row>
    <row r="50" customFormat="false" ht="15" hidden="false" customHeight="true" outlineLevel="0" collapsed="false">
      <c r="A50" s="1" t="s">
        <v>284</v>
      </c>
      <c r="B50" s="1" t="s">
        <v>3218</v>
      </c>
      <c r="C50" s="1" t="s">
        <v>3219</v>
      </c>
      <c r="D50" s="1" t="s">
        <v>285</v>
      </c>
      <c r="E50" s="1" t="s">
        <v>104</v>
      </c>
      <c r="F50" s="1" t="s">
        <v>116</v>
      </c>
      <c r="G50" s="1" t="s">
        <v>88</v>
      </c>
      <c r="H50" s="1" t="s">
        <v>89</v>
      </c>
      <c r="I50" s="1" t="s">
        <v>90</v>
      </c>
      <c r="J50" s="1" t="s">
        <v>62</v>
      </c>
      <c r="K50" s="1" t="s">
        <v>91</v>
      </c>
      <c r="L50" s="1" t="s">
        <v>286</v>
      </c>
      <c r="M50" s="1" t="s">
        <v>49</v>
      </c>
      <c r="N50" s="1" t="s">
        <v>2906</v>
      </c>
      <c r="O50" s="1" t="s">
        <v>3220</v>
      </c>
      <c r="P50" s="1" t="s">
        <v>66</v>
      </c>
      <c r="Q50" s="1" t="s">
        <v>3221</v>
      </c>
      <c r="R50" s="1" t="s">
        <v>3222</v>
      </c>
      <c r="S50" s="1" t="s">
        <v>3223</v>
      </c>
      <c r="T50" s="1" t="s">
        <v>52</v>
      </c>
      <c r="U50" s="1" t="s">
        <v>53</v>
      </c>
    </row>
    <row r="51" customFormat="false" ht="15" hidden="false" customHeight="true" outlineLevel="0" collapsed="false">
      <c r="A51" s="1" t="s">
        <v>287</v>
      </c>
      <c r="B51" s="1" t="s">
        <v>3224</v>
      </c>
      <c r="C51" s="1" t="s">
        <v>3225</v>
      </c>
      <c r="D51" s="1" t="s">
        <v>288</v>
      </c>
      <c r="E51" s="1" t="s">
        <v>155</v>
      </c>
      <c r="F51" s="1" t="s">
        <v>121</v>
      </c>
      <c r="G51" s="1" t="s">
        <v>42</v>
      </c>
      <c r="H51" s="1" t="s">
        <v>163</v>
      </c>
      <c r="I51" s="1" t="s">
        <v>164</v>
      </c>
      <c r="J51" s="1" t="s">
        <v>99</v>
      </c>
      <c r="K51" s="1" t="s">
        <v>105</v>
      </c>
      <c r="L51" s="1" t="s">
        <v>289</v>
      </c>
      <c r="M51" s="1" t="s">
        <v>49</v>
      </c>
      <c r="N51" s="1" t="s">
        <v>2899</v>
      </c>
      <c r="O51" s="1" t="s">
        <v>3226</v>
      </c>
      <c r="P51" s="1" t="s">
        <v>128</v>
      </c>
      <c r="Q51" s="1" t="s">
        <v>3227</v>
      </c>
      <c r="R51" s="1" t="s">
        <v>3228</v>
      </c>
      <c r="S51" s="1" t="s">
        <v>3229</v>
      </c>
      <c r="T51" s="1" t="s">
        <v>52</v>
      </c>
      <c r="U51" s="1" t="s">
        <v>53</v>
      </c>
    </row>
    <row r="52" customFormat="false" ht="15" hidden="false" customHeight="true" outlineLevel="0" collapsed="false">
      <c r="A52" s="1" t="s">
        <v>290</v>
      </c>
      <c r="B52" s="1" t="s">
        <v>3230</v>
      </c>
      <c r="C52" s="1" t="s">
        <v>3231</v>
      </c>
      <c r="D52" s="1" t="s">
        <v>291</v>
      </c>
      <c r="E52" s="1" t="s">
        <v>159</v>
      </c>
      <c r="F52" s="1" t="s">
        <v>41</v>
      </c>
      <c r="G52" s="1" t="s">
        <v>59</v>
      </c>
      <c r="H52" s="1" t="s">
        <v>125</v>
      </c>
      <c r="I52" s="1" t="s">
        <v>126</v>
      </c>
      <c r="J52" s="1" t="s">
        <v>99</v>
      </c>
      <c r="K52" s="1" t="s">
        <v>105</v>
      </c>
      <c r="L52" s="1" t="s">
        <v>292</v>
      </c>
      <c r="M52" s="1" t="s">
        <v>83</v>
      </c>
      <c r="N52" s="1" t="s">
        <v>2836</v>
      </c>
      <c r="O52" s="1" t="s">
        <v>3232</v>
      </c>
      <c r="P52" s="1" t="s">
        <v>107</v>
      </c>
      <c r="Q52" s="1" t="s">
        <v>3233</v>
      </c>
      <c r="R52" s="1" t="s">
        <v>3234</v>
      </c>
      <c r="S52" s="1" t="s">
        <v>3235</v>
      </c>
      <c r="T52" s="1" t="s">
        <v>52</v>
      </c>
      <c r="U52" s="1" t="s">
        <v>53</v>
      </c>
    </row>
    <row r="53" customFormat="false" ht="15" hidden="false" customHeight="true" outlineLevel="0" collapsed="false">
      <c r="A53" s="1" t="s">
        <v>293</v>
      </c>
      <c r="B53" s="1" t="s">
        <v>3236</v>
      </c>
      <c r="C53" s="1" t="s">
        <v>3237</v>
      </c>
      <c r="D53" s="1" t="s">
        <v>294</v>
      </c>
      <c r="E53" s="1" t="s">
        <v>87</v>
      </c>
      <c r="F53" s="1" t="s">
        <v>116</v>
      </c>
      <c r="G53" s="1" t="s">
        <v>78</v>
      </c>
      <c r="H53" s="1" t="s">
        <v>79</v>
      </c>
      <c r="I53" s="1" t="s">
        <v>80</v>
      </c>
      <c r="J53" s="1" t="s">
        <v>46</v>
      </c>
      <c r="K53" s="1" t="s">
        <v>70</v>
      </c>
      <c r="L53" s="1" t="s">
        <v>295</v>
      </c>
      <c r="M53" s="1" t="s">
        <v>83</v>
      </c>
      <c r="N53" s="1" t="s">
        <v>2815</v>
      </c>
      <c r="O53" s="1" t="s">
        <v>3238</v>
      </c>
      <c r="P53" s="1" t="s">
        <v>66</v>
      </c>
      <c r="Q53" s="1" t="s">
        <v>3239</v>
      </c>
      <c r="R53" s="1" t="s">
        <v>3240</v>
      </c>
      <c r="S53" s="1" t="s">
        <v>3241</v>
      </c>
      <c r="T53" s="1" t="s">
        <v>52</v>
      </c>
      <c r="U53" s="1" t="s">
        <v>53</v>
      </c>
    </row>
    <row r="54" customFormat="false" ht="15" hidden="false" customHeight="true" outlineLevel="0" collapsed="false">
      <c r="A54" s="1" t="s">
        <v>296</v>
      </c>
      <c r="B54" s="1" t="s">
        <v>3242</v>
      </c>
      <c r="C54" s="1" t="s">
        <v>3243</v>
      </c>
      <c r="D54" s="1" t="s">
        <v>297</v>
      </c>
      <c r="E54" s="1" t="s">
        <v>298</v>
      </c>
      <c r="F54" s="1" t="s">
        <v>58</v>
      </c>
      <c r="G54" s="1" t="s">
        <v>42</v>
      </c>
      <c r="H54" s="1" t="s">
        <v>44</v>
      </c>
      <c r="I54" s="1" t="s">
        <v>45</v>
      </c>
      <c r="J54" s="1" t="s">
        <v>62</v>
      </c>
      <c r="K54" s="1" t="s">
        <v>91</v>
      </c>
      <c r="L54" s="1" t="s">
        <v>299</v>
      </c>
      <c r="M54" s="1" t="s">
        <v>72</v>
      </c>
      <c r="N54" s="1" t="s">
        <v>2899</v>
      </c>
      <c r="O54" s="1" t="s">
        <v>3244</v>
      </c>
      <c r="P54" s="1" t="s">
        <v>66</v>
      </c>
      <c r="Q54" s="1" t="s">
        <v>3245</v>
      </c>
      <c r="R54" s="1" t="s">
        <v>3246</v>
      </c>
      <c r="S54" s="1" t="s">
        <v>3247</v>
      </c>
      <c r="T54" s="1" t="s">
        <v>185</v>
      </c>
      <c r="U54" s="1" t="s">
        <v>93</v>
      </c>
    </row>
    <row r="55" customFormat="false" ht="15" hidden="false" customHeight="true" outlineLevel="0" collapsed="false">
      <c r="A55" s="1" t="s">
        <v>300</v>
      </c>
      <c r="B55" s="1" t="s">
        <v>3248</v>
      </c>
      <c r="C55" s="1" t="s">
        <v>3249</v>
      </c>
      <c r="D55" s="1" t="s">
        <v>301</v>
      </c>
      <c r="E55" s="1" t="s">
        <v>298</v>
      </c>
      <c r="F55" s="1" t="s">
        <v>121</v>
      </c>
      <c r="G55" s="1" t="s">
        <v>88</v>
      </c>
      <c r="H55" s="1" t="s">
        <v>211</v>
      </c>
      <c r="I55" s="1" t="s">
        <v>212</v>
      </c>
      <c r="J55" s="1" t="s">
        <v>46</v>
      </c>
      <c r="K55" s="1" t="s">
        <v>151</v>
      </c>
      <c r="L55" s="1" t="s">
        <v>302</v>
      </c>
      <c r="M55" s="1" t="s">
        <v>72</v>
      </c>
      <c r="N55" s="1" t="s">
        <v>2829</v>
      </c>
      <c r="O55" s="1" t="s">
        <v>3250</v>
      </c>
      <c r="P55" s="1" t="s">
        <v>107</v>
      </c>
      <c r="Q55" s="1" t="s">
        <v>3251</v>
      </c>
      <c r="R55" s="1" t="s">
        <v>3252</v>
      </c>
      <c r="S55" s="1" t="s">
        <v>3253</v>
      </c>
      <c r="T55" s="1" t="s">
        <v>52</v>
      </c>
      <c r="U55" s="1" t="s">
        <v>53</v>
      </c>
    </row>
    <row r="56" customFormat="false" ht="15" hidden="false" customHeight="true" outlineLevel="0" collapsed="false">
      <c r="A56" s="1" t="s">
        <v>303</v>
      </c>
      <c r="B56" s="1" t="s">
        <v>3254</v>
      </c>
      <c r="C56" s="1" t="s">
        <v>3255</v>
      </c>
      <c r="D56" s="1" t="s">
        <v>304</v>
      </c>
      <c r="E56" s="1" t="s">
        <v>77</v>
      </c>
      <c r="F56" s="1" t="s">
        <v>116</v>
      </c>
      <c r="G56" s="1" t="s">
        <v>78</v>
      </c>
      <c r="H56" s="1" t="s">
        <v>281</v>
      </c>
      <c r="I56" s="1" t="s">
        <v>282</v>
      </c>
      <c r="J56" s="1" t="s">
        <v>46</v>
      </c>
      <c r="K56" s="1" t="s">
        <v>117</v>
      </c>
      <c r="L56" s="1" t="s">
        <v>305</v>
      </c>
      <c r="M56" s="1" t="s">
        <v>65</v>
      </c>
      <c r="N56" s="1" t="s">
        <v>2861</v>
      </c>
      <c r="O56" s="1" t="s">
        <v>3256</v>
      </c>
      <c r="P56" s="1" t="s">
        <v>203</v>
      </c>
      <c r="Q56" s="1" t="s">
        <v>3257</v>
      </c>
      <c r="R56" s="1" t="s">
        <v>3258</v>
      </c>
      <c r="S56" s="1" t="s">
        <v>3259</v>
      </c>
      <c r="T56" s="1" t="s">
        <v>185</v>
      </c>
      <c r="U56" s="1" t="s">
        <v>93</v>
      </c>
    </row>
    <row r="57" customFormat="false" ht="15" hidden="false" customHeight="true" outlineLevel="0" collapsed="false">
      <c r="A57" s="1" t="s">
        <v>306</v>
      </c>
      <c r="B57" s="1" t="s">
        <v>3260</v>
      </c>
      <c r="C57" s="1" t="s">
        <v>3261</v>
      </c>
      <c r="D57" s="1" t="s">
        <v>307</v>
      </c>
      <c r="E57" s="1" t="s">
        <v>57</v>
      </c>
      <c r="F57" s="1" t="s">
        <v>58</v>
      </c>
      <c r="G57" s="1" t="s">
        <v>78</v>
      </c>
      <c r="H57" s="1" t="s">
        <v>110</v>
      </c>
      <c r="I57" s="1" t="s">
        <v>111</v>
      </c>
      <c r="J57" s="1" t="s">
        <v>99</v>
      </c>
      <c r="K57" s="1" t="s">
        <v>308</v>
      </c>
      <c r="L57" s="1" t="s">
        <v>309</v>
      </c>
      <c r="M57" s="1" t="s">
        <v>65</v>
      </c>
      <c r="N57" s="1" t="s">
        <v>2822</v>
      </c>
      <c r="O57" s="1" t="s">
        <v>3262</v>
      </c>
      <c r="P57" s="1" t="s">
        <v>84</v>
      </c>
      <c r="Q57" s="1" t="s">
        <v>3263</v>
      </c>
      <c r="R57" s="1" t="s">
        <v>3264</v>
      </c>
      <c r="S57" s="1" t="s">
        <v>3265</v>
      </c>
      <c r="T57" s="1" t="s">
        <v>52</v>
      </c>
      <c r="U57" s="1" t="s">
        <v>53</v>
      </c>
    </row>
    <row r="58" customFormat="false" ht="15" hidden="false" customHeight="true" outlineLevel="0" collapsed="false">
      <c r="A58" s="1" t="s">
        <v>310</v>
      </c>
      <c r="B58" s="1" t="s">
        <v>3266</v>
      </c>
      <c r="C58" s="1" t="s">
        <v>3267</v>
      </c>
      <c r="D58" s="1" t="s">
        <v>311</v>
      </c>
      <c r="E58" s="1" t="s">
        <v>40</v>
      </c>
      <c r="F58" s="1" t="s">
        <v>41</v>
      </c>
      <c r="G58" s="1" t="s">
        <v>78</v>
      </c>
      <c r="H58" s="1" t="s">
        <v>206</v>
      </c>
      <c r="I58" s="1" t="s">
        <v>207</v>
      </c>
      <c r="J58" s="1" t="s">
        <v>46</v>
      </c>
      <c r="K58" s="1" t="s">
        <v>183</v>
      </c>
      <c r="L58" s="1" t="s">
        <v>312</v>
      </c>
      <c r="M58" s="1" t="s">
        <v>49</v>
      </c>
      <c r="N58" s="1" t="s">
        <v>2822</v>
      </c>
      <c r="O58" s="1" t="s">
        <v>3268</v>
      </c>
      <c r="P58" s="1" t="s">
        <v>66</v>
      </c>
      <c r="Q58" s="1" t="s">
        <v>3269</v>
      </c>
      <c r="R58" s="1" t="s">
        <v>3270</v>
      </c>
      <c r="S58" s="1" t="s">
        <v>3271</v>
      </c>
      <c r="T58" s="1" t="s">
        <v>129</v>
      </c>
      <c r="U58" s="1" t="s">
        <v>93</v>
      </c>
    </row>
    <row r="59" customFormat="false" ht="15" hidden="false" customHeight="true" outlineLevel="0" collapsed="false">
      <c r="A59" s="1" t="s">
        <v>313</v>
      </c>
      <c r="B59" s="1" t="s">
        <v>3272</v>
      </c>
      <c r="C59" s="1" t="s">
        <v>3273</v>
      </c>
      <c r="D59" s="1" t="s">
        <v>314</v>
      </c>
      <c r="E59" s="1" t="s">
        <v>141</v>
      </c>
      <c r="F59" s="1" t="s">
        <v>41</v>
      </c>
      <c r="G59" s="1" t="s">
        <v>88</v>
      </c>
      <c r="H59" s="1" t="s">
        <v>221</v>
      </c>
      <c r="I59" s="1" t="s">
        <v>222</v>
      </c>
      <c r="J59" s="1" t="s">
        <v>62</v>
      </c>
      <c r="K59" s="1" t="s">
        <v>91</v>
      </c>
      <c r="L59" s="1" t="s">
        <v>315</v>
      </c>
      <c r="M59" s="1" t="s">
        <v>65</v>
      </c>
      <c r="N59" s="1" t="s">
        <v>2829</v>
      </c>
      <c r="O59" s="1" t="s">
        <v>3274</v>
      </c>
      <c r="P59" s="1" t="s">
        <v>66</v>
      </c>
      <c r="Q59" s="1" t="s">
        <v>3275</v>
      </c>
      <c r="R59" s="1" t="s">
        <v>3276</v>
      </c>
      <c r="S59" s="1" t="s">
        <v>3277</v>
      </c>
      <c r="T59" s="1" t="s">
        <v>52</v>
      </c>
      <c r="U59" s="1" t="s">
        <v>53</v>
      </c>
    </row>
    <row r="60" customFormat="false" ht="15" hidden="false" customHeight="true" outlineLevel="0" collapsed="false">
      <c r="A60" s="1" t="s">
        <v>316</v>
      </c>
      <c r="B60" s="1" t="s">
        <v>3278</v>
      </c>
      <c r="C60" s="1" t="s">
        <v>3279</v>
      </c>
      <c r="D60" s="1" t="s">
        <v>317</v>
      </c>
      <c r="E60" s="1" t="s">
        <v>69</v>
      </c>
      <c r="F60" s="1" t="s">
        <v>121</v>
      </c>
      <c r="G60" s="1" t="s">
        <v>42</v>
      </c>
      <c r="H60" s="1" t="s">
        <v>44</v>
      </c>
      <c r="I60" s="1" t="s">
        <v>45</v>
      </c>
      <c r="J60" s="1" t="s">
        <v>46</v>
      </c>
      <c r="K60" s="1" t="s">
        <v>151</v>
      </c>
      <c r="L60" s="1" t="s">
        <v>318</v>
      </c>
      <c r="N60" s="1" t="s">
        <v>2899</v>
      </c>
      <c r="O60" s="1" t="s">
        <v>3280</v>
      </c>
      <c r="P60" s="1" t="s">
        <v>203</v>
      </c>
      <c r="Q60" s="1" t="s">
        <v>3281</v>
      </c>
      <c r="R60" s="1" t="s">
        <v>3282</v>
      </c>
      <c r="S60" s="1" t="s">
        <v>3283</v>
      </c>
      <c r="T60" s="1" t="s">
        <v>138</v>
      </c>
      <c r="U60" s="1" t="s">
        <v>130</v>
      </c>
    </row>
    <row r="61" customFormat="false" ht="15" hidden="false" customHeight="true" outlineLevel="0" collapsed="false">
      <c r="A61" s="1" t="s">
        <v>319</v>
      </c>
      <c r="B61" s="1" t="s">
        <v>3284</v>
      </c>
      <c r="C61" s="1" t="s">
        <v>3285</v>
      </c>
      <c r="D61" s="1" t="s">
        <v>320</v>
      </c>
      <c r="E61" s="1" t="s">
        <v>141</v>
      </c>
      <c r="F61" s="1" t="s">
        <v>116</v>
      </c>
      <c r="G61" s="1" t="s">
        <v>59</v>
      </c>
      <c r="H61" s="1" t="s">
        <v>196</v>
      </c>
      <c r="I61" s="1" t="s">
        <v>197</v>
      </c>
      <c r="J61" s="1" t="s">
        <v>46</v>
      </c>
      <c r="K61" s="1" t="s">
        <v>117</v>
      </c>
      <c r="L61" s="1" t="s">
        <v>321</v>
      </c>
      <c r="M61" s="1" t="s">
        <v>65</v>
      </c>
      <c r="N61" s="1" t="s">
        <v>2829</v>
      </c>
      <c r="O61" s="1" t="s">
        <v>3286</v>
      </c>
      <c r="P61" s="1" t="s">
        <v>50</v>
      </c>
      <c r="Q61" s="1" t="s">
        <v>3287</v>
      </c>
      <c r="R61" s="1" t="s">
        <v>3288</v>
      </c>
      <c r="S61" s="1" t="s">
        <v>3289</v>
      </c>
      <c r="T61" s="1" t="s">
        <v>52</v>
      </c>
      <c r="U61" s="1" t="s">
        <v>93</v>
      </c>
    </row>
    <row r="62" customFormat="false" ht="15" hidden="false" customHeight="true" outlineLevel="0" collapsed="false">
      <c r="A62" s="1" t="s">
        <v>322</v>
      </c>
      <c r="B62" s="1" t="s">
        <v>3290</v>
      </c>
      <c r="C62" s="1" t="s">
        <v>3291</v>
      </c>
      <c r="D62" s="1" t="s">
        <v>323</v>
      </c>
      <c r="E62" s="1" t="s">
        <v>87</v>
      </c>
      <c r="F62" s="1" t="s">
        <v>116</v>
      </c>
      <c r="G62" s="1" t="s">
        <v>59</v>
      </c>
      <c r="H62" s="1" t="s">
        <v>196</v>
      </c>
      <c r="I62" s="1" t="s">
        <v>197</v>
      </c>
      <c r="J62" s="1" t="s">
        <v>46</v>
      </c>
      <c r="K62" s="1" t="s">
        <v>117</v>
      </c>
      <c r="L62" s="1" t="s">
        <v>324</v>
      </c>
      <c r="M62" s="1" t="s">
        <v>65</v>
      </c>
      <c r="N62" s="1" t="s">
        <v>2822</v>
      </c>
      <c r="O62" s="1" t="s">
        <v>3292</v>
      </c>
      <c r="P62" s="1" t="s">
        <v>50</v>
      </c>
      <c r="Q62" s="1" t="s">
        <v>3293</v>
      </c>
      <c r="R62" s="1" t="s">
        <v>3294</v>
      </c>
      <c r="S62" s="1" t="s">
        <v>3295</v>
      </c>
      <c r="T62" s="1" t="s">
        <v>129</v>
      </c>
      <c r="U62" s="1" t="s">
        <v>93</v>
      </c>
    </row>
    <row r="63" customFormat="false" ht="15" hidden="false" customHeight="true" outlineLevel="0" collapsed="false">
      <c r="A63" s="1" t="s">
        <v>325</v>
      </c>
      <c r="B63" s="1" t="s">
        <v>3296</v>
      </c>
      <c r="C63" s="1" t="s">
        <v>3297</v>
      </c>
      <c r="D63" s="1" t="s">
        <v>326</v>
      </c>
      <c r="E63" s="1" t="s">
        <v>96</v>
      </c>
      <c r="F63" s="1" t="s">
        <v>121</v>
      </c>
      <c r="G63" s="1" t="s">
        <v>59</v>
      </c>
      <c r="H63" s="1" t="s">
        <v>174</v>
      </c>
      <c r="I63" s="1" t="s">
        <v>175</v>
      </c>
      <c r="J63" s="1" t="s">
        <v>62</v>
      </c>
      <c r="K63" s="1" t="s">
        <v>188</v>
      </c>
      <c r="L63" s="1" t="s">
        <v>327</v>
      </c>
      <c r="M63" s="1" t="s">
        <v>83</v>
      </c>
      <c r="N63" s="1" t="s">
        <v>2836</v>
      </c>
      <c r="O63" s="1" t="s">
        <v>3298</v>
      </c>
      <c r="P63" s="1" t="s">
        <v>66</v>
      </c>
      <c r="Q63" s="1" t="s">
        <v>3298</v>
      </c>
      <c r="R63" s="1" t="s">
        <v>3299</v>
      </c>
      <c r="S63" s="1" t="s">
        <v>3300</v>
      </c>
      <c r="T63" s="1" t="s">
        <v>52</v>
      </c>
      <c r="U63" s="1" t="s">
        <v>53</v>
      </c>
    </row>
    <row r="64" customFormat="false" ht="15" hidden="false" customHeight="true" outlineLevel="0" collapsed="false">
      <c r="A64" s="1" t="s">
        <v>328</v>
      </c>
      <c r="B64" s="1" t="s">
        <v>3301</v>
      </c>
      <c r="C64" s="1" t="s">
        <v>3302</v>
      </c>
      <c r="D64" s="1" t="s">
        <v>329</v>
      </c>
      <c r="E64" s="1" t="s">
        <v>159</v>
      </c>
      <c r="F64" s="1" t="s">
        <v>121</v>
      </c>
      <c r="G64" s="1" t="s">
        <v>42</v>
      </c>
      <c r="H64" s="1" t="s">
        <v>44</v>
      </c>
      <c r="I64" s="1" t="s">
        <v>45</v>
      </c>
      <c r="J64" s="1" t="s">
        <v>99</v>
      </c>
      <c r="K64" s="1" t="s">
        <v>201</v>
      </c>
      <c r="L64" s="1" t="s">
        <v>330</v>
      </c>
      <c r="M64" s="1" t="s">
        <v>83</v>
      </c>
      <c r="N64" s="1" t="s">
        <v>2899</v>
      </c>
      <c r="O64" s="1" t="s">
        <v>3303</v>
      </c>
      <c r="P64" s="1" t="s">
        <v>50</v>
      </c>
      <c r="Q64" s="1" t="s">
        <v>3304</v>
      </c>
      <c r="R64" s="1" t="s">
        <v>3305</v>
      </c>
      <c r="S64" s="1" t="s">
        <v>3306</v>
      </c>
      <c r="T64" s="1" t="s">
        <v>52</v>
      </c>
      <c r="U64" s="1" t="s">
        <v>53</v>
      </c>
    </row>
    <row r="65" customFormat="false" ht="15" hidden="false" customHeight="true" outlineLevel="0" collapsed="false">
      <c r="A65" s="1" t="s">
        <v>331</v>
      </c>
      <c r="B65" s="1" t="s">
        <v>3307</v>
      </c>
      <c r="C65" s="1" t="s">
        <v>3308</v>
      </c>
      <c r="D65" s="1" t="s">
        <v>332</v>
      </c>
      <c r="E65" s="1" t="s">
        <v>159</v>
      </c>
      <c r="F65" s="1" t="s">
        <v>121</v>
      </c>
      <c r="G65" s="1" t="s">
        <v>42</v>
      </c>
      <c r="H65" s="1" t="s">
        <v>270</v>
      </c>
      <c r="I65" s="1" t="s">
        <v>271</v>
      </c>
      <c r="J65" s="1" t="s">
        <v>46</v>
      </c>
      <c r="K65" s="1" t="s">
        <v>183</v>
      </c>
      <c r="L65" s="1" t="s">
        <v>333</v>
      </c>
      <c r="M65" s="1" t="s">
        <v>65</v>
      </c>
      <c r="N65" s="1" t="s">
        <v>2868</v>
      </c>
      <c r="O65" s="1" t="s">
        <v>3309</v>
      </c>
      <c r="P65" s="1" t="s">
        <v>107</v>
      </c>
      <c r="Q65" s="1" t="s">
        <v>3310</v>
      </c>
      <c r="R65" s="1" t="s">
        <v>3311</v>
      </c>
      <c r="S65" s="1" t="s">
        <v>3312</v>
      </c>
      <c r="T65" s="1" t="s">
        <v>52</v>
      </c>
      <c r="U65" s="1" t="s">
        <v>53</v>
      </c>
    </row>
    <row r="66" customFormat="false" ht="15" hidden="false" customHeight="true" outlineLevel="0" collapsed="false">
      <c r="A66" s="1" t="s">
        <v>334</v>
      </c>
      <c r="B66" s="1" t="s">
        <v>3313</v>
      </c>
      <c r="C66" s="1" t="s">
        <v>3314</v>
      </c>
      <c r="D66" s="1" t="s">
        <v>335</v>
      </c>
      <c r="E66" s="1" t="s">
        <v>155</v>
      </c>
      <c r="F66" s="1" t="s">
        <v>116</v>
      </c>
      <c r="G66" s="1" t="s">
        <v>59</v>
      </c>
      <c r="H66" s="1" t="s">
        <v>262</v>
      </c>
      <c r="I66" s="1" t="s">
        <v>263</v>
      </c>
      <c r="J66" s="1" t="s">
        <v>46</v>
      </c>
      <c r="K66" s="1" t="s">
        <v>47</v>
      </c>
      <c r="L66" s="1" t="s">
        <v>336</v>
      </c>
      <c r="M66" s="1" t="s">
        <v>72</v>
      </c>
      <c r="N66" s="1" t="s">
        <v>2906</v>
      </c>
      <c r="O66" s="1" t="s">
        <v>3315</v>
      </c>
      <c r="P66" s="1" t="s">
        <v>66</v>
      </c>
      <c r="Q66" s="1" t="s">
        <v>3316</v>
      </c>
      <c r="R66" s="1" t="s">
        <v>3317</v>
      </c>
      <c r="S66" s="1" t="s">
        <v>3318</v>
      </c>
      <c r="T66" s="1" t="s">
        <v>129</v>
      </c>
      <c r="U66" s="1" t="s">
        <v>130</v>
      </c>
    </row>
    <row r="67" customFormat="false" ht="15" hidden="false" customHeight="true" outlineLevel="0" collapsed="false">
      <c r="A67" s="1" t="s">
        <v>337</v>
      </c>
      <c r="B67" s="1" t="s">
        <v>3319</v>
      </c>
      <c r="C67" s="1" t="s">
        <v>3320</v>
      </c>
      <c r="D67" s="1" t="s">
        <v>338</v>
      </c>
      <c r="E67" s="1" t="s">
        <v>57</v>
      </c>
      <c r="F67" s="1" t="s">
        <v>121</v>
      </c>
      <c r="G67" s="1" t="s">
        <v>88</v>
      </c>
      <c r="H67" s="1" t="s">
        <v>89</v>
      </c>
      <c r="I67" s="1" t="s">
        <v>90</v>
      </c>
      <c r="J67" s="1" t="s">
        <v>46</v>
      </c>
      <c r="K67" s="1" t="s">
        <v>47</v>
      </c>
      <c r="L67" s="1" t="s">
        <v>339</v>
      </c>
      <c r="M67" s="1" t="s">
        <v>49</v>
      </c>
      <c r="N67" s="1" t="s">
        <v>2836</v>
      </c>
      <c r="O67" s="1" t="s">
        <v>3321</v>
      </c>
      <c r="P67" s="1" t="s">
        <v>128</v>
      </c>
      <c r="Q67" s="1" t="s">
        <v>3322</v>
      </c>
      <c r="R67" s="1" t="s">
        <v>3323</v>
      </c>
      <c r="S67" s="1" t="s">
        <v>3324</v>
      </c>
      <c r="T67" s="1" t="s">
        <v>52</v>
      </c>
      <c r="U67" s="1" t="s">
        <v>53</v>
      </c>
    </row>
    <row r="68" customFormat="false" ht="15" hidden="false" customHeight="true" outlineLevel="0" collapsed="false">
      <c r="A68" s="1" t="s">
        <v>340</v>
      </c>
      <c r="B68" s="1" t="s">
        <v>3325</v>
      </c>
      <c r="C68" s="1" t="s">
        <v>3326</v>
      </c>
      <c r="D68" s="1" t="s">
        <v>341</v>
      </c>
      <c r="E68" s="1" t="s">
        <v>40</v>
      </c>
      <c r="F68" s="1" t="s">
        <v>58</v>
      </c>
      <c r="G68" s="1" t="s">
        <v>78</v>
      </c>
      <c r="H68" s="1" t="s">
        <v>281</v>
      </c>
      <c r="I68" s="1" t="s">
        <v>282</v>
      </c>
      <c r="J68" s="1" t="s">
        <v>99</v>
      </c>
      <c r="K68" s="1" t="s">
        <v>100</v>
      </c>
      <c r="L68" s="1" t="s">
        <v>342</v>
      </c>
      <c r="M68" s="1" t="s">
        <v>65</v>
      </c>
      <c r="N68" s="1" t="s">
        <v>2906</v>
      </c>
      <c r="O68" s="1" t="s">
        <v>3327</v>
      </c>
      <c r="P68" s="1" t="s">
        <v>128</v>
      </c>
      <c r="Q68" s="1" t="s">
        <v>3328</v>
      </c>
      <c r="R68" s="1" t="s">
        <v>3329</v>
      </c>
      <c r="S68" s="1" t="s">
        <v>3330</v>
      </c>
      <c r="T68" s="1" t="s">
        <v>52</v>
      </c>
      <c r="U68" s="1" t="s">
        <v>53</v>
      </c>
    </row>
    <row r="69" customFormat="false" ht="15" hidden="false" customHeight="true" outlineLevel="0" collapsed="false">
      <c r="A69" s="1" t="s">
        <v>343</v>
      </c>
      <c r="B69" s="1" t="s">
        <v>3331</v>
      </c>
      <c r="C69" s="1" t="s">
        <v>3332</v>
      </c>
      <c r="D69" s="1" t="s">
        <v>344</v>
      </c>
      <c r="E69" s="1" t="s">
        <v>298</v>
      </c>
      <c r="F69" s="1" t="s">
        <v>41</v>
      </c>
      <c r="G69" s="1" t="s">
        <v>42</v>
      </c>
      <c r="H69" s="1" t="s">
        <v>270</v>
      </c>
      <c r="I69" s="1" t="s">
        <v>271</v>
      </c>
      <c r="J69" s="1" t="s">
        <v>46</v>
      </c>
      <c r="K69" s="1" t="s">
        <v>47</v>
      </c>
      <c r="L69" s="1" t="s">
        <v>345</v>
      </c>
      <c r="M69" s="1" t="s">
        <v>72</v>
      </c>
      <c r="N69" s="1" t="s">
        <v>2906</v>
      </c>
      <c r="O69" s="1" t="s">
        <v>3333</v>
      </c>
      <c r="P69" s="1" t="s">
        <v>128</v>
      </c>
      <c r="Q69" s="1" t="s">
        <v>3334</v>
      </c>
      <c r="R69" s="1" t="s">
        <v>3335</v>
      </c>
      <c r="S69" s="1" t="s">
        <v>3336</v>
      </c>
      <c r="T69" s="1" t="s">
        <v>52</v>
      </c>
      <c r="U69" s="1" t="s">
        <v>53</v>
      </c>
    </row>
    <row r="70" customFormat="false" ht="15" hidden="false" customHeight="true" outlineLevel="0" collapsed="false">
      <c r="A70" s="1" t="s">
        <v>346</v>
      </c>
      <c r="B70" s="1" t="s">
        <v>2984</v>
      </c>
      <c r="C70" s="1" t="s">
        <v>3337</v>
      </c>
      <c r="D70" s="1" t="s">
        <v>347</v>
      </c>
      <c r="E70" s="1" t="s">
        <v>69</v>
      </c>
      <c r="F70" s="1" t="s">
        <v>116</v>
      </c>
      <c r="G70" s="1" t="s">
        <v>59</v>
      </c>
      <c r="H70" s="1" t="s">
        <v>262</v>
      </c>
      <c r="I70" s="1" t="s">
        <v>263</v>
      </c>
      <c r="J70" s="1" t="s">
        <v>46</v>
      </c>
      <c r="K70" s="1" t="s">
        <v>151</v>
      </c>
      <c r="L70" s="1" t="s">
        <v>348</v>
      </c>
      <c r="M70" s="1" t="s">
        <v>49</v>
      </c>
      <c r="N70" s="1" t="s">
        <v>2899</v>
      </c>
      <c r="O70" s="1" t="s">
        <v>3338</v>
      </c>
      <c r="P70" s="1" t="s">
        <v>66</v>
      </c>
      <c r="Q70" s="1" t="s">
        <v>3339</v>
      </c>
      <c r="R70" s="1" t="s">
        <v>3340</v>
      </c>
      <c r="S70" s="1" t="s">
        <v>3341</v>
      </c>
      <c r="T70" s="1" t="s">
        <v>185</v>
      </c>
      <c r="U70" s="1" t="s">
        <v>130</v>
      </c>
    </row>
    <row r="71" customFormat="false" ht="15" hidden="false" customHeight="true" outlineLevel="0" collapsed="false">
      <c r="A71" s="1" t="s">
        <v>349</v>
      </c>
      <c r="B71" s="1" t="s">
        <v>3342</v>
      </c>
      <c r="C71" s="1" t="s">
        <v>3343</v>
      </c>
      <c r="D71" s="1" t="s">
        <v>350</v>
      </c>
      <c r="E71" s="1" t="s">
        <v>104</v>
      </c>
      <c r="F71" s="1" t="s">
        <v>58</v>
      </c>
      <c r="G71" s="1" t="s">
        <v>88</v>
      </c>
      <c r="H71" s="1" t="s">
        <v>211</v>
      </c>
      <c r="I71" s="1" t="s">
        <v>212</v>
      </c>
      <c r="J71" s="1" t="s">
        <v>99</v>
      </c>
      <c r="K71" s="1" t="s">
        <v>308</v>
      </c>
      <c r="L71" s="1" t="s">
        <v>351</v>
      </c>
      <c r="M71" s="1" t="s">
        <v>65</v>
      </c>
      <c r="N71" s="1" t="s">
        <v>2906</v>
      </c>
      <c r="O71" s="1" t="s">
        <v>3344</v>
      </c>
      <c r="P71" s="1" t="s">
        <v>203</v>
      </c>
      <c r="Q71" s="1" t="s">
        <v>3345</v>
      </c>
      <c r="R71" s="1" t="s">
        <v>3346</v>
      </c>
      <c r="S71" s="1" t="s">
        <v>3347</v>
      </c>
      <c r="T71" s="1" t="s">
        <v>129</v>
      </c>
      <c r="U71" s="1" t="s">
        <v>130</v>
      </c>
    </row>
    <row r="72" customFormat="false" ht="15" hidden="false" customHeight="true" outlineLevel="0" collapsed="false">
      <c r="A72" s="1" t="s">
        <v>352</v>
      </c>
      <c r="B72" s="1" t="s">
        <v>3348</v>
      </c>
      <c r="C72" s="1" t="s">
        <v>3349</v>
      </c>
      <c r="D72" s="1" t="s">
        <v>353</v>
      </c>
      <c r="E72" s="1" t="s">
        <v>40</v>
      </c>
      <c r="F72" s="1" t="s">
        <v>116</v>
      </c>
      <c r="G72" s="1" t="s">
        <v>78</v>
      </c>
      <c r="H72" s="1" t="s">
        <v>110</v>
      </c>
      <c r="I72" s="1" t="s">
        <v>111</v>
      </c>
      <c r="J72" s="1" t="s">
        <v>99</v>
      </c>
      <c r="K72" s="1" t="s">
        <v>201</v>
      </c>
      <c r="L72" s="1" t="s">
        <v>354</v>
      </c>
      <c r="M72" s="1" t="s">
        <v>72</v>
      </c>
      <c r="N72" s="1" t="s">
        <v>2868</v>
      </c>
      <c r="O72" s="1" t="s">
        <v>3350</v>
      </c>
      <c r="P72" s="1" t="s">
        <v>107</v>
      </c>
      <c r="Q72" s="1" t="s">
        <v>3351</v>
      </c>
      <c r="R72" s="1" t="s">
        <v>3352</v>
      </c>
      <c r="S72" s="1" t="s">
        <v>3353</v>
      </c>
      <c r="T72" s="1" t="s">
        <v>52</v>
      </c>
      <c r="U72" s="1" t="s">
        <v>53</v>
      </c>
    </row>
    <row r="73" customFormat="false" ht="15" hidden="false" customHeight="true" outlineLevel="0" collapsed="false">
      <c r="A73" s="1" t="s">
        <v>355</v>
      </c>
      <c r="B73" s="1" t="s">
        <v>2936</v>
      </c>
      <c r="C73" s="1" t="s">
        <v>3354</v>
      </c>
      <c r="D73" s="1" t="s">
        <v>356</v>
      </c>
      <c r="E73" s="1" t="s">
        <v>57</v>
      </c>
      <c r="F73" s="1" t="s">
        <v>58</v>
      </c>
      <c r="G73" s="1" t="s">
        <v>88</v>
      </c>
      <c r="H73" s="1" t="s">
        <v>221</v>
      </c>
      <c r="I73" s="1" t="s">
        <v>222</v>
      </c>
      <c r="J73" s="1" t="s">
        <v>99</v>
      </c>
      <c r="K73" s="1" t="s">
        <v>308</v>
      </c>
      <c r="L73" s="1" t="s">
        <v>357</v>
      </c>
      <c r="M73" s="1" t="s">
        <v>83</v>
      </c>
      <c r="N73" s="1" t="s">
        <v>2815</v>
      </c>
      <c r="O73" s="1" t="s">
        <v>3355</v>
      </c>
      <c r="P73" s="1" t="s">
        <v>203</v>
      </c>
      <c r="Q73" s="1" t="s">
        <v>3356</v>
      </c>
      <c r="R73" s="1" t="s">
        <v>3357</v>
      </c>
      <c r="S73" s="1" t="s">
        <v>3358</v>
      </c>
      <c r="T73" s="1" t="s">
        <v>52</v>
      </c>
      <c r="U73" s="1" t="s">
        <v>53</v>
      </c>
    </row>
    <row r="74" customFormat="false" ht="15" hidden="false" customHeight="true" outlineLevel="0" collapsed="false">
      <c r="A74" s="1" t="s">
        <v>358</v>
      </c>
      <c r="B74" s="1" t="s">
        <v>3359</v>
      </c>
      <c r="C74" s="1" t="s">
        <v>3360</v>
      </c>
      <c r="D74" s="1" t="s">
        <v>359</v>
      </c>
      <c r="E74" s="1" t="s">
        <v>40</v>
      </c>
      <c r="F74" s="1" t="s">
        <v>121</v>
      </c>
      <c r="G74" s="1" t="s">
        <v>78</v>
      </c>
      <c r="H74" s="1" t="s">
        <v>281</v>
      </c>
      <c r="I74" s="1" t="s">
        <v>282</v>
      </c>
      <c r="J74" s="1" t="s">
        <v>62</v>
      </c>
      <c r="K74" s="1" t="s">
        <v>63</v>
      </c>
      <c r="L74" s="1" t="s">
        <v>360</v>
      </c>
      <c r="M74" s="1" t="s">
        <v>72</v>
      </c>
      <c r="N74" s="1" t="s">
        <v>2906</v>
      </c>
      <c r="O74" s="1" t="s">
        <v>3361</v>
      </c>
      <c r="P74" s="1" t="s">
        <v>107</v>
      </c>
      <c r="Q74" s="1" t="s">
        <v>3362</v>
      </c>
      <c r="R74" s="1" t="s">
        <v>3363</v>
      </c>
      <c r="S74" s="1" t="s">
        <v>3364</v>
      </c>
      <c r="T74" s="1" t="s">
        <v>52</v>
      </c>
      <c r="U74" s="1" t="s">
        <v>53</v>
      </c>
    </row>
    <row r="75" customFormat="false" ht="15" hidden="false" customHeight="true" outlineLevel="0" collapsed="false">
      <c r="A75" s="1" t="s">
        <v>361</v>
      </c>
      <c r="B75" s="1" t="s">
        <v>3365</v>
      </c>
      <c r="C75" s="1" t="s">
        <v>3366</v>
      </c>
      <c r="D75" s="1" t="s">
        <v>362</v>
      </c>
      <c r="E75" s="1" t="s">
        <v>159</v>
      </c>
      <c r="F75" s="1" t="s">
        <v>116</v>
      </c>
      <c r="G75" s="1" t="s">
        <v>59</v>
      </c>
      <c r="H75" s="1" t="s">
        <v>125</v>
      </c>
      <c r="I75" s="1" t="s">
        <v>126</v>
      </c>
      <c r="J75" s="1" t="s">
        <v>62</v>
      </c>
      <c r="K75" s="1" t="s">
        <v>188</v>
      </c>
      <c r="L75" s="1" t="s">
        <v>363</v>
      </c>
      <c r="M75" s="1" t="s">
        <v>72</v>
      </c>
      <c r="N75" s="1" t="s">
        <v>2829</v>
      </c>
      <c r="O75" s="1" t="s">
        <v>3367</v>
      </c>
      <c r="P75" s="1" t="s">
        <v>66</v>
      </c>
      <c r="Q75" s="1" t="s">
        <v>3368</v>
      </c>
      <c r="R75" s="1" t="s">
        <v>3369</v>
      </c>
      <c r="S75" s="1" t="s">
        <v>3370</v>
      </c>
      <c r="T75" s="1" t="s">
        <v>52</v>
      </c>
      <c r="U75" s="1" t="s">
        <v>53</v>
      </c>
    </row>
    <row r="76" customFormat="false" ht="15" hidden="false" customHeight="true" outlineLevel="0" collapsed="false">
      <c r="A76" s="1" t="s">
        <v>364</v>
      </c>
      <c r="B76" s="1" t="s">
        <v>3371</v>
      </c>
      <c r="C76" s="1" t="s">
        <v>3372</v>
      </c>
      <c r="D76" s="1" t="s">
        <v>365</v>
      </c>
      <c r="E76" s="1" t="s">
        <v>96</v>
      </c>
      <c r="F76" s="1" t="s">
        <v>58</v>
      </c>
      <c r="G76" s="1" t="s">
        <v>59</v>
      </c>
      <c r="H76" s="1" t="s">
        <v>125</v>
      </c>
      <c r="I76" s="1" t="s">
        <v>126</v>
      </c>
      <c r="J76" s="1" t="s">
        <v>62</v>
      </c>
      <c r="K76" s="1" t="s">
        <v>91</v>
      </c>
      <c r="L76" s="1" t="s">
        <v>366</v>
      </c>
      <c r="M76" s="1" t="s">
        <v>83</v>
      </c>
      <c r="N76" s="1" t="s">
        <v>2815</v>
      </c>
      <c r="O76" s="1" t="s">
        <v>3373</v>
      </c>
      <c r="P76" s="1" t="s">
        <v>66</v>
      </c>
      <c r="Q76" s="1" t="s">
        <v>3374</v>
      </c>
      <c r="R76" s="1" t="s">
        <v>3375</v>
      </c>
      <c r="S76" s="1" t="s">
        <v>3376</v>
      </c>
      <c r="T76" s="1" t="s">
        <v>52</v>
      </c>
      <c r="U76" s="1" t="s">
        <v>53</v>
      </c>
    </row>
    <row r="77" customFormat="false" ht="15" hidden="false" customHeight="true" outlineLevel="0" collapsed="false">
      <c r="A77" s="1" t="s">
        <v>367</v>
      </c>
      <c r="B77" s="1" t="s">
        <v>3377</v>
      </c>
      <c r="C77" s="1" t="s">
        <v>3378</v>
      </c>
      <c r="D77" s="1" t="s">
        <v>368</v>
      </c>
      <c r="E77" s="1" t="s">
        <v>141</v>
      </c>
      <c r="F77" s="1" t="s">
        <v>58</v>
      </c>
      <c r="G77" s="1" t="s">
        <v>59</v>
      </c>
      <c r="H77" s="1" t="s">
        <v>60</v>
      </c>
      <c r="I77" s="1" t="s">
        <v>61</v>
      </c>
      <c r="J77" s="1" t="s">
        <v>46</v>
      </c>
      <c r="K77" s="1" t="s">
        <v>117</v>
      </c>
      <c r="L77" s="1" t="s">
        <v>369</v>
      </c>
      <c r="M77" s="1" t="s">
        <v>72</v>
      </c>
      <c r="N77" s="1" t="s">
        <v>2822</v>
      </c>
      <c r="O77" s="1" t="s">
        <v>3379</v>
      </c>
      <c r="P77" s="1" t="s">
        <v>50</v>
      </c>
      <c r="Q77" s="1" t="s">
        <v>3380</v>
      </c>
      <c r="R77" s="1" t="s">
        <v>3381</v>
      </c>
      <c r="S77" s="1" t="s">
        <v>3382</v>
      </c>
      <c r="T77" s="1" t="s">
        <v>52</v>
      </c>
      <c r="U77" s="1" t="s">
        <v>53</v>
      </c>
    </row>
    <row r="78" customFormat="false" ht="15" hidden="false" customHeight="true" outlineLevel="0" collapsed="false">
      <c r="A78" s="1" t="s">
        <v>370</v>
      </c>
      <c r="B78" s="1" t="s">
        <v>3383</v>
      </c>
      <c r="C78" s="1" t="s">
        <v>3384</v>
      </c>
      <c r="D78" s="1" t="s">
        <v>371</v>
      </c>
      <c r="E78" s="1" t="s">
        <v>87</v>
      </c>
      <c r="F78" s="1" t="s">
        <v>116</v>
      </c>
      <c r="G78" s="1" t="s">
        <v>59</v>
      </c>
      <c r="H78" s="1" t="s">
        <v>262</v>
      </c>
      <c r="I78" s="1" t="s">
        <v>263</v>
      </c>
      <c r="J78" s="1" t="s">
        <v>46</v>
      </c>
      <c r="K78" s="1" t="s">
        <v>117</v>
      </c>
      <c r="L78" s="1" t="s">
        <v>372</v>
      </c>
      <c r="M78" s="1" t="s">
        <v>49</v>
      </c>
      <c r="N78" s="1" t="s">
        <v>2822</v>
      </c>
      <c r="O78" s="1" t="s">
        <v>3385</v>
      </c>
      <c r="P78" s="1" t="s">
        <v>66</v>
      </c>
      <c r="Q78" s="1" t="s">
        <v>3386</v>
      </c>
      <c r="R78" s="1" t="s">
        <v>3387</v>
      </c>
      <c r="S78" s="1" t="s">
        <v>3388</v>
      </c>
      <c r="T78" s="1" t="s">
        <v>52</v>
      </c>
      <c r="U78" s="1" t="s">
        <v>53</v>
      </c>
    </row>
    <row r="79" customFormat="false" ht="15" hidden="false" customHeight="true" outlineLevel="0" collapsed="false">
      <c r="A79" s="1" t="s">
        <v>373</v>
      </c>
      <c r="B79" s="1" t="s">
        <v>3389</v>
      </c>
      <c r="C79" s="1" t="s">
        <v>3390</v>
      </c>
      <c r="D79" s="1" t="s">
        <v>374</v>
      </c>
      <c r="E79" s="1" t="s">
        <v>168</v>
      </c>
      <c r="F79" s="1" t="s">
        <v>121</v>
      </c>
      <c r="G79" s="1" t="s">
        <v>42</v>
      </c>
      <c r="H79" s="1" t="s">
        <v>163</v>
      </c>
      <c r="I79" s="1" t="s">
        <v>164</v>
      </c>
      <c r="J79" s="1" t="s">
        <v>62</v>
      </c>
      <c r="K79" s="1" t="s">
        <v>81</v>
      </c>
      <c r="L79" s="1" t="s">
        <v>375</v>
      </c>
      <c r="M79" s="1" t="s">
        <v>83</v>
      </c>
      <c r="N79" s="1" t="s">
        <v>2836</v>
      </c>
      <c r="O79" s="1" t="s">
        <v>3391</v>
      </c>
      <c r="P79" s="1" t="s">
        <v>107</v>
      </c>
      <c r="Q79" s="1" t="s">
        <v>3392</v>
      </c>
      <c r="R79" s="1" t="s">
        <v>3393</v>
      </c>
      <c r="S79" s="1" t="s">
        <v>3394</v>
      </c>
      <c r="T79" s="1" t="s">
        <v>129</v>
      </c>
      <c r="U79" s="1" t="s">
        <v>93</v>
      </c>
    </row>
    <row r="80" customFormat="false" ht="15" hidden="false" customHeight="true" outlineLevel="0" collapsed="false">
      <c r="A80" s="1" t="s">
        <v>376</v>
      </c>
      <c r="B80" s="1" t="s">
        <v>3395</v>
      </c>
      <c r="C80" s="1" t="s">
        <v>3396</v>
      </c>
      <c r="D80" s="1" t="s">
        <v>377</v>
      </c>
      <c r="E80" s="1" t="s">
        <v>159</v>
      </c>
      <c r="F80" s="1" t="s">
        <v>116</v>
      </c>
      <c r="G80" s="1" t="s">
        <v>59</v>
      </c>
      <c r="H80" s="1" t="s">
        <v>125</v>
      </c>
      <c r="I80" s="1" t="s">
        <v>126</v>
      </c>
      <c r="J80" s="1" t="s">
        <v>62</v>
      </c>
      <c r="K80" s="1" t="s">
        <v>63</v>
      </c>
      <c r="L80" s="1" t="s">
        <v>378</v>
      </c>
      <c r="M80" s="1" t="s">
        <v>72</v>
      </c>
      <c r="N80" s="1" t="s">
        <v>2829</v>
      </c>
      <c r="O80" s="1" t="s">
        <v>3397</v>
      </c>
      <c r="P80" s="1" t="s">
        <v>107</v>
      </c>
      <c r="Q80" s="1" t="s">
        <v>3398</v>
      </c>
      <c r="R80" s="1" t="s">
        <v>3399</v>
      </c>
      <c r="S80" s="1" t="s">
        <v>3400</v>
      </c>
      <c r="T80" s="1" t="s">
        <v>52</v>
      </c>
      <c r="U80" s="1" t="s">
        <v>53</v>
      </c>
    </row>
    <row r="81" customFormat="false" ht="15" hidden="false" customHeight="true" outlineLevel="0" collapsed="false">
      <c r="A81" s="1" t="s">
        <v>379</v>
      </c>
      <c r="B81" s="1" t="s">
        <v>3401</v>
      </c>
      <c r="C81" s="1" t="s">
        <v>3402</v>
      </c>
      <c r="D81" s="1" t="s">
        <v>380</v>
      </c>
      <c r="E81" s="1" t="s">
        <v>192</v>
      </c>
      <c r="F81" s="1" t="s">
        <v>121</v>
      </c>
      <c r="G81" s="1" t="s">
        <v>78</v>
      </c>
      <c r="H81" s="1" t="s">
        <v>281</v>
      </c>
      <c r="I81" s="1" t="s">
        <v>282</v>
      </c>
      <c r="J81" s="1" t="s">
        <v>62</v>
      </c>
      <c r="K81" s="1" t="s">
        <v>91</v>
      </c>
      <c r="L81" s="1" t="s">
        <v>381</v>
      </c>
      <c r="M81" s="1" t="s">
        <v>65</v>
      </c>
      <c r="N81" s="1" t="s">
        <v>2899</v>
      </c>
      <c r="O81" s="1" t="s">
        <v>3403</v>
      </c>
      <c r="P81" s="1" t="s">
        <v>203</v>
      </c>
      <c r="Q81" s="1" t="s">
        <v>3404</v>
      </c>
      <c r="R81" s="1" t="s">
        <v>3405</v>
      </c>
      <c r="S81" s="1" t="s">
        <v>3406</v>
      </c>
      <c r="T81" s="1" t="s">
        <v>52</v>
      </c>
      <c r="U81" s="1" t="s">
        <v>53</v>
      </c>
    </row>
    <row r="82" customFormat="false" ht="15" hidden="false" customHeight="true" outlineLevel="0" collapsed="false">
      <c r="A82" s="1" t="s">
        <v>382</v>
      </c>
      <c r="B82" s="1" t="s">
        <v>3407</v>
      </c>
      <c r="C82" s="1" t="s">
        <v>3408</v>
      </c>
      <c r="D82" s="1" t="s">
        <v>383</v>
      </c>
      <c r="E82" s="1" t="s">
        <v>155</v>
      </c>
      <c r="F82" s="1" t="s">
        <v>58</v>
      </c>
      <c r="G82" s="1" t="s">
        <v>42</v>
      </c>
      <c r="H82" s="1" t="s">
        <v>384</v>
      </c>
      <c r="I82" s="1" t="s">
        <v>385</v>
      </c>
      <c r="J82" s="1" t="s">
        <v>46</v>
      </c>
      <c r="K82" s="1" t="s">
        <v>151</v>
      </c>
      <c r="L82" s="1" t="s">
        <v>386</v>
      </c>
      <c r="M82" s="1" t="s">
        <v>49</v>
      </c>
      <c r="N82" s="1" t="s">
        <v>2937</v>
      </c>
      <c r="O82" s="1" t="s">
        <v>3409</v>
      </c>
      <c r="P82" s="1" t="s">
        <v>203</v>
      </c>
      <c r="Q82" s="1" t="s">
        <v>3410</v>
      </c>
      <c r="R82" s="1" t="s">
        <v>3411</v>
      </c>
      <c r="S82" s="1" t="s">
        <v>3412</v>
      </c>
      <c r="T82" s="1" t="s">
        <v>138</v>
      </c>
      <c r="U82" s="1" t="s">
        <v>130</v>
      </c>
    </row>
    <row r="83" customFormat="false" ht="15" hidden="false" customHeight="true" outlineLevel="0" collapsed="false">
      <c r="A83" s="1" t="s">
        <v>387</v>
      </c>
      <c r="B83" s="1" t="s">
        <v>3413</v>
      </c>
      <c r="C83" s="1" t="s">
        <v>3414</v>
      </c>
      <c r="D83" s="1" t="s">
        <v>388</v>
      </c>
      <c r="E83" s="1" t="s">
        <v>40</v>
      </c>
      <c r="F83" s="1" t="s">
        <v>121</v>
      </c>
      <c r="G83" s="1" t="s">
        <v>88</v>
      </c>
      <c r="H83" s="1" t="s">
        <v>221</v>
      </c>
      <c r="I83" s="1" t="s">
        <v>222</v>
      </c>
      <c r="J83" s="1" t="s">
        <v>46</v>
      </c>
      <c r="K83" s="1" t="s">
        <v>117</v>
      </c>
      <c r="L83" s="1" t="s">
        <v>389</v>
      </c>
      <c r="M83" s="1" t="s">
        <v>65</v>
      </c>
      <c r="N83" s="1" t="s">
        <v>2822</v>
      </c>
      <c r="O83" s="1" t="s">
        <v>3415</v>
      </c>
      <c r="P83" s="1" t="s">
        <v>66</v>
      </c>
      <c r="Q83" s="1" t="s">
        <v>3416</v>
      </c>
      <c r="R83" s="1" t="s">
        <v>3417</v>
      </c>
      <c r="S83" s="1" t="s">
        <v>3418</v>
      </c>
      <c r="T83" s="1" t="s">
        <v>52</v>
      </c>
      <c r="U83" s="1" t="s">
        <v>53</v>
      </c>
    </row>
    <row r="84" customFormat="false" ht="15" hidden="false" customHeight="true" outlineLevel="0" collapsed="false">
      <c r="A84" s="1" t="s">
        <v>390</v>
      </c>
      <c r="B84" s="1" t="s">
        <v>3419</v>
      </c>
      <c r="C84" s="1" t="s">
        <v>3420</v>
      </c>
      <c r="D84" s="1" t="s">
        <v>391</v>
      </c>
      <c r="E84" s="1" t="s">
        <v>77</v>
      </c>
      <c r="F84" s="1" t="s">
        <v>41</v>
      </c>
      <c r="G84" s="1" t="s">
        <v>42</v>
      </c>
      <c r="H84" s="1" t="s">
        <v>163</v>
      </c>
      <c r="I84" s="1" t="s">
        <v>164</v>
      </c>
      <c r="J84" s="1" t="s">
        <v>99</v>
      </c>
      <c r="K84" s="1" t="s">
        <v>105</v>
      </c>
      <c r="L84" s="1" t="s">
        <v>392</v>
      </c>
      <c r="M84" s="1" t="s">
        <v>49</v>
      </c>
      <c r="N84" s="1" t="s">
        <v>2815</v>
      </c>
      <c r="O84" s="1" t="s">
        <v>3421</v>
      </c>
      <c r="P84" s="1" t="s">
        <v>66</v>
      </c>
      <c r="Q84" s="1" t="s">
        <v>3422</v>
      </c>
      <c r="R84" s="1" t="s">
        <v>3423</v>
      </c>
      <c r="S84" s="1" t="s">
        <v>3424</v>
      </c>
      <c r="T84" s="1" t="s">
        <v>185</v>
      </c>
      <c r="U84" s="1" t="s">
        <v>130</v>
      </c>
    </row>
    <row r="85" customFormat="false" ht="15" hidden="false" customHeight="true" outlineLevel="0" collapsed="false">
      <c r="A85" s="1" t="s">
        <v>393</v>
      </c>
      <c r="B85" s="1" t="s">
        <v>3242</v>
      </c>
      <c r="C85" s="1" t="s">
        <v>3425</v>
      </c>
      <c r="D85" s="1" t="s">
        <v>394</v>
      </c>
      <c r="E85" s="1" t="s">
        <v>115</v>
      </c>
      <c r="F85" s="1" t="s">
        <v>121</v>
      </c>
      <c r="G85" s="1" t="s">
        <v>88</v>
      </c>
      <c r="H85" s="1" t="s">
        <v>89</v>
      </c>
      <c r="I85" s="1" t="s">
        <v>90</v>
      </c>
      <c r="J85" s="1" t="s">
        <v>62</v>
      </c>
      <c r="K85" s="1" t="s">
        <v>63</v>
      </c>
      <c r="L85" s="1" t="s">
        <v>395</v>
      </c>
      <c r="M85" s="1" t="s">
        <v>49</v>
      </c>
      <c r="N85" s="1" t="s">
        <v>2899</v>
      </c>
      <c r="O85" s="1" t="s">
        <v>3426</v>
      </c>
      <c r="P85" s="1" t="s">
        <v>50</v>
      </c>
      <c r="Q85" s="1" t="s">
        <v>3427</v>
      </c>
      <c r="R85" s="1" t="s">
        <v>3428</v>
      </c>
      <c r="S85" s="1" t="s">
        <v>3429</v>
      </c>
      <c r="T85" s="1" t="s">
        <v>52</v>
      </c>
      <c r="U85" s="1" t="s">
        <v>53</v>
      </c>
    </row>
    <row r="86" customFormat="false" ht="15" hidden="false" customHeight="true" outlineLevel="0" collapsed="false">
      <c r="A86" s="1" t="s">
        <v>396</v>
      </c>
      <c r="B86" s="1" t="s">
        <v>3430</v>
      </c>
      <c r="C86" s="1" t="s">
        <v>3431</v>
      </c>
      <c r="D86" s="1" t="s">
        <v>397</v>
      </c>
      <c r="E86" s="1" t="s">
        <v>168</v>
      </c>
      <c r="F86" s="1" t="s">
        <v>116</v>
      </c>
      <c r="G86" s="1" t="s">
        <v>78</v>
      </c>
      <c r="H86" s="1" t="s">
        <v>281</v>
      </c>
      <c r="I86" s="1" t="s">
        <v>282</v>
      </c>
      <c r="J86" s="1" t="s">
        <v>99</v>
      </c>
      <c r="K86" s="1" t="s">
        <v>201</v>
      </c>
      <c r="L86" s="1" t="s">
        <v>398</v>
      </c>
      <c r="M86" s="1" t="s">
        <v>49</v>
      </c>
      <c r="N86" s="1" t="s">
        <v>2815</v>
      </c>
      <c r="O86" s="1" t="s">
        <v>3432</v>
      </c>
      <c r="P86" s="1" t="s">
        <v>50</v>
      </c>
      <c r="Q86" s="1" t="s">
        <v>3433</v>
      </c>
      <c r="R86" s="1" t="s">
        <v>3434</v>
      </c>
      <c r="S86" s="1" t="s">
        <v>3435</v>
      </c>
      <c r="T86" s="1" t="s">
        <v>52</v>
      </c>
      <c r="U86" s="1" t="s">
        <v>53</v>
      </c>
    </row>
    <row r="87" customFormat="false" ht="15" hidden="false" customHeight="true" outlineLevel="0" collapsed="false">
      <c r="A87" s="1" t="s">
        <v>399</v>
      </c>
      <c r="B87" s="1" t="s">
        <v>3436</v>
      </c>
      <c r="C87" s="1" t="s">
        <v>3437</v>
      </c>
      <c r="D87" s="1" t="s">
        <v>400</v>
      </c>
      <c r="E87" s="1" t="s">
        <v>298</v>
      </c>
      <c r="F87" s="1" t="s">
        <v>116</v>
      </c>
      <c r="G87" s="1" t="s">
        <v>42</v>
      </c>
      <c r="H87" s="1" t="s">
        <v>384</v>
      </c>
      <c r="I87" s="1" t="s">
        <v>385</v>
      </c>
      <c r="J87" s="1" t="s">
        <v>46</v>
      </c>
      <c r="K87" s="1" t="s">
        <v>183</v>
      </c>
      <c r="L87" s="1" t="s">
        <v>401</v>
      </c>
      <c r="M87" s="1" t="s">
        <v>83</v>
      </c>
      <c r="N87" s="1" t="s">
        <v>2836</v>
      </c>
      <c r="O87" s="1" t="s">
        <v>3438</v>
      </c>
      <c r="P87" s="1" t="s">
        <v>66</v>
      </c>
      <c r="Q87" s="1" t="s">
        <v>3438</v>
      </c>
      <c r="R87" s="1" t="s">
        <v>3439</v>
      </c>
      <c r="S87" s="1" t="s">
        <v>3440</v>
      </c>
      <c r="T87" s="1" t="s">
        <v>52</v>
      </c>
      <c r="U87" s="1" t="s">
        <v>93</v>
      </c>
    </row>
    <row r="88" customFormat="false" ht="15" hidden="false" customHeight="true" outlineLevel="0" collapsed="false">
      <c r="A88" s="1" t="s">
        <v>402</v>
      </c>
      <c r="B88" s="1" t="s">
        <v>3441</v>
      </c>
      <c r="C88" s="1" t="s">
        <v>3441</v>
      </c>
      <c r="D88" s="1" t="s">
        <v>403</v>
      </c>
      <c r="E88" s="1" t="s">
        <v>87</v>
      </c>
      <c r="F88" s="1" t="s">
        <v>58</v>
      </c>
      <c r="G88" s="1" t="s">
        <v>42</v>
      </c>
      <c r="H88" s="1" t="s">
        <v>384</v>
      </c>
      <c r="I88" s="1" t="s">
        <v>385</v>
      </c>
      <c r="J88" s="1" t="s">
        <v>99</v>
      </c>
      <c r="K88" s="1" t="s">
        <v>105</v>
      </c>
      <c r="L88" s="1" t="s">
        <v>404</v>
      </c>
      <c r="M88" s="1" t="s">
        <v>49</v>
      </c>
      <c r="N88" s="1" t="s">
        <v>2822</v>
      </c>
      <c r="O88" s="1" t="s">
        <v>3442</v>
      </c>
      <c r="P88" s="1" t="s">
        <v>203</v>
      </c>
      <c r="Q88" s="1" t="s">
        <v>3443</v>
      </c>
      <c r="R88" s="1" t="s">
        <v>3444</v>
      </c>
      <c r="S88" s="1" t="s">
        <v>3445</v>
      </c>
      <c r="T88" s="1" t="s">
        <v>129</v>
      </c>
      <c r="U88" s="1" t="s">
        <v>93</v>
      </c>
    </row>
    <row r="89" customFormat="false" ht="15" hidden="false" customHeight="true" outlineLevel="0" collapsed="false">
      <c r="A89" s="1" t="s">
        <v>405</v>
      </c>
      <c r="B89" s="1" t="s">
        <v>3446</v>
      </c>
      <c r="C89" s="1" t="s">
        <v>3419</v>
      </c>
      <c r="D89" s="1" t="s">
        <v>406</v>
      </c>
      <c r="E89" s="1" t="s">
        <v>96</v>
      </c>
      <c r="F89" s="1" t="s">
        <v>41</v>
      </c>
      <c r="G89" s="1" t="s">
        <v>59</v>
      </c>
      <c r="H89" s="1" t="s">
        <v>196</v>
      </c>
      <c r="I89" s="1" t="s">
        <v>197</v>
      </c>
      <c r="J89" s="1" t="s">
        <v>46</v>
      </c>
      <c r="K89" s="1" t="s">
        <v>183</v>
      </c>
      <c r="L89" s="1" t="s">
        <v>407</v>
      </c>
      <c r="M89" s="1" t="s">
        <v>83</v>
      </c>
      <c r="N89" s="1" t="s">
        <v>2906</v>
      </c>
      <c r="O89" s="1" t="s">
        <v>3447</v>
      </c>
      <c r="P89" s="1" t="s">
        <v>66</v>
      </c>
      <c r="Q89" s="1" t="s">
        <v>3448</v>
      </c>
      <c r="R89" s="1" t="s">
        <v>3449</v>
      </c>
      <c r="S89" s="1" t="s">
        <v>3450</v>
      </c>
      <c r="T89" s="1" t="s">
        <v>52</v>
      </c>
      <c r="U89" s="1" t="s">
        <v>53</v>
      </c>
    </row>
    <row r="90" customFormat="false" ht="15" hidden="false" customHeight="true" outlineLevel="0" collapsed="false">
      <c r="A90" s="1" t="s">
        <v>408</v>
      </c>
      <c r="B90" s="1" t="s">
        <v>3451</v>
      </c>
      <c r="C90" s="1" t="s">
        <v>3452</v>
      </c>
      <c r="D90" s="1" t="s">
        <v>409</v>
      </c>
      <c r="E90" s="1" t="s">
        <v>168</v>
      </c>
      <c r="F90" s="1" t="s">
        <v>58</v>
      </c>
      <c r="G90" s="1" t="s">
        <v>88</v>
      </c>
      <c r="H90" s="1" t="s">
        <v>89</v>
      </c>
      <c r="I90" s="1" t="s">
        <v>90</v>
      </c>
      <c r="J90" s="1" t="s">
        <v>62</v>
      </c>
      <c r="K90" s="1" t="s">
        <v>188</v>
      </c>
      <c r="L90" s="1" t="s">
        <v>410</v>
      </c>
      <c r="M90" s="1" t="s">
        <v>83</v>
      </c>
      <c r="N90" s="1" t="s">
        <v>2868</v>
      </c>
      <c r="O90" s="1" t="s">
        <v>3453</v>
      </c>
      <c r="P90" s="1" t="s">
        <v>128</v>
      </c>
      <c r="Q90" s="1" t="s">
        <v>3454</v>
      </c>
      <c r="R90" s="1" t="s">
        <v>3455</v>
      </c>
      <c r="S90" s="1" t="s">
        <v>3456</v>
      </c>
      <c r="T90" s="1" t="s">
        <v>52</v>
      </c>
      <c r="U90" s="1" t="s">
        <v>53</v>
      </c>
    </row>
    <row r="91" customFormat="false" ht="15" hidden="false" customHeight="true" outlineLevel="0" collapsed="false">
      <c r="A91" s="1" t="s">
        <v>411</v>
      </c>
      <c r="B91" s="1" t="s">
        <v>2949</v>
      </c>
      <c r="C91" s="1" t="s">
        <v>2949</v>
      </c>
      <c r="D91" s="1" t="s">
        <v>412</v>
      </c>
      <c r="E91" s="1" t="s">
        <v>298</v>
      </c>
      <c r="F91" s="1" t="s">
        <v>41</v>
      </c>
      <c r="G91" s="1" t="s">
        <v>78</v>
      </c>
      <c r="H91" s="1" t="s">
        <v>110</v>
      </c>
      <c r="I91" s="1" t="s">
        <v>111</v>
      </c>
      <c r="J91" s="1" t="s">
        <v>62</v>
      </c>
      <c r="K91" s="1" t="s">
        <v>188</v>
      </c>
      <c r="L91" s="1" t="s">
        <v>413</v>
      </c>
      <c r="M91" s="1" t="s">
        <v>83</v>
      </c>
      <c r="N91" s="1" t="s">
        <v>2906</v>
      </c>
      <c r="O91" s="1" t="s">
        <v>3457</v>
      </c>
      <c r="P91" s="1" t="s">
        <v>50</v>
      </c>
      <c r="Q91" s="1" t="s">
        <v>3458</v>
      </c>
      <c r="R91" s="1" t="s">
        <v>3459</v>
      </c>
      <c r="S91" s="1" t="s">
        <v>3460</v>
      </c>
      <c r="T91" s="1" t="s">
        <v>138</v>
      </c>
      <c r="U91" s="1" t="s">
        <v>93</v>
      </c>
    </row>
    <row r="92" customFormat="false" ht="15" hidden="false" customHeight="true" outlineLevel="0" collapsed="false">
      <c r="A92" s="1" t="s">
        <v>414</v>
      </c>
      <c r="B92" s="1" t="s">
        <v>3461</v>
      </c>
      <c r="C92" s="1" t="s">
        <v>2966</v>
      </c>
      <c r="D92" s="1" t="s">
        <v>415</v>
      </c>
      <c r="E92" s="1" t="s">
        <v>155</v>
      </c>
      <c r="F92" s="1" t="s">
        <v>58</v>
      </c>
      <c r="G92" s="1" t="s">
        <v>59</v>
      </c>
      <c r="H92" s="1" t="s">
        <v>174</v>
      </c>
      <c r="I92" s="1" t="s">
        <v>175</v>
      </c>
      <c r="J92" s="1" t="s">
        <v>99</v>
      </c>
      <c r="K92" s="1" t="s">
        <v>105</v>
      </c>
      <c r="L92" s="1" t="s">
        <v>416</v>
      </c>
      <c r="M92" s="1" t="s">
        <v>72</v>
      </c>
      <c r="N92" s="1" t="s">
        <v>2822</v>
      </c>
      <c r="O92" s="1" t="s">
        <v>3462</v>
      </c>
      <c r="P92" s="1" t="s">
        <v>107</v>
      </c>
      <c r="Q92" s="1" t="s">
        <v>3463</v>
      </c>
      <c r="R92" s="1" t="s">
        <v>3464</v>
      </c>
      <c r="S92" s="1" t="s">
        <v>3465</v>
      </c>
      <c r="T92" s="1" t="s">
        <v>52</v>
      </c>
      <c r="U92" s="1" t="s">
        <v>53</v>
      </c>
    </row>
    <row r="93" customFormat="false" ht="15" hidden="false" customHeight="true" outlineLevel="0" collapsed="false">
      <c r="A93" s="1" t="s">
        <v>418</v>
      </c>
      <c r="B93" s="1" t="s">
        <v>3466</v>
      </c>
      <c r="C93" s="1" t="s">
        <v>3467</v>
      </c>
      <c r="D93" s="1" t="s">
        <v>419</v>
      </c>
      <c r="E93" s="1" t="s">
        <v>159</v>
      </c>
      <c r="F93" s="1" t="s">
        <v>116</v>
      </c>
      <c r="G93" s="1" t="s">
        <v>88</v>
      </c>
      <c r="H93" s="1" t="s">
        <v>97</v>
      </c>
      <c r="I93" s="1" t="s">
        <v>98</v>
      </c>
      <c r="J93" s="1" t="s">
        <v>99</v>
      </c>
      <c r="K93" s="1" t="s">
        <v>105</v>
      </c>
      <c r="L93" s="1" t="s">
        <v>420</v>
      </c>
      <c r="M93" s="1" t="s">
        <v>49</v>
      </c>
      <c r="N93" s="1" t="s">
        <v>2899</v>
      </c>
      <c r="O93" s="1" t="s">
        <v>3468</v>
      </c>
      <c r="P93" s="1" t="s">
        <v>66</v>
      </c>
      <c r="Q93" s="1" t="s">
        <v>3469</v>
      </c>
      <c r="R93" s="1" t="s">
        <v>3470</v>
      </c>
      <c r="S93" s="1" t="s">
        <v>3471</v>
      </c>
      <c r="T93" s="1" t="s">
        <v>52</v>
      </c>
      <c r="U93" s="1" t="s">
        <v>53</v>
      </c>
    </row>
    <row r="94" customFormat="false" ht="15" hidden="false" customHeight="true" outlineLevel="0" collapsed="false">
      <c r="A94" s="1" t="s">
        <v>421</v>
      </c>
      <c r="B94" s="1" t="s">
        <v>3055</v>
      </c>
      <c r="C94" s="1" t="s">
        <v>3472</v>
      </c>
      <c r="D94" s="1" t="s">
        <v>422</v>
      </c>
      <c r="E94" s="1" t="s">
        <v>155</v>
      </c>
      <c r="F94" s="1" t="s">
        <v>41</v>
      </c>
      <c r="G94" s="1" t="s">
        <v>88</v>
      </c>
      <c r="H94" s="1" t="s">
        <v>97</v>
      </c>
      <c r="I94" s="1" t="s">
        <v>98</v>
      </c>
      <c r="J94" s="1" t="s">
        <v>46</v>
      </c>
      <c r="K94" s="1" t="s">
        <v>47</v>
      </c>
      <c r="L94" s="1" t="s">
        <v>423</v>
      </c>
      <c r="M94" s="1" t="s">
        <v>83</v>
      </c>
      <c r="N94" s="1" t="s">
        <v>2899</v>
      </c>
      <c r="O94" s="1" t="s">
        <v>3473</v>
      </c>
      <c r="P94" s="1" t="s">
        <v>203</v>
      </c>
      <c r="Q94" s="1" t="s">
        <v>3474</v>
      </c>
      <c r="R94" s="1" t="s">
        <v>3475</v>
      </c>
      <c r="S94" s="1" t="s">
        <v>3476</v>
      </c>
      <c r="T94" s="1" t="s">
        <v>52</v>
      </c>
      <c r="U94" s="1" t="s">
        <v>53</v>
      </c>
    </row>
    <row r="95" customFormat="false" ht="15" hidden="false" customHeight="true" outlineLevel="0" collapsed="false">
      <c r="A95" s="1" t="s">
        <v>424</v>
      </c>
      <c r="B95" s="1" t="s">
        <v>3037</v>
      </c>
      <c r="C95" s="1" t="s">
        <v>3477</v>
      </c>
      <c r="D95" s="1" t="s">
        <v>425</v>
      </c>
      <c r="E95" s="1" t="s">
        <v>168</v>
      </c>
      <c r="F95" s="1" t="s">
        <v>116</v>
      </c>
      <c r="G95" s="1" t="s">
        <v>42</v>
      </c>
      <c r="H95" s="1" t="s">
        <v>163</v>
      </c>
      <c r="I95" s="1" t="s">
        <v>164</v>
      </c>
      <c r="J95" s="1" t="s">
        <v>46</v>
      </c>
      <c r="K95" s="1" t="s">
        <v>183</v>
      </c>
      <c r="L95" s="1" t="s">
        <v>426</v>
      </c>
      <c r="M95" s="1" t="s">
        <v>83</v>
      </c>
      <c r="N95" s="1" t="s">
        <v>2906</v>
      </c>
      <c r="O95" s="1" t="s">
        <v>3478</v>
      </c>
      <c r="P95" s="1" t="s">
        <v>427</v>
      </c>
      <c r="Q95" s="1" t="s">
        <v>3479</v>
      </c>
      <c r="R95" s="1" t="s">
        <v>3480</v>
      </c>
      <c r="S95" s="1" t="s">
        <v>3481</v>
      </c>
      <c r="T95" s="1" t="s">
        <v>52</v>
      </c>
      <c r="U95" s="1" t="s">
        <v>53</v>
      </c>
    </row>
    <row r="96" customFormat="false" ht="15" hidden="false" customHeight="true" outlineLevel="0" collapsed="false">
      <c r="A96" s="1" t="s">
        <v>428</v>
      </c>
      <c r="B96" s="1" t="s">
        <v>3482</v>
      </c>
      <c r="C96" s="1" t="s">
        <v>3483</v>
      </c>
      <c r="D96" s="1" t="s">
        <v>429</v>
      </c>
      <c r="E96" s="1" t="s">
        <v>192</v>
      </c>
      <c r="F96" s="1" t="s">
        <v>41</v>
      </c>
      <c r="G96" s="1" t="s">
        <v>42</v>
      </c>
      <c r="H96" s="1" t="s">
        <v>270</v>
      </c>
      <c r="I96" s="1" t="s">
        <v>271</v>
      </c>
      <c r="J96" s="1" t="s">
        <v>99</v>
      </c>
      <c r="K96" s="1" t="s">
        <v>201</v>
      </c>
      <c r="L96" s="1" t="s">
        <v>430</v>
      </c>
      <c r="M96" s="1" t="s">
        <v>49</v>
      </c>
      <c r="N96" s="1" t="s">
        <v>2906</v>
      </c>
      <c r="O96" s="1" t="s">
        <v>3484</v>
      </c>
      <c r="P96" s="1" t="s">
        <v>66</v>
      </c>
      <c r="Q96" s="1" t="s">
        <v>3485</v>
      </c>
      <c r="R96" s="1" t="s">
        <v>3486</v>
      </c>
      <c r="S96" s="1" t="s">
        <v>3487</v>
      </c>
      <c r="T96" s="1" t="s">
        <v>138</v>
      </c>
      <c r="U96" s="1" t="s">
        <v>93</v>
      </c>
    </row>
    <row r="97" customFormat="false" ht="15" hidden="false" customHeight="true" outlineLevel="0" collapsed="false">
      <c r="A97" s="1" t="s">
        <v>431</v>
      </c>
      <c r="B97" s="1" t="s">
        <v>3488</v>
      </c>
      <c r="C97" s="1" t="s">
        <v>3489</v>
      </c>
      <c r="D97" s="1" t="s">
        <v>432</v>
      </c>
      <c r="E97" s="1" t="s">
        <v>159</v>
      </c>
      <c r="F97" s="1" t="s">
        <v>116</v>
      </c>
      <c r="G97" s="1" t="s">
        <v>88</v>
      </c>
      <c r="H97" s="1" t="s">
        <v>221</v>
      </c>
      <c r="I97" s="1" t="s">
        <v>222</v>
      </c>
      <c r="J97" s="1" t="s">
        <v>62</v>
      </c>
      <c r="K97" s="1" t="s">
        <v>188</v>
      </c>
      <c r="L97" s="1" t="s">
        <v>433</v>
      </c>
      <c r="M97" s="1" t="s">
        <v>65</v>
      </c>
      <c r="N97" s="1" t="s">
        <v>2815</v>
      </c>
      <c r="O97" s="1" t="s">
        <v>3490</v>
      </c>
      <c r="P97" s="1" t="s">
        <v>66</v>
      </c>
      <c r="Q97" s="1" t="s">
        <v>3491</v>
      </c>
      <c r="R97" s="1" t="s">
        <v>3492</v>
      </c>
      <c r="S97" s="1" t="s">
        <v>3493</v>
      </c>
      <c r="T97" s="1" t="s">
        <v>52</v>
      </c>
      <c r="U97" s="1" t="s">
        <v>53</v>
      </c>
    </row>
    <row r="98" customFormat="false" ht="15" hidden="false" customHeight="true" outlineLevel="0" collapsed="false">
      <c r="A98" s="1" t="s">
        <v>434</v>
      </c>
      <c r="B98" s="1" t="s">
        <v>3494</v>
      </c>
      <c r="C98" s="1" t="s">
        <v>3495</v>
      </c>
      <c r="D98" s="1" t="s">
        <v>435</v>
      </c>
      <c r="E98" s="1" t="s">
        <v>145</v>
      </c>
      <c r="F98" s="1" t="s">
        <v>121</v>
      </c>
      <c r="G98" s="1" t="s">
        <v>59</v>
      </c>
      <c r="H98" s="1" t="s">
        <v>60</v>
      </c>
      <c r="I98" s="1" t="s">
        <v>61</v>
      </c>
      <c r="J98" s="1" t="s">
        <v>99</v>
      </c>
      <c r="K98" s="1" t="s">
        <v>105</v>
      </c>
      <c r="L98" s="1" t="s">
        <v>436</v>
      </c>
      <c r="M98" s="1" t="s">
        <v>49</v>
      </c>
      <c r="N98" s="1" t="s">
        <v>2868</v>
      </c>
      <c r="O98" s="1" t="s">
        <v>3496</v>
      </c>
      <c r="P98" s="1" t="s">
        <v>107</v>
      </c>
      <c r="Q98" s="1" t="s">
        <v>3497</v>
      </c>
      <c r="R98" s="1" t="s">
        <v>3498</v>
      </c>
      <c r="S98" s="1" t="s">
        <v>3499</v>
      </c>
      <c r="T98" s="1" t="s">
        <v>52</v>
      </c>
      <c r="U98" s="1" t="s">
        <v>53</v>
      </c>
    </row>
    <row r="99" customFormat="false" ht="15" hidden="false" customHeight="true" outlineLevel="0" collapsed="false">
      <c r="A99" s="1" t="s">
        <v>437</v>
      </c>
      <c r="B99" s="1" t="s">
        <v>3500</v>
      </c>
      <c r="C99" s="1" t="s">
        <v>3501</v>
      </c>
      <c r="D99" s="1" t="s">
        <v>438</v>
      </c>
      <c r="E99" s="1" t="s">
        <v>192</v>
      </c>
      <c r="F99" s="1" t="s">
        <v>58</v>
      </c>
      <c r="G99" s="1" t="s">
        <v>88</v>
      </c>
      <c r="H99" s="1" t="s">
        <v>211</v>
      </c>
      <c r="I99" s="1" t="s">
        <v>212</v>
      </c>
      <c r="J99" s="1" t="s">
        <v>46</v>
      </c>
      <c r="K99" s="1" t="s">
        <v>151</v>
      </c>
      <c r="L99" s="1" t="s">
        <v>439</v>
      </c>
      <c r="M99" s="1" t="s">
        <v>65</v>
      </c>
      <c r="N99" s="1" t="s">
        <v>2829</v>
      </c>
      <c r="O99" s="1" t="s">
        <v>3502</v>
      </c>
      <c r="P99" s="1" t="s">
        <v>50</v>
      </c>
      <c r="Q99" s="1" t="s">
        <v>3503</v>
      </c>
      <c r="R99" s="1" t="s">
        <v>3504</v>
      </c>
      <c r="S99" s="1" t="s">
        <v>3505</v>
      </c>
      <c r="T99" s="1" t="s">
        <v>138</v>
      </c>
      <c r="U99" s="1" t="s">
        <v>130</v>
      </c>
    </row>
    <row r="100" customFormat="false" ht="15" hidden="false" customHeight="true" outlineLevel="0" collapsed="false">
      <c r="A100" s="1" t="s">
        <v>440</v>
      </c>
      <c r="B100" s="1" t="s">
        <v>3506</v>
      </c>
      <c r="C100" s="1" t="s">
        <v>3507</v>
      </c>
      <c r="D100" s="1" t="s">
        <v>441</v>
      </c>
      <c r="E100" s="1" t="s">
        <v>168</v>
      </c>
      <c r="F100" s="1" t="s">
        <v>121</v>
      </c>
      <c r="G100" s="1" t="s">
        <v>78</v>
      </c>
      <c r="H100" s="1" t="s">
        <v>216</v>
      </c>
      <c r="I100" s="1" t="s">
        <v>217</v>
      </c>
      <c r="J100" s="1" t="s">
        <v>99</v>
      </c>
      <c r="K100" s="1" t="s">
        <v>105</v>
      </c>
      <c r="L100" s="1" t="s">
        <v>442</v>
      </c>
      <c r="N100" s="1" t="s">
        <v>2861</v>
      </c>
      <c r="O100" s="1" t="s">
        <v>3508</v>
      </c>
      <c r="P100" s="1" t="s">
        <v>203</v>
      </c>
      <c r="Q100" s="1" t="s">
        <v>3509</v>
      </c>
      <c r="R100" s="1" t="s">
        <v>3510</v>
      </c>
      <c r="S100" s="1" t="s">
        <v>3511</v>
      </c>
      <c r="T100" s="1" t="s">
        <v>52</v>
      </c>
      <c r="U100" s="1" t="s">
        <v>53</v>
      </c>
    </row>
    <row r="101" customFormat="false" ht="15" hidden="false" customHeight="true" outlineLevel="0" collapsed="false">
      <c r="A101" s="1" t="s">
        <v>443</v>
      </c>
      <c r="B101" s="1" t="s">
        <v>3512</v>
      </c>
      <c r="C101" s="1" t="s">
        <v>3512</v>
      </c>
      <c r="D101" s="1" t="s">
        <v>444</v>
      </c>
      <c r="E101" s="1" t="s">
        <v>115</v>
      </c>
      <c r="F101" s="1" t="s">
        <v>58</v>
      </c>
      <c r="G101" s="1" t="s">
        <v>88</v>
      </c>
      <c r="H101" s="1" t="s">
        <v>44</v>
      </c>
      <c r="I101" s="1" t="s">
        <v>136</v>
      </c>
      <c r="J101" s="1" t="s">
        <v>99</v>
      </c>
      <c r="K101" s="1" t="s">
        <v>100</v>
      </c>
      <c r="L101" s="1" t="s">
        <v>445</v>
      </c>
      <c r="M101" s="1" t="s">
        <v>65</v>
      </c>
      <c r="N101" s="1" t="s">
        <v>2822</v>
      </c>
      <c r="O101" s="1" t="s">
        <v>3513</v>
      </c>
      <c r="P101" s="1" t="s">
        <v>66</v>
      </c>
      <c r="Q101" s="1" t="s">
        <v>3514</v>
      </c>
      <c r="R101" s="1" t="s">
        <v>3515</v>
      </c>
      <c r="S101" s="1" t="s">
        <v>3516</v>
      </c>
      <c r="T101" s="1" t="s">
        <v>52</v>
      </c>
      <c r="U101" s="1" t="s">
        <v>53</v>
      </c>
    </row>
    <row r="102" customFormat="false" ht="15" hidden="false" customHeight="true" outlineLevel="0" collapsed="false">
      <c r="A102" s="1" t="s">
        <v>446</v>
      </c>
      <c r="B102" s="1" t="s">
        <v>3517</v>
      </c>
      <c r="C102" s="1" t="s">
        <v>3518</v>
      </c>
      <c r="D102" s="1" t="s">
        <v>447</v>
      </c>
      <c r="E102" s="1" t="s">
        <v>155</v>
      </c>
      <c r="F102" s="1" t="s">
        <v>121</v>
      </c>
      <c r="G102" s="1" t="s">
        <v>78</v>
      </c>
      <c r="H102" s="1" t="s">
        <v>216</v>
      </c>
      <c r="I102" s="1" t="s">
        <v>217</v>
      </c>
      <c r="J102" s="1" t="s">
        <v>46</v>
      </c>
      <c r="K102" s="1" t="s">
        <v>151</v>
      </c>
      <c r="L102" s="1" t="s">
        <v>448</v>
      </c>
      <c r="M102" s="1" t="s">
        <v>83</v>
      </c>
      <c r="N102" s="1" t="s">
        <v>2815</v>
      </c>
      <c r="O102" s="1" t="s">
        <v>3519</v>
      </c>
      <c r="P102" s="1" t="s">
        <v>128</v>
      </c>
      <c r="Q102" s="1" t="s">
        <v>3520</v>
      </c>
      <c r="R102" s="1" t="s">
        <v>3521</v>
      </c>
      <c r="S102" s="1" t="s">
        <v>3522</v>
      </c>
      <c r="T102" s="1" t="s">
        <v>52</v>
      </c>
      <c r="U102" s="1" t="s">
        <v>53</v>
      </c>
    </row>
    <row r="103" customFormat="false" ht="15" hidden="false" customHeight="true" outlineLevel="0" collapsed="false">
      <c r="A103" s="1" t="s">
        <v>449</v>
      </c>
      <c r="B103" s="1" t="s">
        <v>3195</v>
      </c>
      <c r="C103" s="1" t="s">
        <v>3523</v>
      </c>
      <c r="D103" s="1" t="s">
        <v>450</v>
      </c>
      <c r="E103" s="1" t="s">
        <v>168</v>
      </c>
      <c r="F103" s="1" t="s">
        <v>121</v>
      </c>
      <c r="G103" s="1" t="s">
        <v>59</v>
      </c>
      <c r="H103" s="1" t="s">
        <v>174</v>
      </c>
      <c r="I103" s="1" t="s">
        <v>175</v>
      </c>
      <c r="J103" s="1" t="s">
        <v>62</v>
      </c>
      <c r="K103" s="1" t="s">
        <v>81</v>
      </c>
      <c r="L103" s="1" t="s">
        <v>451</v>
      </c>
      <c r="M103" s="1" t="s">
        <v>72</v>
      </c>
      <c r="N103" s="1" t="s">
        <v>2829</v>
      </c>
      <c r="O103" s="1" t="s">
        <v>3524</v>
      </c>
      <c r="P103" s="1" t="s">
        <v>84</v>
      </c>
      <c r="Q103" s="1" t="s">
        <v>3525</v>
      </c>
      <c r="R103" s="1" t="s">
        <v>3526</v>
      </c>
      <c r="S103" s="1" t="s">
        <v>3527</v>
      </c>
      <c r="T103" s="1" t="s">
        <v>52</v>
      </c>
      <c r="U103" s="1" t="s">
        <v>53</v>
      </c>
    </row>
    <row r="104" customFormat="false" ht="15" hidden="false" customHeight="true" outlineLevel="0" collapsed="false">
      <c r="A104" s="1" t="s">
        <v>452</v>
      </c>
      <c r="B104" s="1" t="s">
        <v>3528</v>
      </c>
      <c r="C104" s="1" t="s">
        <v>3529</v>
      </c>
      <c r="D104" s="1" t="s">
        <v>453</v>
      </c>
      <c r="E104" s="1" t="s">
        <v>96</v>
      </c>
      <c r="F104" s="1" t="s">
        <v>41</v>
      </c>
      <c r="G104" s="1" t="s">
        <v>78</v>
      </c>
      <c r="H104" s="1" t="s">
        <v>206</v>
      </c>
      <c r="I104" s="1" t="s">
        <v>207</v>
      </c>
      <c r="J104" s="1" t="s">
        <v>62</v>
      </c>
      <c r="K104" s="1" t="s">
        <v>91</v>
      </c>
      <c r="L104" s="1" t="s">
        <v>454</v>
      </c>
      <c r="M104" s="1" t="s">
        <v>72</v>
      </c>
      <c r="N104" s="1" t="s">
        <v>2937</v>
      </c>
      <c r="O104" s="1" t="s">
        <v>3530</v>
      </c>
      <c r="P104" s="1" t="s">
        <v>66</v>
      </c>
      <c r="Q104" s="1" t="s">
        <v>3531</v>
      </c>
      <c r="R104" s="1" t="s">
        <v>3532</v>
      </c>
      <c r="S104" s="1" t="s">
        <v>3533</v>
      </c>
      <c r="T104" s="1" t="s">
        <v>129</v>
      </c>
      <c r="U104" s="1" t="s">
        <v>93</v>
      </c>
    </row>
    <row r="105" customFormat="false" ht="15" hidden="false" customHeight="true" outlineLevel="0" collapsed="false">
      <c r="A105" s="1" t="s">
        <v>455</v>
      </c>
      <c r="B105" s="1" t="s">
        <v>3534</v>
      </c>
      <c r="C105" s="1" t="s">
        <v>3535</v>
      </c>
      <c r="D105" s="1" t="s">
        <v>456</v>
      </c>
      <c r="E105" s="1" t="s">
        <v>298</v>
      </c>
      <c r="F105" s="1" t="s">
        <v>116</v>
      </c>
      <c r="G105" s="1" t="s">
        <v>88</v>
      </c>
      <c r="H105" s="1" t="s">
        <v>89</v>
      </c>
      <c r="I105" s="1" t="s">
        <v>90</v>
      </c>
      <c r="J105" s="1" t="s">
        <v>62</v>
      </c>
      <c r="K105" s="1" t="s">
        <v>63</v>
      </c>
      <c r="L105" s="1" t="s">
        <v>457</v>
      </c>
      <c r="M105" s="1" t="s">
        <v>72</v>
      </c>
      <c r="N105" s="1" t="s">
        <v>2937</v>
      </c>
      <c r="O105" s="1" t="s">
        <v>3536</v>
      </c>
      <c r="P105" s="1" t="s">
        <v>50</v>
      </c>
      <c r="Q105" s="1" t="s">
        <v>3537</v>
      </c>
      <c r="R105" s="1" t="s">
        <v>3538</v>
      </c>
      <c r="S105" s="1" t="s">
        <v>3539</v>
      </c>
      <c r="T105" s="1" t="s">
        <v>52</v>
      </c>
      <c r="U105" s="1" t="s">
        <v>53</v>
      </c>
    </row>
    <row r="106" customFormat="false" ht="15" hidden="false" customHeight="true" outlineLevel="0" collapsed="false">
      <c r="A106" s="1" t="s">
        <v>458</v>
      </c>
      <c r="B106" s="1" t="s">
        <v>3540</v>
      </c>
      <c r="C106" s="1" t="s">
        <v>3541</v>
      </c>
      <c r="D106" s="1" t="s">
        <v>459</v>
      </c>
      <c r="E106" s="1" t="s">
        <v>87</v>
      </c>
      <c r="F106" s="1" t="s">
        <v>41</v>
      </c>
      <c r="G106" s="1" t="s">
        <v>78</v>
      </c>
      <c r="H106" s="1" t="s">
        <v>206</v>
      </c>
      <c r="I106" s="1" t="s">
        <v>207</v>
      </c>
      <c r="J106" s="1" t="s">
        <v>46</v>
      </c>
      <c r="K106" s="1" t="s">
        <v>117</v>
      </c>
      <c r="L106" s="1" t="s">
        <v>460</v>
      </c>
      <c r="M106" s="1" t="s">
        <v>65</v>
      </c>
      <c r="N106" s="1" t="s">
        <v>2829</v>
      </c>
      <c r="O106" s="1" t="s">
        <v>3542</v>
      </c>
      <c r="P106" s="1" t="s">
        <v>84</v>
      </c>
      <c r="Q106" s="1" t="s">
        <v>3543</v>
      </c>
      <c r="R106" s="1" t="s">
        <v>3544</v>
      </c>
      <c r="S106" s="1" t="s">
        <v>3545</v>
      </c>
      <c r="T106" s="1" t="s">
        <v>52</v>
      </c>
      <c r="U106" s="1" t="s">
        <v>93</v>
      </c>
    </row>
    <row r="107" customFormat="false" ht="15" hidden="false" customHeight="true" outlineLevel="0" collapsed="false">
      <c r="A107" s="1" t="s">
        <v>461</v>
      </c>
      <c r="B107" s="1" t="s">
        <v>3546</v>
      </c>
      <c r="C107" s="1" t="s">
        <v>3547</v>
      </c>
      <c r="D107" s="1" t="s">
        <v>462</v>
      </c>
      <c r="E107" s="1" t="s">
        <v>57</v>
      </c>
      <c r="F107" s="1" t="s">
        <v>121</v>
      </c>
      <c r="G107" s="1" t="s">
        <v>59</v>
      </c>
      <c r="H107" s="1" t="s">
        <v>125</v>
      </c>
      <c r="I107" s="1" t="s">
        <v>126</v>
      </c>
      <c r="J107" s="1" t="s">
        <v>62</v>
      </c>
      <c r="K107" s="1" t="s">
        <v>63</v>
      </c>
      <c r="L107" s="1" t="s">
        <v>463</v>
      </c>
      <c r="M107" s="1" t="s">
        <v>49</v>
      </c>
      <c r="N107" s="1" t="s">
        <v>2868</v>
      </c>
      <c r="O107" s="1" t="s">
        <v>3548</v>
      </c>
      <c r="P107" s="1" t="s">
        <v>203</v>
      </c>
      <c r="Q107" s="1" t="s">
        <v>3549</v>
      </c>
      <c r="R107" s="1" t="s">
        <v>3550</v>
      </c>
      <c r="S107" s="1" t="s">
        <v>3551</v>
      </c>
      <c r="T107" s="1" t="s">
        <v>52</v>
      </c>
      <c r="U107" s="1" t="s">
        <v>53</v>
      </c>
    </row>
    <row r="108" customFormat="false" ht="15" hidden="false" customHeight="true" outlineLevel="0" collapsed="false">
      <c r="A108" s="1" t="s">
        <v>464</v>
      </c>
      <c r="B108" s="1" t="s">
        <v>3552</v>
      </c>
      <c r="C108" s="1" t="s">
        <v>3553</v>
      </c>
      <c r="D108" s="1" t="s">
        <v>465</v>
      </c>
      <c r="E108" s="1" t="s">
        <v>77</v>
      </c>
      <c r="F108" s="1" t="s">
        <v>121</v>
      </c>
      <c r="G108" s="1" t="s">
        <v>59</v>
      </c>
      <c r="H108" s="1" t="s">
        <v>125</v>
      </c>
      <c r="I108" s="1" t="s">
        <v>126</v>
      </c>
      <c r="J108" s="1" t="s">
        <v>46</v>
      </c>
      <c r="K108" s="1" t="s">
        <v>47</v>
      </c>
      <c r="L108" s="1" t="s">
        <v>466</v>
      </c>
      <c r="M108" s="1" t="s">
        <v>83</v>
      </c>
      <c r="N108" s="1" t="s">
        <v>2868</v>
      </c>
      <c r="O108" s="1" t="s">
        <v>3554</v>
      </c>
      <c r="Q108" s="1" t="s">
        <v>3555</v>
      </c>
      <c r="R108" s="1" t="s">
        <v>3556</v>
      </c>
      <c r="S108" s="1" t="s">
        <v>3557</v>
      </c>
      <c r="T108" s="1" t="s">
        <v>52</v>
      </c>
      <c r="U108" s="1" t="s">
        <v>93</v>
      </c>
    </row>
    <row r="109" customFormat="false" ht="15" hidden="false" customHeight="true" outlineLevel="0" collapsed="false">
      <c r="A109" s="1" t="s">
        <v>467</v>
      </c>
      <c r="B109" s="1" t="s">
        <v>3558</v>
      </c>
      <c r="C109" s="1" t="s">
        <v>3559</v>
      </c>
      <c r="D109" s="1" t="s">
        <v>468</v>
      </c>
      <c r="E109" s="1" t="s">
        <v>168</v>
      </c>
      <c r="F109" s="1" t="s">
        <v>121</v>
      </c>
      <c r="G109" s="1" t="s">
        <v>59</v>
      </c>
      <c r="H109" s="1" t="s">
        <v>125</v>
      </c>
      <c r="I109" s="1" t="s">
        <v>126</v>
      </c>
      <c r="J109" s="1" t="s">
        <v>62</v>
      </c>
      <c r="K109" s="1" t="s">
        <v>81</v>
      </c>
      <c r="L109" s="1" t="s">
        <v>469</v>
      </c>
      <c r="M109" s="1" t="s">
        <v>72</v>
      </c>
      <c r="N109" s="1" t="s">
        <v>2822</v>
      </c>
      <c r="O109" s="1" t="s">
        <v>3560</v>
      </c>
      <c r="P109" s="1" t="s">
        <v>128</v>
      </c>
      <c r="Q109" s="1" t="s">
        <v>3561</v>
      </c>
      <c r="R109" s="1" t="s">
        <v>3562</v>
      </c>
      <c r="S109" s="1" t="s">
        <v>3563</v>
      </c>
      <c r="T109" s="1" t="s">
        <v>52</v>
      </c>
      <c r="U109" s="1" t="s">
        <v>53</v>
      </c>
    </row>
    <row r="110" customFormat="false" ht="15" hidden="false" customHeight="true" outlineLevel="0" collapsed="false">
      <c r="A110" s="1" t="s">
        <v>470</v>
      </c>
      <c r="B110" s="1" t="s">
        <v>3564</v>
      </c>
      <c r="C110" s="1" t="s">
        <v>3565</v>
      </c>
      <c r="D110" s="1" t="s">
        <v>471</v>
      </c>
      <c r="E110" s="1" t="s">
        <v>115</v>
      </c>
      <c r="F110" s="1" t="s">
        <v>58</v>
      </c>
      <c r="G110" s="1" t="s">
        <v>59</v>
      </c>
      <c r="H110" s="1" t="s">
        <v>60</v>
      </c>
      <c r="I110" s="1" t="s">
        <v>61</v>
      </c>
      <c r="J110" s="1" t="s">
        <v>62</v>
      </c>
      <c r="K110" s="1" t="s">
        <v>188</v>
      </c>
      <c r="L110" s="1" t="s">
        <v>472</v>
      </c>
      <c r="M110" s="1" t="s">
        <v>65</v>
      </c>
      <c r="N110" s="1" t="s">
        <v>2868</v>
      </c>
      <c r="O110" s="1" t="s">
        <v>3566</v>
      </c>
      <c r="P110" s="1" t="s">
        <v>84</v>
      </c>
      <c r="Q110" s="1" t="s">
        <v>3567</v>
      </c>
      <c r="R110" s="1" t="s">
        <v>3568</v>
      </c>
      <c r="S110" s="1" t="s">
        <v>3569</v>
      </c>
      <c r="T110" s="1" t="s">
        <v>52</v>
      </c>
      <c r="U110" s="1" t="s">
        <v>53</v>
      </c>
    </row>
    <row r="111" customFormat="false" ht="15" hidden="false" customHeight="true" outlineLevel="0" collapsed="false">
      <c r="A111" s="1" t="s">
        <v>473</v>
      </c>
      <c r="B111" s="1" t="s">
        <v>3570</v>
      </c>
      <c r="C111" s="1" t="s">
        <v>3378</v>
      </c>
      <c r="D111" s="1" t="s">
        <v>474</v>
      </c>
      <c r="E111" s="1" t="s">
        <v>159</v>
      </c>
      <c r="F111" s="1" t="s">
        <v>41</v>
      </c>
      <c r="G111" s="1" t="s">
        <v>42</v>
      </c>
      <c r="H111" s="1" t="s">
        <v>384</v>
      </c>
      <c r="I111" s="1" t="s">
        <v>385</v>
      </c>
      <c r="J111" s="1" t="s">
        <v>46</v>
      </c>
      <c r="K111" s="1" t="s">
        <v>183</v>
      </c>
      <c r="L111" s="1" t="s">
        <v>475</v>
      </c>
      <c r="M111" s="1" t="s">
        <v>49</v>
      </c>
      <c r="N111" s="1" t="s">
        <v>2836</v>
      </c>
      <c r="O111" s="1" t="s">
        <v>3571</v>
      </c>
      <c r="P111" s="1" t="s">
        <v>84</v>
      </c>
      <c r="Q111" s="1" t="s">
        <v>3572</v>
      </c>
      <c r="R111" s="1" t="s">
        <v>3573</v>
      </c>
      <c r="S111" s="1" t="s">
        <v>3574</v>
      </c>
      <c r="T111" s="1" t="s">
        <v>52</v>
      </c>
      <c r="U111" s="1" t="s">
        <v>53</v>
      </c>
    </row>
    <row r="112" customFormat="false" ht="15" hidden="false" customHeight="true" outlineLevel="0" collapsed="false">
      <c r="A112" s="1" t="s">
        <v>476</v>
      </c>
      <c r="B112" s="1" t="s">
        <v>3575</v>
      </c>
      <c r="C112" s="1" t="s">
        <v>3576</v>
      </c>
      <c r="D112" s="1" t="s">
        <v>477</v>
      </c>
      <c r="E112" s="1" t="s">
        <v>96</v>
      </c>
      <c r="F112" s="1" t="s">
        <v>116</v>
      </c>
      <c r="G112" s="1" t="s">
        <v>78</v>
      </c>
      <c r="H112" s="1" t="s">
        <v>216</v>
      </c>
      <c r="I112" s="1" t="s">
        <v>217</v>
      </c>
      <c r="J112" s="1" t="s">
        <v>46</v>
      </c>
      <c r="K112" s="1" t="s">
        <v>117</v>
      </c>
      <c r="L112" s="1" t="s">
        <v>478</v>
      </c>
      <c r="M112" s="1" t="s">
        <v>72</v>
      </c>
      <c r="N112" s="1" t="s">
        <v>2868</v>
      </c>
      <c r="O112" s="1" t="s">
        <v>3577</v>
      </c>
      <c r="P112" s="1" t="s">
        <v>66</v>
      </c>
      <c r="Q112" s="1" t="s">
        <v>3578</v>
      </c>
      <c r="R112" s="1" t="s">
        <v>3579</v>
      </c>
      <c r="S112" s="1" t="s">
        <v>3580</v>
      </c>
      <c r="T112" s="1" t="s">
        <v>129</v>
      </c>
      <c r="U112" s="1" t="s">
        <v>93</v>
      </c>
    </row>
    <row r="113" customFormat="false" ht="15" hidden="false" customHeight="true" outlineLevel="0" collapsed="false">
      <c r="A113" s="1" t="s">
        <v>479</v>
      </c>
      <c r="B113" s="1" t="s">
        <v>3581</v>
      </c>
      <c r="C113" s="1" t="s">
        <v>3582</v>
      </c>
      <c r="D113" s="1" t="s">
        <v>480</v>
      </c>
      <c r="E113" s="1" t="s">
        <v>104</v>
      </c>
      <c r="F113" s="1" t="s">
        <v>116</v>
      </c>
      <c r="G113" s="1" t="s">
        <v>59</v>
      </c>
      <c r="H113" s="1" t="s">
        <v>174</v>
      </c>
      <c r="I113" s="1" t="s">
        <v>175</v>
      </c>
      <c r="J113" s="1" t="s">
        <v>99</v>
      </c>
      <c r="K113" s="1" t="s">
        <v>100</v>
      </c>
      <c r="L113" s="1" t="s">
        <v>481</v>
      </c>
      <c r="M113" s="1" t="s">
        <v>72</v>
      </c>
      <c r="N113" s="1" t="s">
        <v>2836</v>
      </c>
      <c r="O113" s="1" t="s">
        <v>3583</v>
      </c>
      <c r="P113" s="1" t="s">
        <v>128</v>
      </c>
      <c r="Q113" s="1" t="s">
        <v>3584</v>
      </c>
      <c r="R113" s="1" t="s">
        <v>3585</v>
      </c>
      <c r="S113" s="1" t="s">
        <v>3586</v>
      </c>
      <c r="T113" s="1" t="s">
        <v>138</v>
      </c>
      <c r="U113" s="1" t="s">
        <v>93</v>
      </c>
    </row>
    <row r="114" customFormat="false" ht="15" hidden="false" customHeight="true" outlineLevel="0" collapsed="false">
      <c r="A114" s="1" t="s">
        <v>482</v>
      </c>
      <c r="B114" s="1" t="s">
        <v>3587</v>
      </c>
      <c r="C114" s="1" t="s">
        <v>3588</v>
      </c>
      <c r="D114" s="1" t="s">
        <v>483</v>
      </c>
      <c r="E114" s="1" t="s">
        <v>159</v>
      </c>
      <c r="F114" s="1" t="s">
        <v>41</v>
      </c>
      <c r="H114" s="1" t="s">
        <v>211</v>
      </c>
      <c r="I114" s="1" t="s">
        <v>212</v>
      </c>
      <c r="J114" s="1" t="s">
        <v>99</v>
      </c>
      <c r="K114" s="1" t="s">
        <v>100</v>
      </c>
      <c r="L114" s="1" t="s">
        <v>484</v>
      </c>
      <c r="M114" s="1" t="s">
        <v>83</v>
      </c>
      <c r="N114" s="1" t="s">
        <v>2822</v>
      </c>
      <c r="O114" s="1" t="s">
        <v>3589</v>
      </c>
      <c r="P114" s="1" t="s">
        <v>128</v>
      </c>
      <c r="Q114" s="1" t="s">
        <v>3590</v>
      </c>
      <c r="R114" s="1" t="s">
        <v>3591</v>
      </c>
      <c r="S114" s="1" t="s">
        <v>3592</v>
      </c>
      <c r="T114" s="1" t="s">
        <v>52</v>
      </c>
      <c r="U114" s="1" t="s">
        <v>53</v>
      </c>
    </row>
    <row r="115" customFormat="false" ht="15" hidden="false" customHeight="true" outlineLevel="0" collapsed="false">
      <c r="A115" s="1" t="s">
        <v>485</v>
      </c>
      <c r="B115" s="1" t="s">
        <v>3593</v>
      </c>
      <c r="C115" s="1" t="s">
        <v>3593</v>
      </c>
      <c r="D115" s="1" t="s">
        <v>394</v>
      </c>
      <c r="E115" s="1" t="s">
        <v>69</v>
      </c>
      <c r="F115" s="1" t="s">
        <v>121</v>
      </c>
      <c r="G115" s="1" t="s">
        <v>78</v>
      </c>
      <c r="H115" s="1" t="s">
        <v>281</v>
      </c>
      <c r="I115" s="1" t="s">
        <v>282</v>
      </c>
      <c r="J115" s="1" t="s">
        <v>62</v>
      </c>
      <c r="K115" s="1" t="s">
        <v>63</v>
      </c>
      <c r="L115" s="1" t="s">
        <v>486</v>
      </c>
      <c r="M115" s="1" t="s">
        <v>83</v>
      </c>
      <c r="N115" s="1" t="s">
        <v>2822</v>
      </c>
      <c r="O115" s="1" t="s">
        <v>3594</v>
      </c>
      <c r="P115" s="1" t="s">
        <v>84</v>
      </c>
      <c r="Q115" s="1" t="s">
        <v>3595</v>
      </c>
      <c r="R115" s="1" t="s">
        <v>3596</v>
      </c>
      <c r="S115" s="1" t="s">
        <v>3597</v>
      </c>
      <c r="T115" s="1" t="s">
        <v>52</v>
      </c>
      <c r="U115" s="1" t="s">
        <v>53</v>
      </c>
    </row>
    <row r="116" customFormat="false" ht="15" hidden="false" customHeight="true" outlineLevel="0" collapsed="false">
      <c r="A116" s="1" t="s">
        <v>487</v>
      </c>
      <c r="B116" s="1" t="s">
        <v>3598</v>
      </c>
      <c r="C116" s="1" t="s">
        <v>3599</v>
      </c>
      <c r="D116" s="1" t="s">
        <v>488</v>
      </c>
      <c r="E116" s="1" t="s">
        <v>104</v>
      </c>
      <c r="F116" s="1" t="s">
        <v>58</v>
      </c>
      <c r="G116" s="1" t="s">
        <v>42</v>
      </c>
      <c r="H116" s="1" t="s">
        <v>44</v>
      </c>
      <c r="I116" s="1" t="s">
        <v>45</v>
      </c>
      <c r="J116" s="1" t="s">
        <v>99</v>
      </c>
      <c r="K116" s="1" t="s">
        <v>100</v>
      </c>
      <c r="L116" s="1" t="s">
        <v>489</v>
      </c>
      <c r="M116" s="1" t="s">
        <v>49</v>
      </c>
      <c r="N116" s="1" t="s">
        <v>2836</v>
      </c>
      <c r="O116" s="1" t="s">
        <v>3600</v>
      </c>
      <c r="P116" s="1" t="s">
        <v>203</v>
      </c>
      <c r="Q116" s="1" t="s">
        <v>3601</v>
      </c>
      <c r="R116" s="1" t="s">
        <v>3602</v>
      </c>
      <c r="S116" s="1" t="s">
        <v>3603</v>
      </c>
      <c r="T116" s="1" t="s">
        <v>138</v>
      </c>
      <c r="U116" s="1" t="s">
        <v>93</v>
      </c>
    </row>
    <row r="117" customFormat="false" ht="15" hidden="false" customHeight="true" outlineLevel="0" collapsed="false">
      <c r="A117" s="1" t="s">
        <v>490</v>
      </c>
      <c r="B117" s="1" t="s">
        <v>3604</v>
      </c>
      <c r="C117" s="1" t="s">
        <v>3605</v>
      </c>
      <c r="D117" s="1" t="s">
        <v>491</v>
      </c>
      <c r="E117" s="1" t="s">
        <v>298</v>
      </c>
      <c r="F117" s="1" t="s">
        <v>116</v>
      </c>
      <c r="G117" s="1" t="s">
        <v>78</v>
      </c>
      <c r="H117" s="1" t="s">
        <v>281</v>
      </c>
      <c r="I117" s="1" t="s">
        <v>282</v>
      </c>
      <c r="J117" s="1" t="s">
        <v>46</v>
      </c>
      <c r="K117" s="1" t="s">
        <v>183</v>
      </c>
      <c r="L117" s="1" t="s">
        <v>492</v>
      </c>
      <c r="M117" s="1" t="s">
        <v>65</v>
      </c>
      <c r="N117" s="1" t="s">
        <v>2868</v>
      </c>
      <c r="O117" s="1" t="s">
        <v>3606</v>
      </c>
      <c r="P117" s="1" t="s">
        <v>107</v>
      </c>
      <c r="Q117" s="1" t="s">
        <v>3607</v>
      </c>
      <c r="R117" s="1" t="s">
        <v>3608</v>
      </c>
      <c r="S117" s="1" t="s">
        <v>3609</v>
      </c>
      <c r="T117" s="1" t="s">
        <v>52</v>
      </c>
      <c r="U117" s="1" t="s">
        <v>93</v>
      </c>
    </row>
    <row r="118" customFormat="false" ht="15" hidden="false" customHeight="true" outlineLevel="0" collapsed="false">
      <c r="A118" s="1" t="s">
        <v>493</v>
      </c>
      <c r="B118" s="1" t="s">
        <v>3610</v>
      </c>
      <c r="C118" s="1" t="s">
        <v>3611</v>
      </c>
      <c r="D118" s="1" t="s">
        <v>494</v>
      </c>
      <c r="E118" s="1" t="s">
        <v>87</v>
      </c>
      <c r="F118" s="1" t="s">
        <v>58</v>
      </c>
      <c r="H118" s="1" t="s">
        <v>97</v>
      </c>
      <c r="I118" s="1" t="s">
        <v>98</v>
      </c>
      <c r="J118" s="1" t="s">
        <v>46</v>
      </c>
      <c r="K118" s="1" t="s">
        <v>183</v>
      </c>
      <c r="L118" s="1" t="s">
        <v>495</v>
      </c>
      <c r="M118" s="1" t="s">
        <v>72</v>
      </c>
      <c r="N118" s="1" t="s">
        <v>2899</v>
      </c>
      <c r="O118" s="1" t="s">
        <v>3612</v>
      </c>
      <c r="P118" s="1" t="s">
        <v>84</v>
      </c>
      <c r="Q118" s="1" t="s">
        <v>3613</v>
      </c>
      <c r="R118" s="1" t="s">
        <v>3614</v>
      </c>
      <c r="S118" s="1" t="s">
        <v>3615</v>
      </c>
      <c r="T118" s="1" t="s">
        <v>185</v>
      </c>
      <c r="U118" s="1" t="s">
        <v>93</v>
      </c>
    </row>
    <row r="119" customFormat="false" ht="15" hidden="false" customHeight="true" outlineLevel="0" collapsed="false">
      <c r="A119" s="1" t="s">
        <v>496</v>
      </c>
      <c r="B119" s="1" t="s">
        <v>3616</v>
      </c>
      <c r="C119" s="1" t="s">
        <v>3617</v>
      </c>
      <c r="D119" s="1" t="s">
        <v>497</v>
      </c>
      <c r="E119" s="1" t="s">
        <v>57</v>
      </c>
      <c r="F119" s="1" t="s">
        <v>121</v>
      </c>
      <c r="G119" s="1" t="s">
        <v>78</v>
      </c>
      <c r="H119" s="1" t="s">
        <v>281</v>
      </c>
      <c r="I119" s="1" t="s">
        <v>282</v>
      </c>
      <c r="J119" s="1" t="s">
        <v>99</v>
      </c>
      <c r="K119" s="1" t="s">
        <v>308</v>
      </c>
      <c r="L119" s="1" t="s">
        <v>498</v>
      </c>
      <c r="M119" s="1" t="s">
        <v>83</v>
      </c>
      <c r="N119" s="1" t="s">
        <v>2899</v>
      </c>
      <c r="O119" s="1" t="s">
        <v>3618</v>
      </c>
      <c r="P119" s="1" t="s">
        <v>499</v>
      </c>
      <c r="Q119" s="1" t="s">
        <v>3619</v>
      </c>
      <c r="R119" s="1" t="s">
        <v>3620</v>
      </c>
      <c r="S119" s="1" t="s">
        <v>3621</v>
      </c>
      <c r="T119" s="1" t="s">
        <v>52</v>
      </c>
      <c r="U119" s="1" t="s">
        <v>53</v>
      </c>
    </row>
    <row r="120" customFormat="false" ht="15" hidden="false" customHeight="true" outlineLevel="0" collapsed="false">
      <c r="A120" s="1" t="s">
        <v>500</v>
      </c>
      <c r="B120" s="1" t="s">
        <v>3622</v>
      </c>
      <c r="C120" s="1" t="s">
        <v>3623</v>
      </c>
      <c r="D120" s="1" t="s">
        <v>501</v>
      </c>
      <c r="E120" s="1" t="s">
        <v>3624</v>
      </c>
      <c r="F120" s="1" t="s">
        <v>121</v>
      </c>
      <c r="G120" s="1" t="s">
        <v>78</v>
      </c>
      <c r="H120" s="1" t="s">
        <v>110</v>
      </c>
      <c r="I120" s="1" t="s">
        <v>111</v>
      </c>
      <c r="J120" s="1" t="s">
        <v>99</v>
      </c>
      <c r="K120" s="1" t="s">
        <v>105</v>
      </c>
      <c r="L120" s="1" t="s">
        <v>502</v>
      </c>
      <c r="M120" s="1" t="s">
        <v>65</v>
      </c>
      <c r="N120" s="1" t="s">
        <v>2829</v>
      </c>
      <c r="O120" s="1" t="s">
        <v>3625</v>
      </c>
      <c r="P120" s="1" t="s">
        <v>50</v>
      </c>
      <c r="Q120" s="1" t="s">
        <v>3626</v>
      </c>
      <c r="R120" s="1" t="s">
        <v>3627</v>
      </c>
      <c r="S120" s="1" t="s">
        <v>3628</v>
      </c>
      <c r="T120" s="1" t="s">
        <v>52</v>
      </c>
      <c r="U120" s="1" t="s">
        <v>53</v>
      </c>
    </row>
    <row r="121" customFormat="false" ht="15" hidden="false" customHeight="true" outlineLevel="0" collapsed="false">
      <c r="A121" s="1" t="s">
        <v>503</v>
      </c>
      <c r="B121" s="1" t="s">
        <v>3629</v>
      </c>
      <c r="C121" s="1" t="s">
        <v>3630</v>
      </c>
      <c r="D121" s="1" t="s">
        <v>504</v>
      </c>
      <c r="E121" s="1" t="s">
        <v>115</v>
      </c>
      <c r="F121" s="1" t="s">
        <v>58</v>
      </c>
      <c r="G121" s="1" t="s">
        <v>78</v>
      </c>
      <c r="H121" s="1" t="s">
        <v>216</v>
      </c>
      <c r="I121" s="1" t="s">
        <v>217</v>
      </c>
      <c r="J121" s="1" t="s">
        <v>62</v>
      </c>
      <c r="K121" s="1" t="s">
        <v>91</v>
      </c>
      <c r="L121" s="1" t="s">
        <v>505</v>
      </c>
      <c r="M121" s="1" t="s">
        <v>83</v>
      </c>
      <c r="N121" s="1" t="s">
        <v>2861</v>
      </c>
      <c r="O121" s="1" t="s">
        <v>3631</v>
      </c>
      <c r="P121" s="1" t="s">
        <v>84</v>
      </c>
      <c r="Q121" s="1" t="s">
        <v>3632</v>
      </c>
      <c r="R121" s="1" t="s">
        <v>3633</v>
      </c>
      <c r="S121" s="1" t="s">
        <v>3634</v>
      </c>
      <c r="T121" s="1" t="s">
        <v>129</v>
      </c>
      <c r="U121" s="1" t="s">
        <v>130</v>
      </c>
    </row>
    <row r="122" customFormat="false" ht="15" hidden="false" customHeight="true" outlineLevel="0" collapsed="false">
      <c r="A122" s="1" t="s">
        <v>506</v>
      </c>
      <c r="B122" s="1" t="s">
        <v>3407</v>
      </c>
      <c r="C122" s="1" t="s">
        <v>3635</v>
      </c>
      <c r="D122" s="1" t="s">
        <v>507</v>
      </c>
      <c r="E122" s="1" t="s">
        <v>159</v>
      </c>
      <c r="F122" s="1" t="s">
        <v>58</v>
      </c>
      <c r="G122" s="1" t="s">
        <v>59</v>
      </c>
      <c r="H122" s="1" t="s">
        <v>174</v>
      </c>
      <c r="I122" s="1" t="s">
        <v>175</v>
      </c>
      <c r="J122" s="1" t="s">
        <v>99</v>
      </c>
      <c r="K122" s="1" t="s">
        <v>201</v>
      </c>
      <c r="L122" s="1" t="s">
        <v>508</v>
      </c>
      <c r="M122" s="1" t="s">
        <v>83</v>
      </c>
      <c r="N122" s="1" t="s">
        <v>2836</v>
      </c>
      <c r="O122" s="1" t="s">
        <v>3636</v>
      </c>
      <c r="P122" s="1" t="s">
        <v>50</v>
      </c>
      <c r="Q122" s="1" t="s">
        <v>3637</v>
      </c>
      <c r="R122" s="1" t="s">
        <v>3638</v>
      </c>
      <c r="S122" s="1" t="s">
        <v>3639</v>
      </c>
      <c r="T122" s="1" t="s">
        <v>52</v>
      </c>
      <c r="U122" s="1" t="s">
        <v>130</v>
      </c>
    </row>
    <row r="123" customFormat="false" ht="15" hidden="false" customHeight="true" outlineLevel="0" collapsed="false">
      <c r="A123" s="1" t="s">
        <v>509</v>
      </c>
      <c r="B123" s="1" t="s">
        <v>3640</v>
      </c>
      <c r="C123" s="1" t="s">
        <v>3641</v>
      </c>
      <c r="D123" s="1" t="s">
        <v>510</v>
      </c>
      <c r="E123" s="1" t="s">
        <v>298</v>
      </c>
      <c r="F123" s="1" t="s">
        <v>3642</v>
      </c>
      <c r="G123" s="1" t="s">
        <v>78</v>
      </c>
      <c r="H123" s="1" t="s">
        <v>110</v>
      </c>
      <c r="I123" s="1" t="s">
        <v>111</v>
      </c>
      <c r="J123" s="1" t="s">
        <v>99</v>
      </c>
      <c r="K123" s="1" t="s">
        <v>308</v>
      </c>
      <c r="L123" s="1" t="s">
        <v>511</v>
      </c>
      <c r="M123" s="1" t="s">
        <v>49</v>
      </c>
      <c r="N123" s="1" t="s">
        <v>2829</v>
      </c>
      <c r="O123" s="1" t="s">
        <v>3643</v>
      </c>
      <c r="P123" s="1" t="s">
        <v>66</v>
      </c>
      <c r="Q123" s="1" t="s">
        <v>3644</v>
      </c>
      <c r="R123" s="1" t="s">
        <v>3645</v>
      </c>
      <c r="S123" s="1" t="s">
        <v>3646</v>
      </c>
      <c r="T123" s="1" t="s">
        <v>129</v>
      </c>
      <c r="U123" s="1" t="s">
        <v>93</v>
      </c>
    </row>
    <row r="124" customFormat="false" ht="15" hidden="false" customHeight="true" outlineLevel="0" collapsed="false">
      <c r="A124" s="1" t="s">
        <v>512</v>
      </c>
      <c r="B124" s="1" t="s">
        <v>3647</v>
      </c>
      <c r="C124" s="1" t="s">
        <v>3648</v>
      </c>
      <c r="D124" s="1" t="s">
        <v>513</v>
      </c>
      <c r="E124" s="1" t="s">
        <v>87</v>
      </c>
      <c r="F124" s="1" t="s">
        <v>58</v>
      </c>
      <c r="G124" s="1" t="s">
        <v>59</v>
      </c>
      <c r="H124" s="1" t="s">
        <v>196</v>
      </c>
      <c r="I124" s="1" t="s">
        <v>197</v>
      </c>
      <c r="J124" s="1" t="s">
        <v>62</v>
      </c>
      <c r="K124" s="1" t="s">
        <v>91</v>
      </c>
      <c r="L124" s="1" t="s">
        <v>514</v>
      </c>
      <c r="M124" s="1" t="s">
        <v>49</v>
      </c>
      <c r="N124" s="1" t="s">
        <v>2822</v>
      </c>
      <c r="O124" s="1" t="s">
        <v>3649</v>
      </c>
      <c r="P124" s="1" t="s">
        <v>66</v>
      </c>
      <c r="Q124" s="1" t="s">
        <v>3650</v>
      </c>
      <c r="R124" s="1" t="s">
        <v>3651</v>
      </c>
      <c r="S124" s="1" t="s">
        <v>3652</v>
      </c>
      <c r="T124" s="1" t="s">
        <v>52</v>
      </c>
      <c r="U124" s="1" t="s">
        <v>53</v>
      </c>
    </row>
    <row r="125" customFormat="false" ht="15" hidden="false" customHeight="true" outlineLevel="0" collapsed="false">
      <c r="A125" s="1" t="s">
        <v>515</v>
      </c>
      <c r="B125" s="1" t="s">
        <v>2879</v>
      </c>
      <c r="C125" s="1" t="s">
        <v>2880</v>
      </c>
      <c r="D125" s="1" t="s">
        <v>516</v>
      </c>
      <c r="E125" s="1" t="s">
        <v>159</v>
      </c>
      <c r="F125" s="1" t="s">
        <v>58</v>
      </c>
      <c r="G125" s="1" t="s">
        <v>2881</v>
      </c>
      <c r="H125" s="1" t="s">
        <v>149</v>
      </c>
      <c r="I125" s="1" t="s">
        <v>150</v>
      </c>
      <c r="J125" s="1" t="s">
        <v>99</v>
      </c>
      <c r="K125" s="1" t="s">
        <v>105</v>
      </c>
      <c r="L125" s="1" t="s">
        <v>517</v>
      </c>
      <c r="M125" s="1" t="s">
        <v>65</v>
      </c>
      <c r="N125" s="1" t="s">
        <v>2836</v>
      </c>
      <c r="O125" s="1" t="s">
        <v>2882</v>
      </c>
      <c r="P125" s="1" t="s">
        <v>66</v>
      </c>
      <c r="Q125" s="1" t="s">
        <v>2882</v>
      </c>
      <c r="R125" s="1" t="s">
        <v>2883</v>
      </c>
      <c r="S125" s="1" t="s">
        <v>2884</v>
      </c>
      <c r="T125" s="1" t="s">
        <v>129</v>
      </c>
      <c r="U125" s="1" t="s">
        <v>93</v>
      </c>
    </row>
    <row r="126" customFormat="false" ht="15" hidden="false" customHeight="true" outlineLevel="0" collapsed="false">
      <c r="A126" s="1" t="s">
        <v>518</v>
      </c>
      <c r="B126" s="1" t="s">
        <v>2942</v>
      </c>
      <c r="C126" s="1" t="s">
        <v>3653</v>
      </c>
      <c r="D126" s="1" t="s">
        <v>519</v>
      </c>
      <c r="E126" s="1" t="s">
        <v>69</v>
      </c>
      <c r="F126" s="1" t="s">
        <v>116</v>
      </c>
      <c r="G126" s="1" t="s">
        <v>78</v>
      </c>
      <c r="H126" s="1" t="s">
        <v>206</v>
      </c>
      <c r="I126" s="1" t="s">
        <v>207</v>
      </c>
      <c r="J126" s="1" t="s">
        <v>99</v>
      </c>
      <c r="K126" s="1" t="s">
        <v>105</v>
      </c>
      <c r="L126" s="1" t="s">
        <v>520</v>
      </c>
      <c r="M126" s="1" t="s">
        <v>83</v>
      </c>
      <c r="N126" s="1" t="s">
        <v>2899</v>
      </c>
      <c r="O126" s="1" t="s">
        <v>3654</v>
      </c>
      <c r="P126" s="1" t="s">
        <v>521</v>
      </c>
      <c r="Q126" s="1" t="s">
        <v>3655</v>
      </c>
      <c r="R126" s="1" t="s">
        <v>3656</v>
      </c>
      <c r="S126" s="1" t="s">
        <v>3657</v>
      </c>
      <c r="T126" s="1" t="s">
        <v>52</v>
      </c>
      <c r="U126" s="1" t="s">
        <v>53</v>
      </c>
    </row>
    <row r="127" customFormat="false" ht="15" hidden="false" customHeight="true" outlineLevel="0" collapsed="false">
      <c r="A127" s="1" t="s">
        <v>522</v>
      </c>
      <c r="B127" s="1" t="s">
        <v>3658</v>
      </c>
      <c r="C127" s="1" t="s">
        <v>3659</v>
      </c>
      <c r="D127" s="1" t="s">
        <v>523</v>
      </c>
      <c r="E127" s="1" t="s">
        <v>104</v>
      </c>
      <c r="F127" s="1" t="s">
        <v>58</v>
      </c>
      <c r="G127" s="1" t="s">
        <v>88</v>
      </c>
      <c r="H127" s="1" t="s">
        <v>44</v>
      </c>
      <c r="I127" s="1" t="s">
        <v>136</v>
      </c>
      <c r="J127" s="1" t="s">
        <v>62</v>
      </c>
      <c r="K127" s="1" t="s">
        <v>63</v>
      </c>
      <c r="L127" s="1" t="s">
        <v>524</v>
      </c>
      <c r="M127" s="1" t="s">
        <v>65</v>
      </c>
      <c r="N127" s="1" t="s">
        <v>2815</v>
      </c>
      <c r="O127" s="1" t="s">
        <v>3660</v>
      </c>
      <c r="P127" s="1" t="s">
        <v>84</v>
      </c>
      <c r="Q127" s="1" t="s">
        <v>3661</v>
      </c>
      <c r="R127" s="1" t="s">
        <v>3662</v>
      </c>
      <c r="S127" s="1" t="s">
        <v>3663</v>
      </c>
      <c r="T127" s="1" t="s">
        <v>129</v>
      </c>
      <c r="U127" s="1" t="s">
        <v>130</v>
      </c>
    </row>
    <row r="128" customFormat="false" ht="15" hidden="false" customHeight="true" outlineLevel="0" collapsed="false">
      <c r="A128" s="1" t="s">
        <v>525</v>
      </c>
      <c r="B128" s="1" t="s">
        <v>3664</v>
      </c>
      <c r="C128" s="1" t="s">
        <v>3665</v>
      </c>
      <c r="D128" s="1" t="s">
        <v>526</v>
      </c>
      <c r="E128" s="1" t="s">
        <v>141</v>
      </c>
      <c r="F128" s="1" t="s">
        <v>116</v>
      </c>
      <c r="G128" s="1" t="s">
        <v>42</v>
      </c>
      <c r="H128" s="1" t="s">
        <v>384</v>
      </c>
      <c r="I128" s="1" t="s">
        <v>385</v>
      </c>
      <c r="J128" s="1" t="s">
        <v>99</v>
      </c>
      <c r="K128" s="1" t="s">
        <v>105</v>
      </c>
      <c r="L128" s="1" t="s">
        <v>527</v>
      </c>
      <c r="M128" s="1" t="s">
        <v>83</v>
      </c>
      <c r="N128" s="1" t="s">
        <v>2822</v>
      </c>
      <c r="O128" s="1" t="s">
        <v>3666</v>
      </c>
      <c r="P128" s="1" t="s">
        <v>203</v>
      </c>
      <c r="Q128" s="1" t="s">
        <v>3667</v>
      </c>
      <c r="R128" s="1" t="s">
        <v>3668</v>
      </c>
      <c r="S128" s="1" t="s">
        <v>3669</v>
      </c>
      <c r="T128" s="1" t="s">
        <v>52</v>
      </c>
      <c r="U128" s="1" t="s">
        <v>53</v>
      </c>
    </row>
    <row r="129" customFormat="false" ht="15" hidden="false" customHeight="true" outlineLevel="0" collapsed="false">
      <c r="A129" s="1" t="s">
        <v>528</v>
      </c>
      <c r="B129" s="1" t="s">
        <v>2923</v>
      </c>
      <c r="C129" s="1" t="s">
        <v>2924</v>
      </c>
      <c r="D129" s="1" t="s">
        <v>529</v>
      </c>
      <c r="E129" s="1" t="s">
        <v>141</v>
      </c>
      <c r="F129" s="1" t="s">
        <v>116</v>
      </c>
      <c r="G129" s="1" t="s">
        <v>88</v>
      </c>
      <c r="H129" s="1" t="s">
        <v>97</v>
      </c>
      <c r="I129" s="1" t="s">
        <v>98</v>
      </c>
      <c r="J129" s="1" t="s">
        <v>46</v>
      </c>
      <c r="K129" s="1" t="s">
        <v>151</v>
      </c>
      <c r="L129" s="1" t="s">
        <v>530</v>
      </c>
      <c r="M129" s="1" t="s">
        <v>49</v>
      </c>
      <c r="N129" s="1" t="s">
        <v>2868</v>
      </c>
      <c r="O129" s="1" t="s">
        <v>2925</v>
      </c>
      <c r="P129" s="1" t="s">
        <v>128</v>
      </c>
      <c r="Q129" s="1" t="s">
        <v>2926</v>
      </c>
      <c r="R129" s="1" t="s">
        <v>2927</v>
      </c>
      <c r="S129" s="1" t="s">
        <v>2928</v>
      </c>
      <c r="T129" s="1" t="s">
        <v>52</v>
      </c>
      <c r="U129" s="1" t="s">
        <v>53</v>
      </c>
    </row>
    <row r="130" customFormat="false" ht="15" hidden="false" customHeight="true" outlineLevel="0" collapsed="false">
      <c r="A130" s="1" t="s">
        <v>531</v>
      </c>
      <c r="B130" s="1" t="s">
        <v>3670</v>
      </c>
      <c r="C130" s="1" t="s">
        <v>3671</v>
      </c>
      <c r="D130" s="1" t="s">
        <v>532</v>
      </c>
      <c r="E130" s="1" t="s">
        <v>104</v>
      </c>
      <c r="F130" s="1" t="s">
        <v>58</v>
      </c>
      <c r="G130" s="1" t="s">
        <v>59</v>
      </c>
      <c r="H130" s="1" t="s">
        <v>60</v>
      </c>
      <c r="I130" s="1" t="s">
        <v>61</v>
      </c>
      <c r="J130" s="1" t="s">
        <v>62</v>
      </c>
      <c r="K130" s="1" t="s">
        <v>81</v>
      </c>
      <c r="L130" s="1" t="s">
        <v>533</v>
      </c>
      <c r="M130" s="1" t="s">
        <v>83</v>
      </c>
      <c r="N130" s="1" t="s">
        <v>2829</v>
      </c>
      <c r="O130" s="1" t="s">
        <v>3672</v>
      </c>
      <c r="P130" s="1" t="s">
        <v>128</v>
      </c>
      <c r="Q130" s="1" t="s">
        <v>3673</v>
      </c>
      <c r="R130" s="1" t="s">
        <v>3674</v>
      </c>
      <c r="S130" s="1" t="s">
        <v>3675</v>
      </c>
      <c r="T130" s="1" t="s">
        <v>52</v>
      </c>
      <c r="U130" s="1" t="s">
        <v>130</v>
      </c>
    </row>
    <row r="131" customFormat="false" ht="15" hidden="false" customHeight="true" outlineLevel="0" collapsed="false">
      <c r="A131" s="1" t="s">
        <v>534</v>
      </c>
      <c r="B131" s="1" t="s">
        <v>3291</v>
      </c>
      <c r="C131" s="1" t="s">
        <v>3676</v>
      </c>
      <c r="D131" s="1" t="s">
        <v>535</v>
      </c>
      <c r="E131" s="1" t="s">
        <v>69</v>
      </c>
      <c r="F131" s="1" t="s">
        <v>58</v>
      </c>
      <c r="G131" s="1" t="s">
        <v>88</v>
      </c>
      <c r="H131" s="1" t="s">
        <v>221</v>
      </c>
      <c r="I131" s="1" t="s">
        <v>222</v>
      </c>
      <c r="J131" s="1" t="s">
        <v>46</v>
      </c>
      <c r="K131" s="1" t="s">
        <v>183</v>
      </c>
      <c r="L131" s="1" t="s">
        <v>536</v>
      </c>
      <c r="M131" s="1" t="s">
        <v>83</v>
      </c>
      <c r="N131" s="1" t="s">
        <v>2906</v>
      </c>
      <c r="O131" s="1" t="s">
        <v>3677</v>
      </c>
      <c r="P131" s="1" t="s">
        <v>128</v>
      </c>
      <c r="Q131" s="1" t="s">
        <v>3678</v>
      </c>
      <c r="R131" s="1" t="s">
        <v>3679</v>
      </c>
      <c r="S131" s="1" t="s">
        <v>3680</v>
      </c>
      <c r="T131" s="1" t="s">
        <v>52</v>
      </c>
      <c r="U131" s="1" t="s">
        <v>53</v>
      </c>
    </row>
    <row r="132" customFormat="false" ht="15" hidden="false" customHeight="true" outlineLevel="0" collapsed="false">
      <c r="A132" s="1" t="s">
        <v>537</v>
      </c>
      <c r="B132" s="1" t="s">
        <v>3681</v>
      </c>
      <c r="C132" s="1" t="s">
        <v>3682</v>
      </c>
      <c r="D132" s="1" t="s">
        <v>538</v>
      </c>
      <c r="E132" s="1" t="s">
        <v>77</v>
      </c>
      <c r="F132" s="1" t="s">
        <v>41</v>
      </c>
      <c r="G132" s="1" t="s">
        <v>88</v>
      </c>
      <c r="H132" s="1" t="s">
        <v>211</v>
      </c>
      <c r="I132" s="1" t="s">
        <v>212</v>
      </c>
      <c r="J132" s="1" t="s">
        <v>46</v>
      </c>
      <c r="K132" s="1" t="s">
        <v>117</v>
      </c>
      <c r="L132" s="1" t="s">
        <v>539</v>
      </c>
      <c r="M132" s="1" t="s">
        <v>65</v>
      </c>
      <c r="N132" s="1" t="s">
        <v>2829</v>
      </c>
      <c r="O132" s="1" t="s">
        <v>3683</v>
      </c>
      <c r="P132" s="1" t="s">
        <v>50</v>
      </c>
      <c r="Q132" s="1" t="s">
        <v>3684</v>
      </c>
      <c r="R132" s="1" t="s">
        <v>3685</v>
      </c>
      <c r="S132" s="1" t="s">
        <v>3686</v>
      </c>
      <c r="T132" s="1" t="s">
        <v>138</v>
      </c>
      <c r="U132" s="1" t="s">
        <v>93</v>
      </c>
    </row>
    <row r="133" customFormat="false" ht="15" hidden="false" customHeight="true" outlineLevel="0" collapsed="false">
      <c r="A133" s="1" t="s">
        <v>540</v>
      </c>
      <c r="B133" s="1" t="s">
        <v>3687</v>
      </c>
      <c r="C133" s="1" t="s">
        <v>3688</v>
      </c>
      <c r="D133" s="1" t="s">
        <v>541</v>
      </c>
      <c r="E133" s="1" t="s">
        <v>87</v>
      </c>
      <c r="F133" s="1" t="s">
        <v>121</v>
      </c>
      <c r="G133" s="1" t="s">
        <v>59</v>
      </c>
      <c r="H133" s="1" t="s">
        <v>262</v>
      </c>
      <c r="I133" s="1" t="s">
        <v>263</v>
      </c>
      <c r="J133" s="1" t="s">
        <v>46</v>
      </c>
      <c r="K133" s="1" t="s">
        <v>47</v>
      </c>
      <c r="L133" s="1" t="s">
        <v>542</v>
      </c>
      <c r="M133" s="1" t="s">
        <v>65</v>
      </c>
      <c r="N133" s="1" t="s">
        <v>2899</v>
      </c>
      <c r="O133" s="1" t="s">
        <v>3689</v>
      </c>
      <c r="P133" s="1" t="s">
        <v>50</v>
      </c>
      <c r="Q133" s="1" t="s">
        <v>3690</v>
      </c>
      <c r="R133" s="1" t="s">
        <v>3691</v>
      </c>
      <c r="S133" s="1" t="s">
        <v>3692</v>
      </c>
      <c r="T133" s="1" t="s">
        <v>52</v>
      </c>
      <c r="U133" s="1" t="s">
        <v>53</v>
      </c>
    </row>
    <row r="134" customFormat="false" ht="15" hidden="false" customHeight="true" outlineLevel="0" collapsed="false">
      <c r="A134" s="1" t="s">
        <v>543</v>
      </c>
      <c r="B134" s="1" t="s">
        <v>3693</v>
      </c>
      <c r="C134" s="1" t="s">
        <v>3693</v>
      </c>
      <c r="D134" s="1" t="s">
        <v>544</v>
      </c>
      <c r="E134" s="1" t="s">
        <v>298</v>
      </c>
      <c r="F134" s="1" t="s">
        <v>116</v>
      </c>
      <c r="G134" s="1" t="s">
        <v>59</v>
      </c>
      <c r="H134" s="1" t="s">
        <v>196</v>
      </c>
      <c r="I134" s="1" t="s">
        <v>197</v>
      </c>
      <c r="J134" s="1" t="s">
        <v>99</v>
      </c>
      <c r="K134" s="1" t="s">
        <v>308</v>
      </c>
      <c r="L134" s="1" t="s">
        <v>545</v>
      </c>
      <c r="M134" s="1" t="s">
        <v>72</v>
      </c>
      <c r="N134" s="1" t="s">
        <v>2868</v>
      </c>
      <c r="O134" s="1" t="s">
        <v>3694</v>
      </c>
      <c r="P134" s="1" t="s">
        <v>66</v>
      </c>
      <c r="Q134" s="1" t="s">
        <v>3695</v>
      </c>
      <c r="R134" s="1" t="s">
        <v>3696</v>
      </c>
      <c r="S134" s="1" t="s">
        <v>3697</v>
      </c>
      <c r="T134" s="1" t="s">
        <v>185</v>
      </c>
      <c r="U134" s="1" t="s">
        <v>93</v>
      </c>
    </row>
    <row r="135" customFormat="false" ht="15" hidden="false" customHeight="true" outlineLevel="0" collapsed="false">
      <c r="A135" s="1" t="s">
        <v>546</v>
      </c>
      <c r="B135" s="1" t="s">
        <v>2859</v>
      </c>
      <c r="C135" s="1" t="s">
        <v>2860</v>
      </c>
      <c r="D135" s="1" t="s">
        <v>547</v>
      </c>
      <c r="E135" s="1" t="s">
        <v>40</v>
      </c>
      <c r="F135" s="1" t="s">
        <v>41</v>
      </c>
      <c r="G135" s="1" t="s">
        <v>88</v>
      </c>
      <c r="H135" s="1" t="s">
        <v>221</v>
      </c>
      <c r="I135" s="1" t="s">
        <v>222</v>
      </c>
      <c r="J135" s="1" t="s">
        <v>99</v>
      </c>
      <c r="K135" s="1" t="s">
        <v>201</v>
      </c>
      <c r="L135" s="1" t="s">
        <v>548</v>
      </c>
      <c r="M135" s="1" t="s">
        <v>49</v>
      </c>
      <c r="N135" s="1" t="s">
        <v>2861</v>
      </c>
      <c r="O135" s="1" t="s">
        <v>2862</v>
      </c>
      <c r="P135" s="1" t="s">
        <v>107</v>
      </c>
      <c r="Q135" s="1" t="s">
        <v>2863</v>
      </c>
      <c r="R135" s="1" t="s">
        <v>2864</v>
      </c>
      <c r="S135" s="1" t="s">
        <v>2865</v>
      </c>
      <c r="T135" s="1" t="s">
        <v>52</v>
      </c>
      <c r="U135" s="1" t="s">
        <v>53</v>
      </c>
    </row>
    <row r="136" customFormat="false" ht="15" hidden="false" customHeight="true" outlineLevel="0" collapsed="false">
      <c r="A136" s="1" t="s">
        <v>549</v>
      </c>
      <c r="B136" s="1" t="s">
        <v>3698</v>
      </c>
      <c r="C136" s="1" t="s">
        <v>3699</v>
      </c>
      <c r="D136" s="1" t="s">
        <v>550</v>
      </c>
      <c r="E136" s="1" t="s">
        <v>96</v>
      </c>
      <c r="F136" s="1" t="s">
        <v>121</v>
      </c>
      <c r="G136" s="1" t="s">
        <v>59</v>
      </c>
      <c r="H136" s="1" t="s">
        <v>125</v>
      </c>
      <c r="I136" s="1" t="s">
        <v>126</v>
      </c>
      <c r="J136" s="1" t="s">
        <v>62</v>
      </c>
      <c r="K136" s="1" t="s">
        <v>188</v>
      </c>
      <c r="L136" s="1" t="s">
        <v>551</v>
      </c>
      <c r="N136" s="1" t="s">
        <v>2829</v>
      </c>
      <c r="O136" s="1" t="s">
        <v>3700</v>
      </c>
      <c r="P136" s="1" t="s">
        <v>84</v>
      </c>
      <c r="Q136" s="1" t="s">
        <v>3701</v>
      </c>
      <c r="R136" s="1" t="s">
        <v>3702</v>
      </c>
      <c r="S136" s="1" t="s">
        <v>3703</v>
      </c>
      <c r="T136" s="1" t="s">
        <v>138</v>
      </c>
      <c r="U136" s="1" t="s">
        <v>93</v>
      </c>
    </row>
    <row r="137" customFormat="false" ht="15" hidden="false" customHeight="true" outlineLevel="0" collapsed="false">
      <c r="A137" s="1" t="s">
        <v>552</v>
      </c>
      <c r="B137" s="1" t="s">
        <v>3704</v>
      </c>
      <c r="C137" s="1" t="s">
        <v>3704</v>
      </c>
      <c r="D137" s="1" t="s">
        <v>553</v>
      </c>
      <c r="E137" s="1" t="s">
        <v>192</v>
      </c>
      <c r="F137" s="1" t="s">
        <v>58</v>
      </c>
      <c r="G137" s="1" t="s">
        <v>78</v>
      </c>
      <c r="H137" s="1" t="s">
        <v>216</v>
      </c>
      <c r="I137" s="1" t="s">
        <v>217</v>
      </c>
      <c r="J137" s="1" t="s">
        <v>62</v>
      </c>
      <c r="K137" s="1" t="s">
        <v>188</v>
      </c>
      <c r="L137" s="1" t="s">
        <v>554</v>
      </c>
      <c r="M137" s="1" t="s">
        <v>83</v>
      </c>
      <c r="N137" s="1" t="s">
        <v>2836</v>
      </c>
      <c r="O137" s="1" t="s">
        <v>3705</v>
      </c>
      <c r="P137" s="1" t="s">
        <v>66</v>
      </c>
      <c r="Q137" s="1" t="s">
        <v>3705</v>
      </c>
      <c r="R137" s="1" t="s">
        <v>3706</v>
      </c>
      <c r="S137" s="1" t="s">
        <v>3707</v>
      </c>
      <c r="T137" s="1" t="s">
        <v>52</v>
      </c>
      <c r="U137" s="1" t="s">
        <v>53</v>
      </c>
    </row>
    <row r="138" customFormat="false" ht="15" hidden="false" customHeight="true" outlineLevel="0" collapsed="false">
      <c r="A138" s="1" t="s">
        <v>555</v>
      </c>
      <c r="B138" s="1" t="s">
        <v>3708</v>
      </c>
      <c r="C138" s="1" t="s">
        <v>3709</v>
      </c>
      <c r="D138" s="1" t="s">
        <v>556</v>
      </c>
      <c r="E138" s="1" t="s">
        <v>57</v>
      </c>
      <c r="F138" s="1" t="s">
        <v>121</v>
      </c>
      <c r="G138" s="1" t="s">
        <v>59</v>
      </c>
      <c r="H138" s="1" t="s">
        <v>262</v>
      </c>
      <c r="I138" s="1" t="s">
        <v>263</v>
      </c>
      <c r="J138" s="1" t="s">
        <v>46</v>
      </c>
      <c r="K138" s="1" t="s">
        <v>183</v>
      </c>
      <c r="L138" s="1" t="s">
        <v>557</v>
      </c>
      <c r="M138" s="1" t="s">
        <v>3710</v>
      </c>
      <c r="N138" s="1" t="s">
        <v>2899</v>
      </c>
      <c r="O138" s="1" t="s">
        <v>3711</v>
      </c>
      <c r="P138" s="1" t="s">
        <v>50</v>
      </c>
      <c r="Q138" s="1" t="s">
        <v>3712</v>
      </c>
      <c r="R138" s="1" t="s">
        <v>3713</v>
      </c>
      <c r="S138" s="1" t="s">
        <v>3714</v>
      </c>
      <c r="T138" s="1" t="s">
        <v>52</v>
      </c>
      <c r="U138" s="1" t="s">
        <v>53</v>
      </c>
    </row>
    <row r="139" customFormat="false" ht="15" hidden="false" customHeight="true" outlineLevel="0" collapsed="false">
      <c r="A139" s="1" t="s">
        <v>558</v>
      </c>
      <c r="B139" s="1" t="s">
        <v>3715</v>
      </c>
      <c r="C139" s="1" t="s">
        <v>3716</v>
      </c>
      <c r="D139" s="1" t="s">
        <v>559</v>
      </c>
      <c r="E139" s="1" t="s">
        <v>159</v>
      </c>
      <c r="F139" s="1" t="s">
        <v>58</v>
      </c>
      <c r="G139" s="1" t="s">
        <v>42</v>
      </c>
      <c r="H139" s="1" t="s">
        <v>44</v>
      </c>
      <c r="I139" s="1" t="s">
        <v>45</v>
      </c>
      <c r="J139" s="1" t="s">
        <v>62</v>
      </c>
      <c r="K139" s="1" t="s">
        <v>91</v>
      </c>
      <c r="L139" s="1" t="s">
        <v>560</v>
      </c>
      <c r="M139" s="1" t="s">
        <v>65</v>
      </c>
      <c r="N139" s="1" t="s">
        <v>2861</v>
      </c>
      <c r="O139" s="1" t="s">
        <v>3717</v>
      </c>
      <c r="P139" s="1" t="s">
        <v>203</v>
      </c>
      <c r="Q139" s="1" t="s">
        <v>3718</v>
      </c>
      <c r="R139" s="1" t="s">
        <v>3719</v>
      </c>
      <c r="S139" s="1" t="s">
        <v>3720</v>
      </c>
      <c r="T139" s="1" t="s">
        <v>52</v>
      </c>
      <c r="U139" s="1" t="s">
        <v>53</v>
      </c>
    </row>
    <row r="140" customFormat="false" ht="15" hidden="false" customHeight="true" outlineLevel="0" collapsed="false">
      <c r="A140" s="1" t="s">
        <v>561</v>
      </c>
      <c r="B140" s="1" t="s">
        <v>3721</v>
      </c>
      <c r="C140" s="1" t="s">
        <v>3722</v>
      </c>
      <c r="D140" s="1" t="s">
        <v>562</v>
      </c>
      <c r="E140" s="1" t="s">
        <v>192</v>
      </c>
      <c r="F140" s="1" t="s">
        <v>121</v>
      </c>
      <c r="G140" s="1" t="s">
        <v>59</v>
      </c>
      <c r="H140" s="1" t="s">
        <v>262</v>
      </c>
      <c r="I140" s="1" t="s">
        <v>263</v>
      </c>
      <c r="J140" s="1" t="s">
        <v>99</v>
      </c>
      <c r="K140" s="1" t="s">
        <v>308</v>
      </c>
      <c r="L140" s="1" t="s">
        <v>563</v>
      </c>
      <c r="M140" s="1" t="s">
        <v>83</v>
      </c>
      <c r="N140" s="1" t="s">
        <v>2861</v>
      </c>
      <c r="O140" s="1" t="s">
        <v>3723</v>
      </c>
      <c r="P140" s="1" t="s">
        <v>84</v>
      </c>
      <c r="Q140" s="1" t="s">
        <v>3724</v>
      </c>
      <c r="R140" s="1" t="s">
        <v>3725</v>
      </c>
      <c r="S140" s="1" t="s">
        <v>3726</v>
      </c>
      <c r="T140" s="1" t="s">
        <v>52</v>
      </c>
      <c r="U140" s="1" t="s">
        <v>53</v>
      </c>
    </row>
    <row r="141" customFormat="false" ht="15" hidden="false" customHeight="true" outlineLevel="0" collapsed="false">
      <c r="A141" s="1" t="s">
        <v>564</v>
      </c>
      <c r="B141" s="1" t="s">
        <v>3727</v>
      </c>
      <c r="C141" s="1" t="s">
        <v>3728</v>
      </c>
      <c r="D141" s="1" t="s">
        <v>565</v>
      </c>
      <c r="E141" s="1" t="s">
        <v>104</v>
      </c>
      <c r="F141" s="1" t="s">
        <v>121</v>
      </c>
      <c r="G141" s="1" t="s">
        <v>78</v>
      </c>
      <c r="H141" s="1" t="s">
        <v>206</v>
      </c>
      <c r="I141" s="1" t="s">
        <v>207</v>
      </c>
      <c r="J141" s="1" t="s">
        <v>46</v>
      </c>
      <c r="K141" s="1" t="s">
        <v>117</v>
      </c>
      <c r="L141" s="1" t="s">
        <v>566</v>
      </c>
      <c r="M141" s="1" t="s">
        <v>83</v>
      </c>
      <c r="N141" s="1" t="s">
        <v>2861</v>
      </c>
      <c r="O141" s="1" t="s">
        <v>3729</v>
      </c>
      <c r="P141" s="1" t="s">
        <v>66</v>
      </c>
      <c r="Q141" s="1" t="s">
        <v>3730</v>
      </c>
      <c r="R141" s="1" t="s">
        <v>3731</v>
      </c>
      <c r="S141" s="1" t="s">
        <v>3732</v>
      </c>
      <c r="T141" s="1" t="s">
        <v>52</v>
      </c>
      <c r="U141" s="1" t="s">
        <v>53</v>
      </c>
    </row>
    <row r="142" customFormat="false" ht="15" hidden="false" customHeight="true" outlineLevel="0" collapsed="false">
      <c r="A142" s="1" t="s">
        <v>567</v>
      </c>
      <c r="B142" s="1" t="s">
        <v>3733</v>
      </c>
      <c r="C142" s="1" t="s">
        <v>3734</v>
      </c>
      <c r="D142" s="1" t="s">
        <v>568</v>
      </c>
      <c r="E142" s="1" t="s">
        <v>57</v>
      </c>
      <c r="F142" s="1" t="s">
        <v>116</v>
      </c>
      <c r="G142" s="1" t="s">
        <v>78</v>
      </c>
      <c r="H142" s="1" t="s">
        <v>206</v>
      </c>
      <c r="I142" s="1" t="s">
        <v>207</v>
      </c>
      <c r="J142" s="1" t="s">
        <v>62</v>
      </c>
      <c r="K142" s="1" t="s">
        <v>188</v>
      </c>
      <c r="L142" s="1" t="s">
        <v>569</v>
      </c>
      <c r="M142" s="1" t="s">
        <v>65</v>
      </c>
      <c r="N142" s="1" t="s">
        <v>2822</v>
      </c>
      <c r="O142" s="1" t="s">
        <v>3735</v>
      </c>
      <c r="P142" s="1" t="s">
        <v>66</v>
      </c>
      <c r="Q142" s="1" t="s">
        <v>3736</v>
      </c>
      <c r="R142" s="1" t="s">
        <v>3737</v>
      </c>
      <c r="S142" s="1" t="s">
        <v>3738</v>
      </c>
      <c r="T142" s="1" t="s">
        <v>52</v>
      </c>
      <c r="U142" s="1" t="s">
        <v>53</v>
      </c>
    </row>
    <row r="143" customFormat="false" ht="15" hidden="false" customHeight="true" outlineLevel="0" collapsed="false">
      <c r="A143" s="1" t="s">
        <v>570</v>
      </c>
      <c r="B143" s="1" t="s">
        <v>3739</v>
      </c>
      <c r="C143" s="1" t="s">
        <v>3740</v>
      </c>
      <c r="D143" s="1" t="s">
        <v>571</v>
      </c>
      <c r="E143" s="1" t="s">
        <v>141</v>
      </c>
      <c r="F143" s="1" t="s">
        <v>116</v>
      </c>
      <c r="G143" s="1" t="s">
        <v>42</v>
      </c>
      <c r="H143" s="1" t="s">
        <v>384</v>
      </c>
      <c r="I143" s="1" t="s">
        <v>385</v>
      </c>
      <c r="J143" s="1" t="s">
        <v>62</v>
      </c>
      <c r="K143" s="1" t="s">
        <v>188</v>
      </c>
      <c r="L143" s="1" t="s">
        <v>572</v>
      </c>
      <c r="M143" s="1" t="s">
        <v>65</v>
      </c>
      <c r="N143" s="1" t="s">
        <v>2906</v>
      </c>
      <c r="O143" s="1" t="s">
        <v>3741</v>
      </c>
      <c r="P143" s="1" t="s">
        <v>203</v>
      </c>
      <c r="Q143" s="1" t="s">
        <v>3742</v>
      </c>
      <c r="R143" s="1" t="s">
        <v>3743</v>
      </c>
      <c r="S143" s="1" t="s">
        <v>3744</v>
      </c>
      <c r="T143" s="1" t="s">
        <v>52</v>
      </c>
      <c r="U143" s="1" t="s">
        <v>130</v>
      </c>
    </row>
    <row r="144" customFormat="false" ht="15" hidden="false" customHeight="true" outlineLevel="0" collapsed="false">
      <c r="A144" s="1" t="s">
        <v>573</v>
      </c>
      <c r="B144" s="1" t="s">
        <v>3745</v>
      </c>
      <c r="C144" s="1" t="s">
        <v>3746</v>
      </c>
      <c r="D144" s="1" t="s">
        <v>574</v>
      </c>
      <c r="E144" s="1" t="s">
        <v>115</v>
      </c>
      <c r="F144" s="1" t="s">
        <v>121</v>
      </c>
      <c r="G144" s="1" t="s">
        <v>42</v>
      </c>
      <c r="H144" s="1" t="s">
        <v>44</v>
      </c>
      <c r="I144" s="1" t="s">
        <v>45</v>
      </c>
      <c r="J144" s="1" t="s">
        <v>99</v>
      </c>
      <c r="K144" s="1" t="s">
        <v>201</v>
      </c>
      <c r="L144" s="1" t="s">
        <v>575</v>
      </c>
      <c r="M144" s="1" t="s">
        <v>49</v>
      </c>
      <c r="N144" s="1" t="s">
        <v>2829</v>
      </c>
      <c r="O144" s="1" t="s">
        <v>3747</v>
      </c>
      <c r="P144" s="1" t="s">
        <v>107</v>
      </c>
      <c r="Q144" s="1" t="s">
        <v>3748</v>
      </c>
      <c r="R144" s="1" t="s">
        <v>3749</v>
      </c>
      <c r="S144" s="1" t="s">
        <v>3750</v>
      </c>
      <c r="T144" s="1" t="s">
        <v>52</v>
      </c>
      <c r="U144" s="1" t="s">
        <v>53</v>
      </c>
    </row>
    <row r="145" customFormat="false" ht="15" hidden="false" customHeight="true" outlineLevel="0" collapsed="false">
      <c r="A145" s="1" t="s">
        <v>576</v>
      </c>
      <c r="B145" s="1" t="s">
        <v>3451</v>
      </c>
      <c r="C145" s="1" t="s">
        <v>3751</v>
      </c>
      <c r="D145" s="1" t="s">
        <v>577</v>
      </c>
      <c r="E145" s="1" t="s">
        <v>141</v>
      </c>
      <c r="F145" s="1" t="s">
        <v>41</v>
      </c>
      <c r="G145" s="1" t="s">
        <v>88</v>
      </c>
      <c r="H145" s="1" t="s">
        <v>211</v>
      </c>
      <c r="I145" s="1" t="s">
        <v>212</v>
      </c>
      <c r="J145" s="1" t="s">
        <v>46</v>
      </c>
      <c r="K145" s="1" t="s">
        <v>47</v>
      </c>
      <c r="L145" s="1" t="s">
        <v>578</v>
      </c>
      <c r="M145" s="1" t="s">
        <v>49</v>
      </c>
      <c r="N145" s="1" t="s">
        <v>2836</v>
      </c>
      <c r="O145" s="1" t="s">
        <v>3752</v>
      </c>
      <c r="P145" s="1" t="s">
        <v>203</v>
      </c>
      <c r="Q145" s="1" t="s">
        <v>3753</v>
      </c>
      <c r="R145" s="1" t="s">
        <v>3754</v>
      </c>
      <c r="S145" s="1" t="s">
        <v>3755</v>
      </c>
      <c r="T145" s="1" t="s">
        <v>52</v>
      </c>
      <c r="U145" s="1" t="s">
        <v>130</v>
      </c>
    </row>
    <row r="146" customFormat="false" ht="15" hidden="false" customHeight="true" outlineLevel="0" collapsed="false">
      <c r="A146" s="1" t="s">
        <v>579</v>
      </c>
      <c r="B146" s="1" t="s">
        <v>3495</v>
      </c>
      <c r="C146" s="1" t="s">
        <v>3756</v>
      </c>
      <c r="D146" s="1" t="s">
        <v>580</v>
      </c>
      <c r="E146" s="1" t="s">
        <v>298</v>
      </c>
      <c r="F146" s="1" t="s">
        <v>58</v>
      </c>
      <c r="G146" s="1" t="s">
        <v>78</v>
      </c>
      <c r="H146" s="1" t="s">
        <v>79</v>
      </c>
      <c r="I146" s="1" t="s">
        <v>80</v>
      </c>
      <c r="J146" s="1" t="s">
        <v>99</v>
      </c>
      <c r="K146" s="1" t="s">
        <v>100</v>
      </c>
      <c r="L146" s="1" t="s">
        <v>581</v>
      </c>
      <c r="M146" s="1" t="s">
        <v>72</v>
      </c>
      <c r="N146" s="1" t="s">
        <v>2906</v>
      </c>
      <c r="O146" s="1" t="s">
        <v>3757</v>
      </c>
      <c r="P146" s="1" t="s">
        <v>84</v>
      </c>
      <c r="Q146" s="1" t="s">
        <v>3758</v>
      </c>
      <c r="R146" s="1" t="s">
        <v>3759</v>
      </c>
      <c r="S146" s="1" t="s">
        <v>3760</v>
      </c>
      <c r="T146" s="1" t="s">
        <v>129</v>
      </c>
      <c r="U146" s="1" t="s">
        <v>130</v>
      </c>
    </row>
    <row r="147" customFormat="false" ht="15" hidden="false" customHeight="true" outlineLevel="0" collapsed="false">
      <c r="A147" s="1" t="s">
        <v>582</v>
      </c>
      <c r="B147" s="1" t="s">
        <v>3761</v>
      </c>
      <c r="C147" s="1" t="s">
        <v>3762</v>
      </c>
      <c r="D147" s="1" t="s">
        <v>583</v>
      </c>
      <c r="E147" s="1" t="s">
        <v>57</v>
      </c>
      <c r="F147" s="1" t="s">
        <v>58</v>
      </c>
      <c r="G147" s="1" t="s">
        <v>88</v>
      </c>
      <c r="H147" s="1" t="s">
        <v>221</v>
      </c>
      <c r="I147" s="1" t="s">
        <v>222</v>
      </c>
      <c r="J147" s="1" t="s">
        <v>46</v>
      </c>
      <c r="K147" s="1" t="s">
        <v>47</v>
      </c>
      <c r="L147" s="1" t="s">
        <v>584</v>
      </c>
      <c r="M147" s="1" t="s">
        <v>83</v>
      </c>
      <c r="N147" s="1" t="s">
        <v>2937</v>
      </c>
      <c r="O147" s="1" t="s">
        <v>3763</v>
      </c>
      <c r="P147" s="1" t="s">
        <v>203</v>
      </c>
      <c r="Q147" s="1" t="s">
        <v>3764</v>
      </c>
      <c r="R147" s="1" t="s">
        <v>3765</v>
      </c>
      <c r="S147" s="1" t="s">
        <v>3766</v>
      </c>
      <c r="T147" s="1" t="s">
        <v>52</v>
      </c>
      <c r="U147" s="1" t="s">
        <v>53</v>
      </c>
    </row>
    <row r="148" customFormat="false" ht="15" hidden="false" customHeight="true" outlineLevel="0" collapsed="false">
      <c r="A148" s="1" t="s">
        <v>585</v>
      </c>
      <c r="B148" s="1" t="s">
        <v>3767</v>
      </c>
      <c r="C148" s="1" t="s">
        <v>3768</v>
      </c>
      <c r="D148" s="1" t="s">
        <v>586</v>
      </c>
      <c r="E148" s="1" t="s">
        <v>159</v>
      </c>
      <c r="F148" s="1" t="s">
        <v>58</v>
      </c>
      <c r="G148" s="1" t="s">
        <v>78</v>
      </c>
      <c r="H148" s="1" t="s">
        <v>281</v>
      </c>
      <c r="I148" s="1" t="s">
        <v>282</v>
      </c>
      <c r="J148" s="1" t="s">
        <v>46</v>
      </c>
      <c r="K148" s="1" t="s">
        <v>151</v>
      </c>
      <c r="L148" s="1" t="s">
        <v>587</v>
      </c>
      <c r="M148" s="1" t="s">
        <v>65</v>
      </c>
      <c r="N148" s="1" t="s">
        <v>2899</v>
      </c>
      <c r="O148" s="1" t="s">
        <v>3769</v>
      </c>
      <c r="P148" s="1" t="s">
        <v>203</v>
      </c>
      <c r="Q148" s="1" t="s">
        <v>3770</v>
      </c>
      <c r="R148" s="1" t="s">
        <v>3771</v>
      </c>
      <c r="S148" s="1" t="s">
        <v>3772</v>
      </c>
      <c r="T148" s="1" t="s">
        <v>52</v>
      </c>
      <c r="U148" s="1" t="s">
        <v>53</v>
      </c>
    </row>
    <row r="149" customFormat="false" ht="15" hidden="false" customHeight="true" outlineLevel="0" collapsed="false">
      <c r="A149" s="1" t="s">
        <v>588</v>
      </c>
      <c r="B149" s="1" t="s">
        <v>3773</v>
      </c>
      <c r="C149" s="1" t="s">
        <v>3774</v>
      </c>
      <c r="D149" s="1" t="s">
        <v>589</v>
      </c>
      <c r="E149" s="1" t="s">
        <v>141</v>
      </c>
      <c r="F149" s="1" t="s">
        <v>121</v>
      </c>
      <c r="G149" s="1" t="s">
        <v>88</v>
      </c>
      <c r="H149" s="1" t="s">
        <v>221</v>
      </c>
      <c r="I149" s="1" t="s">
        <v>222</v>
      </c>
      <c r="J149" s="1" t="s">
        <v>62</v>
      </c>
      <c r="K149" s="1" t="s">
        <v>81</v>
      </c>
      <c r="L149" s="1" t="s">
        <v>590</v>
      </c>
      <c r="M149" s="1" t="s">
        <v>72</v>
      </c>
      <c r="N149" s="1" t="s">
        <v>2861</v>
      </c>
      <c r="O149" s="1" t="s">
        <v>3775</v>
      </c>
      <c r="P149" s="1" t="s">
        <v>203</v>
      </c>
      <c r="Q149" s="1" t="s">
        <v>3776</v>
      </c>
      <c r="R149" s="1" t="s">
        <v>3777</v>
      </c>
      <c r="S149" s="1" t="s">
        <v>3778</v>
      </c>
      <c r="T149" s="1" t="s">
        <v>52</v>
      </c>
      <c r="U149" s="1" t="s">
        <v>53</v>
      </c>
    </row>
    <row r="150" customFormat="false" ht="15" hidden="false" customHeight="true" outlineLevel="0" collapsed="false">
      <c r="A150" s="1" t="s">
        <v>591</v>
      </c>
      <c r="B150" s="1" t="s">
        <v>3779</v>
      </c>
      <c r="C150" s="1" t="s">
        <v>3780</v>
      </c>
      <c r="D150" s="1" t="s">
        <v>592</v>
      </c>
      <c r="E150" s="1" t="s">
        <v>57</v>
      </c>
      <c r="F150" s="1" t="s">
        <v>121</v>
      </c>
      <c r="G150" s="1" t="s">
        <v>88</v>
      </c>
      <c r="H150" s="1" t="s">
        <v>97</v>
      </c>
      <c r="I150" s="1" t="s">
        <v>98</v>
      </c>
      <c r="J150" s="1" t="s">
        <v>99</v>
      </c>
      <c r="K150" s="1" t="s">
        <v>201</v>
      </c>
      <c r="L150" s="1" t="s">
        <v>593</v>
      </c>
      <c r="N150" s="1" t="s">
        <v>2861</v>
      </c>
      <c r="O150" s="1" t="s">
        <v>3781</v>
      </c>
      <c r="P150" s="1" t="s">
        <v>84</v>
      </c>
      <c r="Q150" s="1" t="s">
        <v>3782</v>
      </c>
      <c r="R150" s="1" t="s">
        <v>3783</v>
      </c>
      <c r="S150" s="1" t="s">
        <v>3784</v>
      </c>
      <c r="T150" s="1" t="s">
        <v>52</v>
      </c>
      <c r="U150" s="1" t="s">
        <v>53</v>
      </c>
    </row>
    <row r="151" customFormat="false" ht="15" hidden="false" customHeight="true" outlineLevel="0" collapsed="false">
      <c r="A151" s="1" t="s">
        <v>594</v>
      </c>
      <c r="B151" s="1" t="s">
        <v>3785</v>
      </c>
      <c r="C151" s="1" t="s">
        <v>3785</v>
      </c>
      <c r="D151" s="1" t="s">
        <v>595</v>
      </c>
      <c r="E151" s="1" t="s">
        <v>155</v>
      </c>
      <c r="F151" s="1" t="s">
        <v>58</v>
      </c>
      <c r="G151" s="1" t="s">
        <v>3786</v>
      </c>
      <c r="H151" s="1" t="s">
        <v>44</v>
      </c>
      <c r="I151" s="1" t="s">
        <v>136</v>
      </c>
      <c r="J151" s="1" t="s">
        <v>99</v>
      </c>
      <c r="K151" s="1" t="s">
        <v>105</v>
      </c>
      <c r="L151" s="1" t="s">
        <v>596</v>
      </c>
      <c r="M151" s="1" t="s">
        <v>65</v>
      </c>
      <c r="N151" s="1" t="s">
        <v>2906</v>
      </c>
      <c r="O151" s="1" t="s">
        <v>3787</v>
      </c>
      <c r="P151" s="1" t="s">
        <v>84</v>
      </c>
      <c r="Q151" s="1" t="s">
        <v>3788</v>
      </c>
      <c r="R151" s="1" t="s">
        <v>3789</v>
      </c>
      <c r="S151" s="1" t="s">
        <v>3790</v>
      </c>
      <c r="T151" s="1" t="s">
        <v>52</v>
      </c>
      <c r="U151" s="1" t="s">
        <v>53</v>
      </c>
    </row>
    <row r="152" customFormat="false" ht="15" hidden="false" customHeight="true" outlineLevel="0" collapsed="false">
      <c r="A152" s="1" t="s">
        <v>597</v>
      </c>
      <c r="B152" s="1" t="s">
        <v>3791</v>
      </c>
      <c r="C152" s="1" t="s">
        <v>3792</v>
      </c>
      <c r="D152" s="1" t="s">
        <v>598</v>
      </c>
      <c r="E152" s="1" t="s">
        <v>77</v>
      </c>
      <c r="F152" s="1" t="s">
        <v>41</v>
      </c>
      <c r="H152" s="1" t="s">
        <v>211</v>
      </c>
      <c r="I152" s="1" t="s">
        <v>212</v>
      </c>
      <c r="J152" s="1" t="s">
        <v>62</v>
      </c>
      <c r="K152" s="1" t="s">
        <v>188</v>
      </c>
      <c r="L152" s="1" t="s">
        <v>599</v>
      </c>
      <c r="M152" s="1" t="s">
        <v>72</v>
      </c>
      <c r="N152" s="1" t="s">
        <v>2836</v>
      </c>
      <c r="O152" s="1" t="s">
        <v>3793</v>
      </c>
      <c r="P152" s="1" t="s">
        <v>203</v>
      </c>
      <c r="Q152" s="1" t="s">
        <v>3794</v>
      </c>
      <c r="R152" s="1" t="s">
        <v>3795</v>
      </c>
      <c r="S152" s="1" t="s">
        <v>3796</v>
      </c>
      <c r="T152" s="1" t="s">
        <v>52</v>
      </c>
      <c r="U152" s="1" t="s">
        <v>53</v>
      </c>
    </row>
    <row r="153" customFormat="false" ht="15" hidden="false" customHeight="true" outlineLevel="0" collapsed="false">
      <c r="A153" s="1" t="s">
        <v>600</v>
      </c>
      <c r="B153" s="1" t="s">
        <v>3797</v>
      </c>
      <c r="C153" s="1" t="s">
        <v>3798</v>
      </c>
      <c r="D153" s="1" t="s">
        <v>601</v>
      </c>
      <c r="E153" s="1" t="s">
        <v>104</v>
      </c>
      <c r="F153" s="1" t="s">
        <v>121</v>
      </c>
      <c r="H153" s="1" t="s">
        <v>97</v>
      </c>
      <c r="I153" s="1" t="s">
        <v>98</v>
      </c>
      <c r="J153" s="1" t="s">
        <v>99</v>
      </c>
      <c r="K153" s="1" t="s">
        <v>105</v>
      </c>
      <c r="L153" s="1" t="s">
        <v>602</v>
      </c>
      <c r="M153" s="1" t="s">
        <v>83</v>
      </c>
      <c r="N153" s="1" t="s">
        <v>2868</v>
      </c>
      <c r="O153" s="1" t="s">
        <v>3799</v>
      </c>
      <c r="P153" s="1" t="s">
        <v>66</v>
      </c>
      <c r="Q153" s="1" t="s">
        <v>3800</v>
      </c>
      <c r="R153" s="1" t="s">
        <v>3801</v>
      </c>
      <c r="S153" s="1" t="s">
        <v>3802</v>
      </c>
      <c r="T153" s="1" t="s">
        <v>138</v>
      </c>
      <c r="U153" s="1" t="s">
        <v>130</v>
      </c>
    </row>
    <row r="154" customFormat="false" ht="15" hidden="false" customHeight="true" outlineLevel="0" collapsed="false">
      <c r="A154" s="1" t="s">
        <v>603</v>
      </c>
      <c r="B154" s="1" t="s">
        <v>3803</v>
      </c>
      <c r="C154" s="1" t="s">
        <v>3804</v>
      </c>
      <c r="D154" s="1" t="s">
        <v>604</v>
      </c>
      <c r="E154" s="1" t="s">
        <v>298</v>
      </c>
      <c r="F154" s="1" t="s">
        <v>58</v>
      </c>
      <c r="G154" s="1" t="s">
        <v>78</v>
      </c>
      <c r="H154" s="1" t="s">
        <v>216</v>
      </c>
      <c r="I154" s="1" t="s">
        <v>217</v>
      </c>
      <c r="J154" s="1" t="s">
        <v>62</v>
      </c>
      <c r="K154" s="1" t="s">
        <v>63</v>
      </c>
      <c r="L154" s="1" t="s">
        <v>605</v>
      </c>
      <c r="M154" s="1" t="s">
        <v>49</v>
      </c>
      <c r="N154" s="1" t="s">
        <v>2815</v>
      </c>
      <c r="O154" s="1" t="s">
        <v>3805</v>
      </c>
      <c r="P154" s="1" t="s">
        <v>203</v>
      </c>
      <c r="Q154" s="1" t="s">
        <v>3806</v>
      </c>
      <c r="R154" s="1" t="s">
        <v>3807</v>
      </c>
      <c r="S154" s="1" t="s">
        <v>3808</v>
      </c>
      <c r="T154" s="1" t="s">
        <v>138</v>
      </c>
      <c r="U154" s="1" t="s">
        <v>130</v>
      </c>
    </row>
    <row r="155" customFormat="false" ht="15" hidden="false" customHeight="true" outlineLevel="0" collapsed="false">
      <c r="A155" s="1" t="s">
        <v>606</v>
      </c>
      <c r="B155" s="1" t="s">
        <v>3809</v>
      </c>
      <c r="C155" s="1" t="s">
        <v>3810</v>
      </c>
      <c r="D155" s="1" t="s">
        <v>607</v>
      </c>
      <c r="E155" s="1" t="s">
        <v>115</v>
      </c>
      <c r="F155" s="1" t="s">
        <v>41</v>
      </c>
      <c r="G155" s="1" t="s">
        <v>59</v>
      </c>
      <c r="H155" s="1" t="s">
        <v>60</v>
      </c>
      <c r="I155" s="1" t="s">
        <v>61</v>
      </c>
      <c r="J155" s="1" t="s">
        <v>46</v>
      </c>
      <c r="K155" s="1" t="s">
        <v>117</v>
      </c>
      <c r="L155" s="1" t="s">
        <v>608</v>
      </c>
      <c r="M155" s="1" t="s">
        <v>83</v>
      </c>
      <c r="N155" s="1" t="s">
        <v>2906</v>
      </c>
      <c r="O155" s="1" t="s">
        <v>3811</v>
      </c>
      <c r="P155" s="1" t="s">
        <v>66</v>
      </c>
      <c r="Q155" s="1" t="s">
        <v>3812</v>
      </c>
      <c r="R155" s="1" t="s">
        <v>3813</v>
      </c>
      <c r="S155" s="1" t="s">
        <v>3814</v>
      </c>
      <c r="T155" s="1" t="s">
        <v>129</v>
      </c>
      <c r="U155" s="1" t="s">
        <v>130</v>
      </c>
    </row>
    <row r="156" customFormat="false" ht="15" hidden="false" customHeight="true" outlineLevel="0" collapsed="false">
      <c r="A156" s="1" t="s">
        <v>609</v>
      </c>
      <c r="B156" s="1" t="s">
        <v>3815</v>
      </c>
      <c r="C156" s="1" t="s">
        <v>3816</v>
      </c>
      <c r="D156" s="1" t="s">
        <v>491</v>
      </c>
      <c r="E156" s="1" t="s">
        <v>141</v>
      </c>
      <c r="F156" s="1" t="s">
        <v>41</v>
      </c>
      <c r="G156" s="1" t="s">
        <v>78</v>
      </c>
      <c r="H156" s="1" t="s">
        <v>281</v>
      </c>
      <c r="I156" s="1" t="s">
        <v>282</v>
      </c>
      <c r="J156" s="1" t="s">
        <v>62</v>
      </c>
      <c r="K156" s="1" t="s">
        <v>188</v>
      </c>
      <c r="L156" s="1" t="s">
        <v>610</v>
      </c>
      <c r="M156" s="1" t="s">
        <v>65</v>
      </c>
      <c r="N156" s="1" t="s">
        <v>2836</v>
      </c>
      <c r="O156" s="1" t="s">
        <v>3817</v>
      </c>
      <c r="P156" s="1" t="s">
        <v>107</v>
      </c>
      <c r="Q156" s="1" t="s">
        <v>3818</v>
      </c>
      <c r="R156" s="1" t="s">
        <v>3819</v>
      </c>
      <c r="S156" s="1" t="s">
        <v>3820</v>
      </c>
      <c r="T156" s="1" t="s">
        <v>52</v>
      </c>
      <c r="U156" s="1" t="s">
        <v>53</v>
      </c>
    </row>
    <row r="157" customFormat="false" ht="15" hidden="false" customHeight="true" outlineLevel="0" collapsed="false">
      <c r="A157" s="1" t="s">
        <v>611</v>
      </c>
      <c r="B157" s="1" t="s">
        <v>3472</v>
      </c>
      <c r="C157" s="1" t="s">
        <v>3331</v>
      </c>
      <c r="D157" s="1" t="s">
        <v>612</v>
      </c>
      <c r="E157" s="1" t="s">
        <v>40</v>
      </c>
      <c r="F157" s="1" t="s">
        <v>116</v>
      </c>
      <c r="G157" s="1" t="s">
        <v>88</v>
      </c>
      <c r="H157" s="1" t="s">
        <v>44</v>
      </c>
      <c r="I157" s="1" t="s">
        <v>136</v>
      </c>
      <c r="J157" s="1" t="s">
        <v>62</v>
      </c>
      <c r="K157" s="1" t="s">
        <v>81</v>
      </c>
      <c r="L157" s="1" t="s">
        <v>613</v>
      </c>
      <c r="M157" s="1" t="s">
        <v>65</v>
      </c>
      <c r="N157" s="1" t="s">
        <v>2822</v>
      </c>
      <c r="O157" s="1" t="s">
        <v>3821</v>
      </c>
      <c r="P157" s="1" t="s">
        <v>203</v>
      </c>
      <c r="Q157" s="1" t="s">
        <v>3822</v>
      </c>
      <c r="R157" s="1" t="s">
        <v>3823</v>
      </c>
      <c r="S157" s="1" t="s">
        <v>3824</v>
      </c>
      <c r="T157" s="1" t="s">
        <v>129</v>
      </c>
      <c r="U157" s="1" t="s">
        <v>130</v>
      </c>
    </row>
    <row r="158" customFormat="false" ht="15" hidden="false" customHeight="true" outlineLevel="0" collapsed="false">
      <c r="A158" s="1" t="s">
        <v>614</v>
      </c>
      <c r="B158" s="1" t="s">
        <v>3825</v>
      </c>
      <c r="C158" s="1" t="s">
        <v>3826</v>
      </c>
      <c r="D158" s="1" t="s">
        <v>615</v>
      </c>
      <c r="E158" s="1" t="s">
        <v>96</v>
      </c>
      <c r="F158" s="1" t="s">
        <v>58</v>
      </c>
      <c r="G158" s="1" t="s">
        <v>59</v>
      </c>
      <c r="H158" s="1" t="s">
        <v>174</v>
      </c>
      <c r="I158" s="1" t="s">
        <v>175</v>
      </c>
      <c r="J158" s="1" t="s">
        <v>99</v>
      </c>
      <c r="K158" s="1" t="s">
        <v>308</v>
      </c>
      <c r="L158" s="1" t="s">
        <v>616</v>
      </c>
      <c r="M158" s="1" t="s">
        <v>49</v>
      </c>
      <c r="N158" s="1" t="s">
        <v>2906</v>
      </c>
      <c r="O158" s="1" t="s">
        <v>3827</v>
      </c>
      <c r="P158" s="1" t="s">
        <v>84</v>
      </c>
      <c r="Q158" s="1" t="s">
        <v>3828</v>
      </c>
      <c r="R158" s="1" t="s">
        <v>3829</v>
      </c>
      <c r="S158" s="1" t="s">
        <v>3830</v>
      </c>
      <c r="T158" s="1" t="s">
        <v>52</v>
      </c>
      <c r="U158" s="1" t="s">
        <v>53</v>
      </c>
    </row>
    <row r="159" customFormat="false" ht="15" hidden="false" customHeight="true" outlineLevel="0" collapsed="false">
      <c r="A159" s="1" t="s">
        <v>617</v>
      </c>
      <c r="B159" s="1" t="s">
        <v>3831</v>
      </c>
      <c r="C159" s="1" t="s">
        <v>3832</v>
      </c>
      <c r="D159" s="1" t="s">
        <v>618</v>
      </c>
      <c r="E159" s="1" t="s">
        <v>168</v>
      </c>
      <c r="F159" s="1" t="s">
        <v>58</v>
      </c>
      <c r="G159" s="1" t="s">
        <v>78</v>
      </c>
      <c r="H159" s="1" t="s">
        <v>110</v>
      </c>
      <c r="I159" s="1" t="s">
        <v>111</v>
      </c>
      <c r="J159" s="1" t="s">
        <v>62</v>
      </c>
      <c r="K159" s="1" t="s">
        <v>188</v>
      </c>
      <c r="L159" s="1" t="s">
        <v>619</v>
      </c>
      <c r="M159" s="1" t="s">
        <v>83</v>
      </c>
      <c r="N159" s="1" t="s">
        <v>2822</v>
      </c>
      <c r="O159" s="1" t="s">
        <v>3833</v>
      </c>
      <c r="P159" s="1" t="s">
        <v>107</v>
      </c>
      <c r="Q159" s="1" t="s">
        <v>3834</v>
      </c>
      <c r="R159" s="1" t="s">
        <v>3835</v>
      </c>
      <c r="S159" s="1" t="s">
        <v>3836</v>
      </c>
      <c r="T159" s="1" t="s">
        <v>52</v>
      </c>
      <c r="U159" s="1" t="s">
        <v>53</v>
      </c>
    </row>
    <row r="160" customFormat="false" ht="15" hidden="false" customHeight="true" outlineLevel="0" collapsed="false">
      <c r="A160" s="1" t="s">
        <v>620</v>
      </c>
      <c r="B160" s="1" t="s">
        <v>3837</v>
      </c>
      <c r="C160" s="1" t="s">
        <v>3838</v>
      </c>
      <c r="D160" s="1" t="s">
        <v>621</v>
      </c>
      <c r="E160" s="1" t="s">
        <v>104</v>
      </c>
      <c r="F160" s="1" t="s">
        <v>121</v>
      </c>
      <c r="G160" s="1" t="s">
        <v>78</v>
      </c>
      <c r="H160" s="1" t="s">
        <v>79</v>
      </c>
      <c r="I160" s="1" t="s">
        <v>80</v>
      </c>
      <c r="J160" s="1" t="s">
        <v>62</v>
      </c>
      <c r="K160" s="1" t="s">
        <v>188</v>
      </c>
      <c r="L160" s="1" t="s">
        <v>622</v>
      </c>
      <c r="M160" s="1" t="s">
        <v>72</v>
      </c>
      <c r="N160" s="1" t="s">
        <v>2836</v>
      </c>
      <c r="O160" s="1" t="s">
        <v>3839</v>
      </c>
      <c r="P160" s="1" t="s">
        <v>128</v>
      </c>
      <c r="Q160" s="1" t="s">
        <v>3840</v>
      </c>
      <c r="R160" s="1" t="s">
        <v>3841</v>
      </c>
      <c r="S160" s="1" t="s">
        <v>3842</v>
      </c>
      <c r="T160" s="1" t="s">
        <v>52</v>
      </c>
      <c r="U160" s="1" t="s">
        <v>53</v>
      </c>
    </row>
    <row r="161" customFormat="false" ht="15" hidden="false" customHeight="true" outlineLevel="0" collapsed="false">
      <c r="A161" s="1" t="s">
        <v>623</v>
      </c>
      <c r="B161" s="1" t="s">
        <v>3843</v>
      </c>
      <c r="C161" s="1" t="s">
        <v>3844</v>
      </c>
      <c r="D161" s="1" t="s">
        <v>624</v>
      </c>
      <c r="E161" s="1" t="s">
        <v>141</v>
      </c>
      <c r="F161" s="1" t="s">
        <v>116</v>
      </c>
      <c r="G161" s="1" t="s">
        <v>42</v>
      </c>
      <c r="H161" s="1" t="s">
        <v>270</v>
      </c>
      <c r="I161" s="1" t="s">
        <v>271</v>
      </c>
      <c r="J161" s="1" t="s">
        <v>62</v>
      </c>
      <c r="K161" s="1" t="s">
        <v>91</v>
      </c>
      <c r="L161" s="1" t="s">
        <v>625</v>
      </c>
      <c r="M161" s="1" t="s">
        <v>65</v>
      </c>
      <c r="N161" s="1" t="s">
        <v>2899</v>
      </c>
      <c r="O161" s="1" t="s">
        <v>3845</v>
      </c>
      <c r="P161" s="1" t="s">
        <v>107</v>
      </c>
      <c r="Q161" s="1" t="s">
        <v>3846</v>
      </c>
      <c r="R161" s="1" t="s">
        <v>3847</v>
      </c>
      <c r="S161" s="1" t="s">
        <v>3848</v>
      </c>
      <c r="T161" s="1" t="s">
        <v>138</v>
      </c>
      <c r="U161" s="1" t="s">
        <v>93</v>
      </c>
    </row>
    <row r="162" customFormat="false" ht="15" hidden="false" customHeight="true" outlineLevel="0" collapsed="false">
      <c r="A162" s="1" t="s">
        <v>626</v>
      </c>
      <c r="B162" s="1" t="s">
        <v>3849</v>
      </c>
      <c r="C162" s="1" t="s">
        <v>3850</v>
      </c>
      <c r="D162" s="1" t="s">
        <v>627</v>
      </c>
      <c r="E162" s="1" t="s">
        <v>96</v>
      </c>
      <c r="F162" s="1" t="s">
        <v>58</v>
      </c>
      <c r="G162" s="1" t="s">
        <v>88</v>
      </c>
      <c r="H162" s="1" t="s">
        <v>89</v>
      </c>
      <c r="I162" s="1" t="s">
        <v>90</v>
      </c>
      <c r="J162" s="1" t="s">
        <v>46</v>
      </c>
      <c r="K162" s="1" t="s">
        <v>47</v>
      </c>
      <c r="L162" s="1" t="s">
        <v>628</v>
      </c>
      <c r="M162" s="1" t="s">
        <v>49</v>
      </c>
      <c r="N162" s="1" t="s">
        <v>2937</v>
      </c>
      <c r="O162" s="1" t="s">
        <v>3851</v>
      </c>
      <c r="P162" s="1" t="s">
        <v>128</v>
      </c>
      <c r="Q162" s="1" t="s">
        <v>3852</v>
      </c>
      <c r="R162" s="1" t="s">
        <v>3853</v>
      </c>
      <c r="S162" s="1" t="s">
        <v>3854</v>
      </c>
      <c r="T162" s="1" t="s">
        <v>138</v>
      </c>
      <c r="U162" s="1" t="s">
        <v>93</v>
      </c>
    </row>
    <row r="163" customFormat="false" ht="15" hidden="false" customHeight="true" outlineLevel="0" collapsed="false">
      <c r="A163" s="1" t="s">
        <v>629</v>
      </c>
      <c r="B163" s="1" t="s">
        <v>3855</v>
      </c>
      <c r="C163" s="1" t="s">
        <v>3856</v>
      </c>
      <c r="D163" s="1" t="s">
        <v>630</v>
      </c>
      <c r="E163" s="1" t="s">
        <v>77</v>
      </c>
      <c r="F163" s="1" t="s">
        <v>3857</v>
      </c>
      <c r="G163" s="1" t="s">
        <v>88</v>
      </c>
      <c r="H163" s="1" t="s">
        <v>44</v>
      </c>
      <c r="I163" s="1" t="s">
        <v>136</v>
      </c>
      <c r="J163" s="1" t="s">
        <v>46</v>
      </c>
      <c r="K163" s="1" t="s">
        <v>183</v>
      </c>
      <c r="L163" s="1" t="s">
        <v>631</v>
      </c>
      <c r="M163" s="1" t="s">
        <v>83</v>
      </c>
      <c r="N163" s="1" t="s">
        <v>2836</v>
      </c>
      <c r="O163" s="1" t="s">
        <v>3858</v>
      </c>
      <c r="P163" s="1" t="s">
        <v>66</v>
      </c>
      <c r="Q163" s="1" t="s">
        <v>3858</v>
      </c>
      <c r="R163" s="1" t="s">
        <v>3859</v>
      </c>
      <c r="S163" s="1" t="s">
        <v>3860</v>
      </c>
      <c r="T163" s="1" t="s">
        <v>138</v>
      </c>
      <c r="U163" s="1" t="s">
        <v>93</v>
      </c>
    </row>
    <row r="164" customFormat="false" ht="15" hidden="false" customHeight="true" outlineLevel="0" collapsed="false">
      <c r="A164" s="1" t="s">
        <v>632</v>
      </c>
      <c r="B164" s="1" t="s">
        <v>3861</v>
      </c>
      <c r="C164" s="1" t="s">
        <v>3862</v>
      </c>
      <c r="D164" s="1" t="s">
        <v>633</v>
      </c>
      <c r="E164" s="1" t="s">
        <v>104</v>
      </c>
      <c r="F164" s="1" t="s">
        <v>58</v>
      </c>
      <c r="G164" s="1" t="s">
        <v>88</v>
      </c>
      <c r="H164" s="1" t="s">
        <v>221</v>
      </c>
      <c r="I164" s="1" t="s">
        <v>222</v>
      </c>
      <c r="J164" s="1" t="s">
        <v>62</v>
      </c>
      <c r="K164" s="1" t="s">
        <v>81</v>
      </c>
      <c r="L164" s="1" t="s">
        <v>634</v>
      </c>
      <c r="M164" s="1" t="s">
        <v>49</v>
      </c>
      <c r="N164" s="1" t="s">
        <v>2861</v>
      </c>
      <c r="O164" s="1" t="s">
        <v>3863</v>
      </c>
      <c r="P164" s="1" t="s">
        <v>66</v>
      </c>
      <c r="Q164" s="1" t="s">
        <v>3864</v>
      </c>
      <c r="R164" s="1" t="s">
        <v>3865</v>
      </c>
      <c r="S164" s="1" t="s">
        <v>3866</v>
      </c>
      <c r="T164" s="1" t="s">
        <v>138</v>
      </c>
      <c r="U164" s="1" t="s">
        <v>130</v>
      </c>
    </row>
    <row r="165" customFormat="false" ht="15" hidden="false" customHeight="true" outlineLevel="0" collapsed="false">
      <c r="A165" s="1" t="s">
        <v>635</v>
      </c>
      <c r="B165" s="1" t="s">
        <v>3867</v>
      </c>
      <c r="C165" s="1" t="s">
        <v>3665</v>
      </c>
      <c r="D165" s="1" t="s">
        <v>636</v>
      </c>
      <c r="E165" s="1" t="s">
        <v>168</v>
      </c>
      <c r="F165" s="1" t="s">
        <v>121</v>
      </c>
      <c r="G165" s="1" t="s">
        <v>88</v>
      </c>
      <c r="H165" s="1" t="s">
        <v>211</v>
      </c>
      <c r="I165" s="1" t="s">
        <v>212</v>
      </c>
      <c r="J165" s="1" t="s">
        <v>62</v>
      </c>
      <c r="K165" s="1" t="s">
        <v>63</v>
      </c>
      <c r="L165" s="1" t="s">
        <v>637</v>
      </c>
      <c r="N165" s="1" t="s">
        <v>2815</v>
      </c>
      <c r="O165" s="1" t="s">
        <v>3868</v>
      </c>
      <c r="P165" s="1" t="s">
        <v>203</v>
      </c>
      <c r="Q165" s="1" t="s">
        <v>3869</v>
      </c>
      <c r="R165" s="1" t="s">
        <v>3870</v>
      </c>
      <c r="S165" s="1" t="s">
        <v>3871</v>
      </c>
      <c r="T165" s="1" t="s">
        <v>138</v>
      </c>
      <c r="U165" s="1" t="s">
        <v>130</v>
      </c>
    </row>
    <row r="166" customFormat="false" ht="15" hidden="false" customHeight="true" outlineLevel="0" collapsed="false">
      <c r="A166" s="1" t="s">
        <v>638</v>
      </c>
      <c r="B166" s="1" t="s">
        <v>3872</v>
      </c>
      <c r="C166" s="1" t="s">
        <v>3873</v>
      </c>
      <c r="D166" s="1" t="s">
        <v>639</v>
      </c>
      <c r="E166" s="1" t="s">
        <v>145</v>
      </c>
      <c r="F166" s="1" t="s">
        <v>58</v>
      </c>
      <c r="G166" s="1" t="s">
        <v>59</v>
      </c>
      <c r="H166" s="1" t="s">
        <v>125</v>
      </c>
      <c r="I166" s="1" t="s">
        <v>126</v>
      </c>
      <c r="J166" s="1" t="s">
        <v>62</v>
      </c>
      <c r="K166" s="1" t="s">
        <v>188</v>
      </c>
      <c r="L166" s="1" t="s">
        <v>640</v>
      </c>
      <c r="M166" s="1" t="s">
        <v>49</v>
      </c>
      <c r="N166" s="1" t="s">
        <v>2836</v>
      </c>
      <c r="O166" s="1" t="s">
        <v>3874</v>
      </c>
      <c r="P166" s="1" t="s">
        <v>84</v>
      </c>
      <c r="Q166" s="1" t="s">
        <v>3875</v>
      </c>
      <c r="R166" s="1" t="s">
        <v>3876</v>
      </c>
      <c r="S166" s="1" t="s">
        <v>3877</v>
      </c>
      <c r="T166" s="1" t="s">
        <v>52</v>
      </c>
      <c r="U166" s="1" t="s">
        <v>53</v>
      </c>
    </row>
    <row r="167" customFormat="false" ht="15" hidden="false" customHeight="true" outlineLevel="0" collapsed="false">
      <c r="A167" s="1" t="s">
        <v>641</v>
      </c>
      <c r="B167" s="1" t="s">
        <v>3878</v>
      </c>
      <c r="C167" s="1" t="s">
        <v>3879</v>
      </c>
      <c r="D167" s="1" t="s">
        <v>642</v>
      </c>
      <c r="E167" s="1" t="s">
        <v>57</v>
      </c>
      <c r="F167" s="1" t="s">
        <v>121</v>
      </c>
      <c r="G167" s="1" t="s">
        <v>59</v>
      </c>
      <c r="H167" s="1" t="s">
        <v>174</v>
      </c>
      <c r="I167" s="1" t="s">
        <v>175</v>
      </c>
      <c r="J167" s="1" t="s">
        <v>62</v>
      </c>
      <c r="K167" s="1" t="s">
        <v>91</v>
      </c>
      <c r="L167" s="1" t="s">
        <v>643</v>
      </c>
      <c r="M167" s="1" t="s">
        <v>83</v>
      </c>
      <c r="N167" s="1" t="s">
        <v>2937</v>
      </c>
      <c r="O167" s="1" t="s">
        <v>3880</v>
      </c>
      <c r="P167" s="1" t="s">
        <v>84</v>
      </c>
      <c r="Q167" s="1" t="s">
        <v>3881</v>
      </c>
      <c r="R167" s="1" t="s">
        <v>3882</v>
      </c>
      <c r="S167" s="1" t="s">
        <v>3883</v>
      </c>
      <c r="T167" s="1" t="s">
        <v>52</v>
      </c>
      <c r="U167" s="1" t="s">
        <v>53</v>
      </c>
    </row>
    <row r="168" customFormat="false" ht="15" hidden="false" customHeight="true" outlineLevel="0" collapsed="false">
      <c r="A168" s="1" t="s">
        <v>644</v>
      </c>
      <c r="B168" s="1" t="s">
        <v>3884</v>
      </c>
      <c r="C168" s="1" t="s">
        <v>2979</v>
      </c>
      <c r="D168" s="1" t="s">
        <v>645</v>
      </c>
      <c r="E168" s="1" t="s">
        <v>40</v>
      </c>
      <c r="F168" s="1" t="s">
        <v>58</v>
      </c>
      <c r="G168" s="1" t="s">
        <v>88</v>
      </c>
      <c r="H168" s="1" t="s">
        <v>211</v>
      </c>
      <c r="I168" s="1" t="s">
        <v>212</v>
      </c>
      <c r="J168" s="1" t="s">
        <v>3885</v>
      </c>
      <c r="K168" s="1" t="s">
        <v>117</v>
      </c>
      <c r="L168" s="1" t="s">
        <v>646</v>
      </c>
      <c r="M168" s="1" t="s">
        <v>72</v>
      </c>
      <c r="N168" s="1" t="s">
        <v>2836</v>
      </c>
      <c r="O168" s="1" t="s">
        <v>3886</v>
      </c>
      <c r="P168" s="1" t="s">
        <v>50</v>
      </c>
      <c r="Q168" s="1" t="s">
        <v>3887</v>
      </c>
      <c r="R168" s="1" t="s">
        <v>3888</v>
      </c>
      <c r="S168" s="1" t="s">
        <v>3889</v>
      </c>
      <c r="T168" s="1" t="s">
        <v>52</v>
      </c>
      <c r="U168" s="1" t="s">
        <v>53</v>
      </c>
    </row>
    <row r="169" customFormat="false" ht="15" hidden="false" customHeight="true" outlineLevel="0" collapsed="false">
      <c r="A169" s="1" t="s">
        <v>647</v>
      </c>
      <c r="B169" s="1" t="s">
        <v>3890</v>
      </c>
      <c r="C169" s="1" t="s">
        <v>3891</v>
      </c>
      <c r="D169" s="1" t="s">
        <v>648</v>
      </c>
      <c r="E169" s="1" t="s">
        <v>77</v>
      </c>
      <c r="F169" s="1" t="s">
        <v>121</v>
      </c>
      <c r="G169" s="1" t="s">
        <v>78</v>
      </c>
      <c r="H169" s="1" t="s">
        <v>206</v>
      </c>
      <c r="I169" s="1" t="s">
        <v>207</v>
      </c>
      <c r="J169" s="1" t="s">
        <v>46</v>
      </c>
      <c r="K169" s="1" t="s">
        <v>151</v>
      </c>
      <c r="L169" s="1" t="s">
        <v>649</v>
      </c>
      <c r="M169" s="1" t="s">
        <v>72</v>
      </c>
      <c r="N169" s="1" t="s">
        <v>2899</v>
      </c>
      <c r="O169" s="1" t="s">
        <v>3892</v>
      </c>
      <c r="P169" s="1" t="s">
        <v>107</v>
      </c>
      <c r="Q169" s="1" t="s">
        <v>3893</v>
      </c>
      <c r="R169" s="1" t="s">
        <v>3894</v>
      </c>
      <c r="S169" s="1" t="s">
        <v>3895</v>
      </c>
      <c r="T169" s="1" t="s">
        <v>52</v>
      </c>
      <c r="U169" s="1" t="s">
        <v>130</v>
      </c>
    </row>
    <row r="170" customFormat="false" ht="15" hidden="false" customHeight="true" outlineLevel="0" collapsed="false">
      <c r="A170" s="1" t="s">
        <v>650</v>
      </c>
      <c r="B170" s="1" t="s">
        <v>3896</v>
      </c>
      <c r="C170" s="1" t="s">
        <v>3055</v>
      </c>
      <c r="D170" s="1" t="s">
        <v>651</v>
      </c>
      <c r="E170" s="1" t="s">
        <v>298</v>
      </c>
      <c r="F170" s="1" t="s">
        <v>41</v>
      </c>
      <c r="G170" s="1" t="s">
        <v>88</v>
      </c>
      <c r="H170" s="1" t="s">
        <v>89</v>
      </c>
      <c r="I170" s="1" t="s">
        <v>90</v>
      </c>
      <c r="J170" s="1" t="s">
        <v>99</v>
      </c>
      <c r="K170" s="1" t="s">
        <v>100</v>
      </c>
      <c r="L170" s="1" t="s">
        <v>652</v>
      </c>
      <c r="M170" s="1" t="s">
        <v>65</v>
      </c>
      <c r="N170" s="1" t="s">
        <v>2829</v>
      </c>
      <c r="O170" s="1" t="s">
        <v>3897</v>
      </c>
      <c r="P170" s="1" t="s">
        <v>50</v>
      </c>
      <c r="Q170" s="1" t="s">
        <v>3898</v>
      </c>
      <c r="R170" s="1" t="s">
        <v>3899</v>
      </c>
      <c r="S170" s="1" t="s">
        <v>3900</v>
      </c>
      <c r="T170" s="1" t="s">
        <v>52</v>
      </c>
      <c r="U170" s="1" t="s">
        <v>93</v>
      </c>
    </row>
    <row r="171" customFormat="false" ht="15" hidden="false" customHeight="true" outlineLevel="0" collapsed="false">
      <c r="A171" s="1" t="s">
        <v>653</v>
      </c>
      <c r="B171" s="1" t="s">
        <v>3901</v>
      </c>
      <c r="C171" s="1" t="s">
        <v>3902</v>
      </c>
      <c r="D171" s="1" t="s">
        <v>654</v>
      </c>
      <c r="E171" s="1" t="s">
        <v>192</v>
      </c>
      <c r="F171" s="1" t="s">
        <v>41</v>
      </c>
      <c r="G171" s="1" t="s">
        <v>59</v>
      </c>
      <c r="H171" s="1" t="s">
        <v>196</v>
      </c>
      <c r="I171" s="1" t="s">
        <v>197</v>
      </c>
      <c r="J171" s="1" t="s">
        <v>46</v>
      </c>
      <c r="K171" s="1" t="s">
        <v>70</v>
      </c>
      <c r="L171" s="1" t="s">
        <v>655</v>
      </c>
      <c r="M171" s="1" t="s">
        <v>83</v>
      </c>
      <c r="N171" s="1" t="s">
        <v>2861</v>
      </c>
      <c r="O171" s="1" t="s">
        <v>3903</v>
      </c>
      <c r="P171" s="1" t="s">
        <v>128</v>
      </c>
      <c r="Q171" s="1" t="s">
        <v>3904</v>
      </c>
      <c r="R171" s="1" t="s">
        <v>3905</v>
      </c>
      <c r="S171" s="1" t="s">
        <v>3906</v>
      </c>
      <c r="T171" s="1" t="s">
        <v>138</v>
      </c>
      <c r="U171" s="1" t="s">
        <v>130</v>
      </c>
    </row>
    <row r="172" customFormat="false" ht="15" hidden="false" customHeight="true" outlineLevel="0" collapsed="false">
      <c r="A172" s="1" t="s">
        <v>656</v>
      </c>
      <c r="B172" s="1" t="s">
        <v>2989</v>
      </c>
      <c r="C172" s="1" t="s">
        <v>3907</v>
      </c>
      <c r="D172" s="1" t="s">
        <v>657</v>
      </c>
      <c r="E172" s="1" t="s">
        <v>168</v>
      </c>
      <c r="F172" s="1" t="s">
        <v>116</v>
      </c>
      <c r="G172" s="1" t="s">
        <v>59</v>
      </c>
      <c r="H172" s="1" t="s">
        <v>174</v>
      </c>
      <c r="I172" s="1" t="s">
        <v>175</v>
      </c>
      <c r="J172" s="1" t="s">
        <v>99</v>
      </c>
      <c r="K172" s="1" t="s">
        <v>105</v>
      </c>
      <c r="L172" s="1" t="s">
        <v>658</v>
      </c>
      <c r="M172" s="1" t="s">
        <v>83</v>
      </c>
      <c r="N172" s="1" t="s">
        <v>2822</v>
      </c>
      <c r="O172" s="1" t="s">
        <v>3908</v>
      </c>
      <c r="P172" s="1" t="s">
        <v>66</v>
      </c>
      <c r="Q172" s="1" t="s">
        <v>3909</v>
      </c>
      <c r="R172" s="1" t="s">
        <v>3910</v>
      </c>
      <c r="S172" s="1" t="s">
        <v>3911</v>
      </c>
      <c r="T172" s="1" t="s">
        <v>52</v>
      </c>
      <c r="U172" s="1" t="s">
        <v>53</v>
      </c>
    </row>
    <row r="173" customFormat="false" ht="15" hidden="false" customHeight="true" outlineLevel="0" collapsed="false">
      <c r="A173" s="1" t="s">
        <v>659</v>
      </c>
      <c r="B173" s="1" t="s">
        <v>2978</v>
      </c>
      <c r="C173" s="1" t="s">
        <v>3912</v>
      </c>
      <c r="D173" s="1" t="s">
        <v>660</v>
      </c>
      <c r="E173" s="1" t="s">
        <v>40</v>
      </c>
      <c r="F173" s="1" t="s">
        <v>116</v>
      </c>
      <c r="G173" s="1" t="s">
        <v>59</v>
      </c>
      <c r="H173" s="1" t="s">
        <v>174</v>
      </c>
      <c r="I173" s="1" t="s">
        <v>175</v>
      </c>
      <c r="J173" s="1" t="s">
        <v>46</v>
      </c>
      <c r="K173" s="1" t="s">
        <v>117</v>
      </c>
      <c r="L173" s="1" t="s">
        <v>661</v>
      </c>
      <c r="M173" s="1" t="s">
        <v>65</v>
      </c>
      <c r="N173" s="1" t="s">
        <v>2829</v>
      </c>
      <c r="O173" s="1" t="s">
        <v>3913</v>
      </c>
      <c r="P173" s="1" t="s">
        <v>84</v>
      </c>
      <c r="Q173" s="1" t="s">
        <v>3914</v>
      </c>
      <c r="R173" s="1" t="s">
        <v>3915</v>
      </c>
      <c r="S173" s="1" t="s">
        <v>3916</v>
      </c>
      <c r="T173" s="1" t="s">
        <v>52</v>
      </c>
      <c r="U173" s="1" t="s">
        <v>53</v>
      </c>
    </row>
    <row r="174" customFormat="false" ht="15" hidden="false" customHeight="true" outlineLevel="0" collapsed="false">
      <c r="A174" s="1" t="s">
        <v>662</v>
      </c>
      <c r="B174" s="1" t="s">
        <v>3917</v>
      </c>
      <c r="C174" s="1" t="s">
        <v>3918</v>
      </c>
      <c r="D174" s="1" t="s">
        <v>663</v>
      </c>
      <c r="E174" s="1" t="s">
        <v>40</v>
      </c>
      <c r="F174" s="1" t="s">
        <v>116</v>
      </c>
      <c r="G174" s="1" t="s">
        <v>42</v>
      </c>
      <c r="H174" s="1" t="s">
        <v>384</v>
      </c>
      <c r="I174" s="1" t="s">
        <v>385</v>
      </c>
      <c r="J174" s="1" t="s">
        <v>62</v>
      </c>
      <c r="K174" s="1" t="s">
        <v>81</v>
      </c>
      <c r="L174" s="1" t="s">
        <v>664</v>
      </c>
      <c r="M174" s="1" t="s">
        <v>65</v>
      </c>
      <c r="N174" s="1" t="s">
        <v>2899</v>
      </c>
      <c r="O174" s="1" t="s">
        <v>3919</v>
      </c>
      <c r="P174" s="1" t="s">
        <v>203</v>
      </c>
      <c r="Q174" s="1" t="s">
        <v>3920</v>
      </c>
      <c r="R174" s="1" t="s">
        <v>3921</v>
      </c>
      <c r="S174" s="1" t="s">
        <v>3922</v>
      </c>
      <c r="T174" s="1" t="s">
        <v>129</v>
      </c>
      <c r="U174" s="1" t="s">
        <v>130</v>
      </c>
    </row>
    <row r="175" customFormat="false" ht="15" hidden="false" customHeight="true" outlineLevel="0" collapsed="false">
      <c r="A175" s="1" t="s">
        <v>665</v>
      </c>
      <c r="B175" s="1" t="s">
        <v>3923</v>
      </c>
      <c r="C175" s="1" t="s">
        <v>3924</v>
      </c>
      <c r="D175" s="1" t="s">
        <v>666</v>
      </c>
      <c r="E175" s="1" t="s">
        <v>3925</v>
      </c>
      <c r="F175" s="1" t="s">
        <v>121</v>
      </c>
      <c r="G175" s="1" t="s">
        <v>42</v>
      </c>
      <c r="H175" s="1" t="s">
        <v>149</v>
      </c>
      <c r="I175" s="1" t="s">
        <v>150</v>
      </c>
      <c r="J175" s="1" t="s">
        <v>99</v>
      </c>
      <c r="K175" s="1" t="s">
        <v>105</v>
      </c>
      <c r="L175" s="1" t="s">
        <v>667</v>
      </c>
      <c r="M175" s="1" t="s">
        <v>49</v>
      </c>
      <c r="N175" s="1" t="s">
        <v>2836</v>
      </c>
      <c r="O175" s="1" t="s">
        <v>3926</v>
      </c>
      <c r="P175" s="1" t="s">
        <v>84</v>
      </c>
      <c r="Q175" s="1" t="s">
        <v>3927</v>
      </c>
      <c r="R175" s="1" t="s">
        <v>3928</v>
      </c>
      <c r="S175" s="1" t="s">
        <v>3929</v>
      </c>
      <c r="T175" s="1" t="s">
        <v>52</v>
      </c>
      <c r="U175" s="1" t="s">
        <v>53</v>
      </c>
    </row>
    <row r="176" customFormat="false" ht="15" hidden="false" customHeight="true" outlineLevel="0" collapsed="false">
      <c r="A176" s="1" t="s">
        <v>668</v>
      </c>
      <c r="B176" s="1" t="s">
        <v>3930</v>
      </c>
      <c r="C176" s="1" t="s">
        <v>3931</v>
      </c>
      <c r="D176" s="1" t="s">
        <v>669</v>
      </c>
      <c r="E176" s="1" t="s">
        <v>40</v>
      </c>
      <c r="F176" s="1" t="s">
        <v>58</v>
      </c>
      <c r="G176" s="1" t="s">
        <v>78</v>
      </c>
      <c r="H176" s="1" t="s">
        <v>206</v>
      </c>
      <c r="I176" s="1" t="s">
        <v>207</v>
      </c>
      <c r="J176" s="1" t="s">
        <v>62</v>
      </c>
      <c r="K176" s="1" t="s">
        <v>188</v>
      </c>
      <c r="L176" s="1" t="s">
        <v>670</v>
      </c>
      <c r="M176" s="1" t="s">
        <v>72</v>
      </c>
      <c r="N176" s="1" t="s">
        <v>2815</v>
      </c>
      <c r="O176" s="1" t="s">
        <v>3932</v>
      </c>
      <c r="P176" s="1" t="s">
        <v>107</v>
      </c>
      <c r="Q176" s="1" t="s">
        <v>3933</v>
      </c>
      <c r="R176" s="1" t="s">
        <v>3934</v>
      </c>
      <c r="S176" s="1" t="s">
        <v>3935</v>
      </c>
      <c r="T176" s="1" t="s">
        <v>138</v>
      </c>
      <c r="U176" s="1" t="s">
        <v>130</v>
      </c>
    </row>
    <row r="177" customFormat="false" ht="15" hidden="false" customHeight="true" outlineLevel="0" collapsed="false">
      <c r="A177" s="1" t="s">
        <v>671</v>
      </c>
      <c r="B177" s="1" t="s">
        <v>3681</v>
      </c>
      <c r="C177" s="1" t="s">
        <v>3936</v>
      </c>
      <c r="D177" s="1" t="s">
        <v>672</v>
      </c>
      <c r="E177" s="1" t="s">
        <v>77</v>
      </c>
      <c r="F177" s="1" t="s">
        <v>58</v>
      </c>
      <c r="G177" s="1" t="s">
        <v>59</v>
      </c>
      <c r="H177" s="1" t="s">
        <v>174</v>
      </c>
      <c r="I177" s="1" t="s">
        <v>175</v>
      </c>
      <c r="J177" s="1" t="s">
        <v>99</v>
      </c>
      <c r="K177" s="1" t="s">
        <v>308</v>
      </c>
      <c r="L177" s="1" t="s">
        <v>673</v>
      </c>
      <c r="M177" s="1" t="s">
        <v>65</v>
      </c>
      <c r="N177" s="1" t="s">
        <v>2906</v>
      </c>
      <c r="O177" s="1" t="s">
        <v>3937</v>
      </c>
      <c r="P177" s="1" t="s">
        <v>107</v>
      </c>
      <c r="Q177" s="1" t="s">
        <v>3938</v>
      </c>
      <c r="R177" s="1" t="s">
        <v>3939</v>
      </c>
      <c r="S177" s="1" t="s">
        <v>3940</v>
      </c>
      <c r="T177" s="1" t="s">
        <v>52</v>
      </c>
      <c r="U177" s="1" t="s">
        <v>130</v>
      </c>
    </row>
    <row r="178" customFormat="false" ht="15" hidden="false" customHeight="true" outlineLevel="0" collapsed="false">
      <c r="A178" s="1" t="s">
        <v>674</v>
      </c>
      <c r="B178" s="1" t="s">
        <v>3941</v>
      </c>
      <c r="C178" s="1" t="s">
        <v>3942</v>
      </c>
      <c r="D178" s="1" t="s">
        <v>675</v>
      </c>
      <c r="E178" s="1" t="s">
        <v>96</v>
      </c>
      <c r="F178" s="1" t="s">
        <v>116</v>
      </c>
      <c r="G178" s="1" t="s">
        <v>59</v>
      </c>
      <c r="H178" s="1" t="s">
        <v>262</v>
      </c>
      <c r="I178" s="1" t="s">
        <v>263</v>
      </c>
      <c r="J178" s="1" t="s">
        <v>62</v>
      </c>
      <c r="K178" s="1" t="s">
        <v>188</v>
      </c>
      <c r="L178" s="1" t="s">
        <v>676</v>
      </c>
      <c r="M178" s="1" t="s">
        <v>83</v>
      </c>
      <c r="N178" s="1" t="s">
        <v>2861</v>
      </c>
      <c r="O178" s="1" t="s">
        <v>3943</v>
      </c>
      <c r="P178" s="1" t="s">
        <v>107</v>
      </c>
      <c r="Q178" s="1" t="s">
        <v>3944</v>
      </c>
      <c r="R178" s="1" t="s">
        <v>3945</v>
      </c>
      <c r="S178" s="1" t="s">
        <v>3946</v>
      </c>
      <c r="T178" s="1" t="s">
        <v>52</v>
      </c>
      <c r="U178" s="1" t="s">
        <v>53</v>
      </c>
    </row>
    <row r="179" customFormat="false" ht="15" hidden="false" customHeight="true" outlineLevel="0" collapsed="false">
      <c r="A179" s="1" t="s">
        <v>677</v>
      </c>
      <c r="B179" s="1" t="s">
        <v>3947</v>
      </c>
      <c r="C179" s="1" t="s">
        <v>3948</v>
      </c>
      <c r="D179" s="1" t="s">
        <v>678</v>
      </c>
      <c r="E179" s="1" t="s">
        <v>159</v>
      </c>
      <c r="F179" s="1" t="s">
        <v>121</v>
      </c>
      <c r="H179" s="1" t="s">
        <v>174</v>
      </c>
      <c r="I179" s="1" t="s">
        <v>175</v>
      </c>
      <c r="J179" s="1" t="s">
        <v>46</v>
      </c>
      <c r="K179" s="1" t="s">
        <v>70</v>
      </c>
      <c r="L179" s="1" t="s">
        <v>679</v>
      </c>
      <c r="M179" s="1" t="s">
        <v>65</v>
      </c>
      <c r="N179" s="1" t="s">
        <v>2861</v>
      </c>
      <c r="O179" s="1" t="s">
        <v>3949</v>
      </c>
      <c r="P179" s="1" t="s">
        <v>66</v>
      </c>
      <c r="Q179" s="1" t="s">
        <v>3950</v>
      </c>
      <c r="R179" s="1" t="s">
        <v>3951</v>
      </c>
      <c r="S179" s="1" t="s">
        <v>3952</v>
      </c>
      <c r="T179" s="1" t="s">
        <v>52</v>
      </c>
      <c r="U179" s="1" t="s">
        <v>53</v>
      </c>
    </row>
    <row r="180" customFormat="false" ht="15" hidden="false" customHeight="true" outlineLevel="0" collapsed="false">
      <c r="A180" s="1" t="s">
        <v>680</v>
      </c>
      <c r="B180" s="1" t="s">
        <v>3953</v>
      </c>
      <c r="C180" s="1" t="s">
        <v>3954</v>
      </c>
      <c r="D180" s="1" t="s">
        <v>681</v>
      </c>
      <c r="E180" s="1" t="s">
        <v>69</v>
      </c>
      <c r="F180" s="1" t="s">
        <v>116</v>
      </c>
      <c r="G180" s="1" t="s">
        <v>78</v>
      </c>
      <c r="H180" s="1" t="s">
        <v>79</v>
      </c>
      <c r="I180" s="1" t="s">
        <v>80</v>
      </c>
      <c r="J180" s="1" t="s">
        <v>46</v>
      </c>
      <c r="K180" s="1" t="s">
        <v>70</v>
      </c>
      <c r="L180" s="1" t="s">
        <v>682</v>
      </c>
      <c r="M180" s="1" t="s">
        <v>83</v>
      </c>
      <c r="N180" s="1" t="s">
        <v>2937</v>
      </c>
      <c r="O180" s="1" t="s">
        <v>3955</v>
      </c>
      <c r="P180" s="1" t="s">
        <v>66</v>
      </c>
      <c r="Q180" s="1" t="s">
        <v>3956</v>
      </c>
      <c r="R180" s="1" t="s">
        <v>3957</v>
      </c>
      <c r="S180" s="1" t="s">
        <v>3958</v>
      </c>
      <c r="T180" s="1" t="s">
        <v>52</v>
      </c>
      <c r="U180" s="1" t="s">
        <v>53</v>
      </c>
    </row>
    <row r="181" customFormat="false" ht="15" hidden="false" customHeight="true" outlineLevel="0" collapsed="false">
      <c r="A181" s="1" t="s">
        <v>683</v>
      </c>
      <c r="B181" s="1" t="s">
        <v>3959</v>
      </c>
      <c r="C181" s="1" t="s">
        <v>3960</v>
      </c>
      <c r="D181" s="1" t="s">
        <v>684</v>
      </c>
      <c r="E181" s="1" t="s">
        <v>87</v>
      </c>
      <c r="F181" s="1" t="s">
        <v>58</v>
      </c>
      <c r="G181" s="1" t="s">
        <v>78</v>
      </c>
      <c r="H181" s="1" t="s">
        <v>281</v>
      </c>
      <c r="I181" s="1" t="s">
        <v>282</v>
      </c>
      <c r="J181" s="1" t="s">
        <v>62</v>
      </c>
      <c r="K181" s="1" t="s">
        <v>81</v>
      </c>
      <c r="L181" s="1" t="s">
        <v>685</v>
      </c>
      <c r="M181" s="1" t="s">
        <v>83</v>
      </c>
      <c r="N181" s="1" t="s">
        <v>2937</v>
      </c>
      <c r="O181" s="1" t="s">
        <v>3961</v>
      </c>
      <c r="P181" s="1" t="s">
        <v>84</v>
      </c>
      <c r="Q181" s="1" t="s">
        <v>3962</v>
      </c>
      <c r="R181" s="1" t="s">
        <v>3963</v>
      </c>
      <c r="S181" s="1" t="s">
        <v>3964</v>
      </c>
      <c r="T181" s="1" t="s">
        <v>129</v>
      </c>
      <c r="U181" s="1" t="s">
        <v>130</v>
      </c>
    </row>
    <row r="182" customFormat="false" ht="15" hidden="false" customHeight="true" outlineLevel="0" collapsed="false">
      <c r="A182" s="1" t="s">
        <v>686</v>
      </c>
      <c r="B182" s="1" t="s">
        <v>3965</v>
      </c>
      <c r="C182" s="1" t="s">
        <v>3966</v>
      </c>
      <c r="D182" s="1" t="s">
        <v>687</v>
      </c>
      <c r="E182" s="1" t="s">
        <v>57</v>
      </c>
      <c r="F182" s="1" t="s">
        <v>121</v>
      </c>
      <c r="G182" s="1" t="s">
        <v>42</v>
      </c>
      <c r="H182" s="1" t="s">
        <v>163</v>
      </c>
      <c r="I182" s="1" t="s">
        <v>164</v>
      </c>
      <c r="J182" s="1" t="s">
        <v>3885</v>
      </c>
      <c r="K182" s="1" t="s">
        <v>183</v>
      </c>
      <c r="L182" s="1" t="s">
        <v>688</v>
      </c>
      <c r="M182" s="1" t="s">
        <v>72</v>
      </c>
      <c r="N182" s="1" t="s">
        <v>2906</v>
      </c>
      <c r="O182" s="1" t="s">
        <v>3967</v>
      </c>
      <c r="P182" s="1" t="s">
        <v>203</v>
      </c>
      <c r="Q182" s="1" t="s">
        <v>3968</v>
      </c>
      <c r="R182" s="1" t="s">
        <v>3969</v>
      </c>
      <c r="S182" s="1" t="s">
        <v>3970</v>
      </c>
      <c r="T182" s="1" t="s">
        <v>52</v>
      </c>
      <c r="U182" s="1" t="s">
        <v>53</v>
      </c>
    </row>
    <row r="183" customFormat="false" ht="15" hidden="false" customHeight="true" outlineLevel="0" collapsed="false">
      <c r="A183" s="1" t="s">
        <v>689</v>
      </c>
      <c r="B183" s="1" t="s">
        <v>3971</v>
      </c>
      <c r="C183" s="1" t="s">
        <v>3972</v>
      </c>
      <c r="D183" s="1" t="s">
        <v>690</v>
      </c>
      <c r="E183" s="1" t="s">
        <v>141</v>
      </c>
      <c r="F183" s="1" t="s">
        <v>121</v>
      </c>
      <c r="G183" s="1" t="s">
        <v>78</v>
      </c>
      <c r="H183" s="1" t="s">
        <v>281</v>
      </c>
      <c r="I183" s="1" t="s">
        <v>282</v>
      </c>
      <c r="J183" s="1" t="s">
        <v>46</v>
      </c>
      <c r="K183" s="1" t="s">
        <v>70</v>
      </c>
      <c r="L183" s="1" t="s">
        <v>691</v>
      </c>
      <c r="M183" s="1" t="s">
        <v>49</v>
      </c>
      <c r="N183" s="1" t="s">
        <v>2937</v>
      </c>
      <c r="O183" s="1" t="s">
        <v>3973</v>
      </c>
      <c r="P183" s="1" t="s">
        <v>66</v>
      </c>
      <c r="Q183" s="1" t="s">
        <v>3974</v>
      </c>
      <c r="R183" s="1" t="s">
        <v>3975</v>
      </c>
      <c r="S183" s="1" t="s">
        <v>3976</v>
      </c>
      <c r="T183" s="1" t="s">
        <v>52</v>
      </c>
      <c r="U183" s="1" t="s">
        <v>53</v>
      </c>
    </row>
    <row r="184" customFormat="false" ht="15" hidden="false" customHeight="true" outlineLevel="0" collapsed="false">
      <c r="A184" s="1" t="s">
        <v>692</v>
      </c>
      <c r="B184" s="1" t="s">
        <v>3172</v>
      </c>
      <c r="C184" s="1" t="s">
        <v>3172</v>
      </c>
      <c r="D184" s="1" t="s">
        <v>693</v>
      </c>
      <c r="E184" s="1" t="s">
        <v>87</v>
      </c>
      <c r="F184" s="1" t="s">
        <v>121</v>
      </c>
      <c r="G184" s="1" t="s">
        <v>59</v>
      </c>
      <c r="H184" s="1" t="s">
        <v>174</v>
      </c>
      <c r="I184" s="1" t="s">
        <v>175</v>
      </c>
      <c r="J184" s="1" t="s">
        <v>99</v>
      </c>
      <c r="K184" s="1" t="s">
        <v>308</v>
      </c>
      <c r="L184" s="1" t="s">
        <v>694</v>
      </c>
      <c r="M184" s="1" t="s">
        <v>83</v>
      </c>
      <c r="N184" s="1" t="s">
        <v>2906</v>
      </c>
      <c r="O184" s="1" t="s">
        <v>3977</v>
      </c>
      <c r="P184" s="1" t="s">
        <v>66</v>
      </c>
      <c r="Q184" s="1" t="s">
        <v>3978</v>
      </c>
      <c r="R184" s="1" t="s">
        <v>3979</v>
      </c>
      <c r="S184" s="1" t="s">
        <v>3980</v>
      </c>
      <c r="T184" s="1" t="s">
        <v>52</v>
      </c>
      <c r="U184" s="1" t="s">
        <v>53</v>
      </c>
    </row>
    <row r="185" customFormat="false" ht="15" hidden="false" customHeight="true" outlineLevel="0" collapsed="false">
      <c r="A185" s="1" t="s">
        <v>695</v>
      </c>
      <c r="B185" s="1" t="s">
        <v>3981</v>
      </c>
      <c r="C185" s="1" t="s">
        <v>3982</v>
      </c>
      <c r="D185" s="1" t="s">
        <v>696</v>
      </c>
      <c r="E185" s="1" t="s">
        <v>96</v>
      </c>
      <c r="F185" s="1" t="s">
        <v>121</v>
      </c>
      <c r="G185" s="1" t="s">
        <v>78</v>
      </c>
      <c r="H185" s="1" t="s">
        <v>79</v>
      </c>
      <c r="I185" s="1" t="s">
        <v>80</v>
      </c>
      <c r="J185" s="1" t="s">
        <v>99</v>
      </c>
      <c r="K185" s="1" t="s">
        <v>105</v>
      </c>
      <c r="L185" s="1" t="s">
        <v>697</v>
      </c>
      <c r="M185" s="1" t="s">
        <v>83</v>
      </c>
      <c r="N185" s="1" t="s">
        <v>2906</v>
      </c>
      <c r="O185" s="1" t="s">
        <v>3983</v>
      </c>
      <c r="P185" s="1" t="s">
        <v>50</v>
      </c>
      <c r="Q185" s="1" t="s">
        <v>3984</v>
      </c>
      <c r="R185" s="1" t="s">
        <v>3985</v>
      </c>
      <c r="S185" s="1" t="s">
        <v>3986</v>
      </c>
      <c r="T185" s="1" t="s">
        <v>52</v>
      </c>
      <c r="U185" s="1" t="s">
        <v>130</v>
      </c>
    </row>
    <row r="186" customFormat="false" ht="15" hidden="false" customHeight="true" outlineLevel="0" collapsed="false">
      <c r="A186" s="1" t="s">
        <v>698</v>
      </c>
      <c r="B186" s="1" t="s">
        <v>3987</v>
      </c>
      <c r="C186" s="1" t="s">
        <v>3224</v>
      </c>
      <c r="D186" s="1" t="s">
        <v>699</v>
      </c>
      <c r="E186" s="1" t="s">
        <v>96</v>
      </c>
      <c r="F186" s="1" t="s">
        <v>116</v>
      </c>
      <c r="G186" s="1" t="s">
        <v>88</v>
      </c>
      <c r="H186" s="1" t="s">
        <v>97</v>
      </c>
      <c r="I186" s="1" t="s">
        <v>98</v>
      </c>
      <c r="J186" s="1" t="s">
        <v>62</v>
      </c>
      <c r="K186" s="1" t="s">
        <v>188</v>
      </c>
      <c r="L186" s="1" t="s">
        <v>700</v>
      </c>
      <c r="M186" s="1" t="s">
        <v>83</v>
      </c>
      <c r="N186" s="1" t="s">
        <v>2868</v>
      </c>
      <c r="O186" s="1" t="s">
        <v>3988</v>
      </c>
      <c r="P186" s="1" t="s">
        <v>66</v>
      </c>
      <c r="Q186" s="1" t="s">
        <v>3989</v>
      </c>
      <c r="R186" s="1" t="s">
        <v>3990</v>
      </c>
      <c r="S186" s="1" t="s">
        <v>3991</v>
      </c>
      <c r="T186" s="1" t="s">
        <v>129</v>
      </c>
      <c r="U186" s="1" t="s">
        <v>130</v>
      </c>
    </row>
    <row r="187" customFormat="false" ht="15" hidden="false" customHeight="true" outlineLevel="0" collapsed="false">
      <c r="A187" s="1" t="s">
        <v>701</v>
      </c>
      <c r="B187" s="1" t="s">
        <v>2983</v>
      </c>
      <c r="C187" s="1" t="s">
        <v>3992</v>
      </c>
      <c r="D187" s="1" t="s">
        <v>702</v>
      </c>
      <c r="E187" s="1" t="s">
        <v>77</v>
      </c>
      <c r="F187" s="1" t="s">
        <v>41</v>
      </c>
      <c r="H187" s="1" t="s">
        <v>149</v>
      </c>
      <c r="I187" s="1" t="s">
        <v>150</v>
      </c>
      <c r="J187" s="1" t="s">
        <v>46</v>
      </c>
      <c r="K187" s="1" t="s">
        <v>117</v>
      </c>
      <c r="L187" s="1" t="s">
        <v>703</v>
      </c>
      <c r="M187" s="1" t="s">
        <v>49</v>
      </c>
      <c r="N187" s="1" t="s">
        <v>2868</v>
      </c>
      <c r="O187" s="1" t="s">
        <v>3993</v>
      </c>
      <c r="P187" s="1" t="s">
        <v>50</v>
      </c>
      <c r="Q187" s="1" t="s">
        <v>3994</v>
      </c>
      <c r="R187" s="1" t="s">
        <v>3995</v>
      </c>
      <c r="S187" s="1" t="s">
        <v>3996</v>
      </c>
      <c r="T187" s="1" t="s">
        <v>52</v>
      </c>
      <c r="U187" s="1" t="s">
        <v>53</v>
      </c>
    </row>
    <row r="188" customFormat="false" ht="15" hidden="false" customHeight="true" outlineLevel="0" collapsed="false">
      <c r="A188" s="1" t="s">
        <v>704</v>
      </c>
      <c r="B188" s="1" t="s">
        <v>3207</v>
      </c>
      <c r="C188" s="1" t="s">
        <v>3997</v>
      </c>
      <c r="D188" s="1" t="s">
        <v>297</v>
      </c>
      <c r="E188" s="1" t="s">
        <v>96</v>
      </c>
      <c r="F188" s="1" t="s">
        <v>41</v>
      </c>
      <c r="G188" s="1" t="s">
        <v>78</v>
      </c>
      <c r="H188" s="1" t="s">
        <v>281</v>
      </c>
      <c r="I188" s="1" t="s">
        <v>282</v>
      </c>
      <c r="J188" s="1" t="s">
        <v>62</v>
      </c>
      <c r="K188" s="1" t="s">
        <v>63</v>
      </c>
      <c r="L188" s="1" t="s">
        <v>705</v>
      </c>
      <c r="M188" s="1" t="s">
        <v>72</v>
      </c>
      <c r="N188" s="1" t="s">
        <v>2906</v>
      </c>
      <c r="O188" s="1" t="s">
        <v>3998</v>
      </c>
      <c r="P188" s="1" t="s">
        <v>128</v>
      </c>
      <c r="Q188" s="1" t="s">
        <v>3999</v>
      </c>
      <c r="R188" s="1" t="s">
        <v>4000</v>
      </c>
      <c r="S188" s="1" t="s">
        <v>4001</v>
      </c>
      <c r="T188" s="1" t="s">
        <v>52</v>
      </c>
      <c r="U188" s="1" t="s">
        <v>53</v>
      </c>
    </row>
    <row r="189" customFormat="false" ht="15" hidden="false" customHeight="true" outlineLevel="0" collapsed="false">
      <c r="A189" s="1" t="s">
        <v>706</v>
      </c>
      <c r="B189" s="1" t="s">
        <v>4002</v>
      </c>
      <c r="C189" s="1" t="s">
        <v>4003</v>
      </c>
      <c r="D189" s="1" t="s">
        <v>707</v>
      </c>
      <c r="E189" s="1" t="s">
        <v>57</v>
      </c>
      <c r="F189" s="1" t="s">
        <v>41</v>
      </c>
      <c r="G189" s="1" t="s">
        <v>88</v>
      </c>
      <c r="H189" s="1" t="s">
        <v>97</v>
      </c>
      <c r="I189" s="1" t="s">
        <v>98</v>
      </c>
      <c r="J189" s="1" t="s">
        <v>62</v>
      </c>
      <c r="K189" s="1" t="s">
        <v>91</v>
      </c>
      <c r="L189" s="1" t="s">
        <v>708</v>
      </c>
      <c r="M189" s="1" t="s">
        <v>65</v>
      </c>
      <c r="N189" s="1" t="s">
        <v>2822</v>
      </c>
      <c r="O189" s="1" t="s">
        <v>4004</v>
      </c>
      <c r="P189" s="1" t="s">
        <v>66</v>
      </c>
      <c r="Q189" s="1" t="s">
        <v>4005</v>
      </c>
      <c r="R189" s="1" t="s">
        <v>4006</v>
      </c>
      <c r="S189" s="1" t="s">
        <v>4007</v>
      </c>
      <c r="T189" s="1" t="s">
        <v>52</v>
      </c>
      <c r="U189" s="1" t="s">
        <v>130</v>
      </c>
    </row>
    <row r="190" customFormat="false" ht="15" hidden="false" customHeight="true" outlineLevel="0" collapsed="false">
      <c r="A190" s="1" t="s">
        <v>709</v>
      </c>
      <c r="B190" s="1" t="s">
        <v>4008</v>
      </c>
      <c r="C190" s="1" t="s">
        <v>4009</v>
      </c>
      <c r="D190" s="1" t="s">
        <v>710</v>
      </c>
      <c r="E190" s="1" t="s">
        <v>141</v>
      </c>
      <c r="F190" s="1" t="s">
        <v>116</v>
      </c>
      <c r="G190" s="1" t="s">
        <v>59</v>
      </c>
      <c r="H190" s="1" t="s">
        <v>125</v>
      </c>
      <c r="I190" s="1" t="s">
        <v>126</v>
      </c>
      <c r="J190" s="1" t="s">
        <v>62</v>
      </c>
      <c r="K190" s="1" t="s">
        <v>188</v>
      </c>
      <c r="L190" s="1" t="s">
        <v>711</v>
      </c>
      <c r="M190" s="1" t="s">
        <v>65</v>
      </c>
      <c r="N190" s="1" t="s">
        <v>2868</v>
      </c>
      <c r="O190" s="1" t="s">
        <v>4010</v>
      </c>
      <c r="P190" s="1" t="s">
        <v>203</v>
      </c>
      <c r="Q190" s="1" t="s">
        <v>4011</v>
      </c>
      <c r="R190" s="1" t="s">
        <v>4012</v>
      </c>
      <c r="S190" s="1" t="s">
        <v>4013</v>
      </c>
      <c r="T190" s="1" t="s">
        <v>52</v>
      </c>
      <c r="U190" s="1" t="s">
        <v>53</v>
      </c>
    </row>
    <row r="191" customFormat="false" ht="15" hidden="false" customHeight="true" outlineLevel="0" collapsed="false">
      <c r="A191" s="1" t="s">
        <v>712</v>
      </c>
      <c r="B191" s="1" t="s">
        <v>4014</v>
      </c>
      <c r="C191" s="1" t="s">
        <v>4015</v>
      </c>
      <c r="D191" s="1" t="s">
        <v>713</v>
      </c>
      <c r="E191" s="1" t="s">
        <v>77</v>
      </c>
      <c r="F191" s="1" t="s">
        <v>41</v>
      </c>
      <c r="G191" s="1" t="s">
        <v>88</v>
      </c>
      <c r="H191" s="1" t="s">
        <v>44</v>
      </c>
      <c r="I191" s="1" t="s">
        <v>136</v>
      </c>
      <c r="J191" s="1" t="s">
        <v>62</v>
      </c>
      <c r="K191" s="1" t="s">
        <v>188</v>
      </c>
      <c r="L191" s="1" t="s">
        <v>714</v>
      </c>
      <c r="M191" s="1" t="s">
        <v>72</v>
      </c>
      <c r="N191" s="1" t="s">
        <v>2899</v>
      </c>
      <c r="O191" s="1" t="s">
        <v>4016</v>
      </c>
      <c r="Q191" s="1" t="s">
        <v>4017</v>
      </c>
      <c r="R191" s="1" t="s">
        <v>4018</v>
      </c>
      <c r="S191" s="1" t="s">
        <v>4019</v>
      </c>
      <c r="T191" s="1" t="s">
        <v>52</v>
      </c>
      <c r="U191" s="1" t="s">
        <v>4020</v>
      </c>
    </row>
    <row r="192" customFormat="false" ht="15" hidden="false" customHeight="true" outlineLevel="0" collapsed="false">
      <c r="A192" s="1" t="s">
        <v>715</v>
      </c>
      <c r="B192" s="1" t="s">
        <v>4021</v>
      </c>
      <c r="C192" s="1" t="s">
        <v>4022</v>
      </c>
      <c r="D192" s="1" t="s">
        <v>716</v>
      </c>
      <c r="E192" s="1" t="s">
        <v>115</v>
      </c>
      <c r="F192" s="1" t="s">
        <v>41</v>
      </c>
      <c r="G192" s="1" t="s">
        <v>78</v>
      </c>
      <c r="H192" s="1" t="s">
        <v>281</v>
      </c>
      <c r="I192" s="1" t="s">
        <v>282</v>
      </c>
      <c r="J192" s="1" t="s">
        <v>46</v>
      </c>
      <c r="K192" s="1" t="s">
        <v>151</v>
      </c>
      <c r="L192" s="1" t="s">
        <v>717</v>
      </c>
      <c r="M192" s="1" t="s">
        <v>72</v>
      </c>
      <c r="N192" s="1" t="s">
        <v>2822</v>
      </c>
      <c r="O192" s="1" t="s">
        <v>4023</v>
      </c>
      <c r="P192" s="1" t="s">
        <v>203</v>
      </c>
      <c r="Q192" s="1" t="s">
        <v>4024</v>
      </c>
      <c r="R192" s="1" t="s">
        <v>4025</v>
      </c>
      <c r="S192" s="1" t="s">
        <v>4026</v>
      </c>
      <c r="T192" s="1" t="s">
        <v>52</v>
      </c>
      <c r="U192" s="1" t="s">
        <v>53</v>
      </c>
    </row>
    <row r="193" customFormat="false" ht="15" hidden="false" customHeight="true" outlineLevel="0" collapsed="false">
      <c r="A193" s="1" t="s">
        <v>718</v>
      </c>
      <c r="B193" s="1" t="s">
        <v>4027</v>
      </c>
      <c r="C193" s="1" t="s">
        <v>3576</v>
      </c>
      <c r="D193" s="1" t="s">
        <v>719</v>
      </c>
      <c r="E193" s="1" t="s">
        <v>159</v>
      </c>
      <c r="F193" s="1" t="s">
        <v>58</v>
      </c>
      <c r="G193" s="1" t="s">
        <v>78</v>
      </c>
      <c r="H193" s="1" t="s">
        <v>281</v>
      </c>
      <c r="I193" s="1" t="s">
        <v>282</v>
      </c>
      <c r="J193" s="1" t="s">
        <v>62</v>
      </c>
      <c r="K193" s="1" t="s">
        <v>188</v>
      </c>
      <c r="L193" s="1" t="s">
        <v>720</v>
      </c>
      <c r="M193" s="1" t="s">
        <v>49</v>
      </c>
      <c r="N193" s="1" t="s">
        <v>2815</v>
      </c>
      <c r="O193" s="1" t="s">
        <v>4028</v>
      </c>
      <c r="P193" s="1" t="s">
        <v>721</v>
      </c>
      <c r="Q193" s="1" t="s">
        <v>4029</v>
      </c>
      <c r="R193" s="1" t="s">
        <v>4030</v>
      </c>
      <c r="S193" s="1" t="s">
        <v>4031</v>
      </c>
      <c r="T193" s="1" t="s">
        <v>52</v>
      </c>
      <c r="U193" s="1" t="s">
        <v>53</v>
      </c>
    </row>
    <row r="194" customFormat="false" ht="15" hidden="false" customHeight="true" outlineLevel="0" collapsed="false">
      <c r="A194" s="1" t="s">
        <v>722</v>
      </c>
      <c r="B194" s="1" t="s">
        <v>4032</v>
      </c>
      <c r="C194" s="1" t="s">
        <v>4033</v>
      </c>
      <c r="D194" s="1" t="s">
        <v>723</v>
      </c>
      <c r="E194" s="1" t="s">
        <v>69</v>
      </c>
      <c r="F194" s="1" t="s">
        <v>121</v>
      </c>
      <c r="G194" s="1" t="s">
        <v>88</v>
      </c>
      <c r="H194" s="1" t="s">
        <v>211</v>
      </c>
      <c r="I194" s="1" t="s">
        <v>212</v>
      </c>
      <c r="J194" s="1" t="s">
        <v>62</v>
      </c>
      <c r="K194" s="1" t="s">
        <v>91</v>
      </c>
      <c r="L194" s="1" t="s">
        <v>724</v>
      </c>
      <c r="M194" s="1" t="s">
        <v>72</v>
      </c>
      <c r="N194" s="1" t="s">
        <v>2937</v>
      </c>
      <c r="O194" s="1" t="s">
        <v>4034</v>
      </c>
      <c r="P194" s="1" t="s">
        <v>66</v>
      </c>
      <c r="Q194" s="1" t="s">
        <v>4035</v>
      </c>
      <c r="R194" s="1" t="s">
        <v>4036</v>
      </c>
      <c r="S194" s="1" t="s">
        <v>4037</v>
      </c>
      <c r="T194" s="1" t="s">
        <v>52</v>
      </c>
      <c r="U194" s="1" t="s">
        <v>53</v>
      </c>
    </row>
    <row r="195" customFormat="false" ht="15" hidden="false" customHeight="true" outlineLevel="0" collapsed="false">
      <c r="A195" s="1" t="s">
        <v>725</v>
      </c>
      <c r="B195" s="1" t="s">
        <v>4038</v>
      </c>
      <c r="C195" s="1" t="s">
        <v>4039</v>
      </c>
      <c r="D195" s="1" t="s">
        <v>726</v>
      </c>
      <c r="E195" s="1" t="s">
        <v>141</v>
      </c>
      <c r="F195" s="1" t="s">
        <v>58</v>
      </c>
      <c r="G195" s="1" t="s">
        <v>42</v>
      </c>
      <c r="H195" s="1" t="s">
        <v>149</v>
      </c>
      <c r="I195" s="1" t="s">
        <v>150</v>
      </c>
      <c r="J195" s="1" t="s">
        <v>99</v>
      </c>
      <c r="K195" s="1" t="s">
        <v>105</v>
      </c>
      <c r="L195" s="1" t="s">
        <v>727</v>
      </c>
      <c r="M195" s="1" t="s">
        <v>65</v>
      </c>
      <c r="N195" s="1" t="s">
        <v>2815</v>
      </c>
      <c r="O195" s="1" t="s">
        <v>4040</v>
      </c>
      <c r="P195" s="1" t="s">
        <v>50</v>
      </c>
      <c r="Q195" s="1" t="s">
        <v>4041</v>
      </c>
      <c r="R195" s="1" t="s">
        <v>4042</v>
      </c>
      <c r="S195" s="1" t="s">
        <v>4043</v>
      </c>
      <c r="T195" s="1" t="s">
        <v>129</v>
      </c>
      <c r="U195" s="1" t="s">
        <v>130</v>
      </c>
    </row>
    <row r="196" customFormat="false" ht="15" hidden="false" customHeight="true" outlineLevel="0" collapsed="false">
      <c r="A196" s="1" t="s">
        <v>728</v>
      </c>
      <c r="B196" s="1" t="s">
        <v>4044</v>
      </c>
      <c r="C196" s="1" t="s">
        <v>4045</v>
      </c>
      <c r="D196" s="1" t="s">
        <v>729</v>
      </c>
      <c r="E196" s="1" t="s">
        <v>141</v>
      </c>
      <c r="F196" s="1" t="s">
        <v>41</v>
      </c>
      <c r="G196" s="1" t="s">
        <v>4046</v>
      </c>
      <c r="H196" s="1" t="s">
        <v>89</v>
      </c>
      <c r="I196" s="1" t="s">
        <v>90</v>
      </c>
      <c r="J196" s="1" t="s">
        <v>62</v>
      </c>
      <c r="K196" s="1" t="s">
        <v>81</v>
      </c>
      <c r="L196" s="1" t="s">
        <v>730</v>
      </c>
      <c r="M196" s="1" t="s">
        <v>72</v>
      </c>
      <c r="N196" s="1" t="s">
        <v>2899</v>
      </c>
      <c r="O196" s="1" t="s">
        <v>4047</v>
      </c>
      <c r="P196" s="1" t="s">
        <v>128</v>
      </c>
      <c r="Q196" s="1" t="s">
        <v>4048</v>
      </c>
      <c r="R196" s="1" t="s">
        <v>4049</v>
      </c>
      <c r="S196" s="1" t="s">
        <v>4050</v>
      </c>
      <c r="T196" s="1" t="s">
        <v>138</v>
      </c>
      <c r="U196" s="1" t="s">
        <v>130</v>
      </c>
    </row>
    <row r="197" customFormat="false" ht="15" hidden="false" customHeight="true" outlineLevel="0" collapsed="false">
      <c r="A197" s="1" t="s">
        <v>731</v>
      </c>
      <c r="B197" s="1" t="s">
        <v>4051</v>
      </c>
      <c r="C197" s="1" t="s">
        <v>4052</v>
      </c>
      <c r="D197" s="1" t="s">
        <v>732</v>
      </c>
      <c r="E197" s="1" t="s">
        <v>104</v>
      </c>
      <c r="F197" s="1" t="s">
        <v>121</v>
      </c>
      <c r="G197" s="1" t="s">
        <v>78</v>
      </c>
      <c r="H197" s="1" t="s">
        <v>110</v>
      </c>
      <c r="I197" s="1" t="s">
        <v>111</v>
      </c>
      <c r="J197" s="1" t="s">
        <v>62</v>
      </c>
      <c r="K197" s="1" t="s">
        <v>81</v>
      </c>
      <c r="L197" s="1" t="s">
        <v>733</v>
      </c>
      <c r="M197" s="1" t="s">
        <v>65</v>
      </c>
      <c r="N197" s="1" t="s">
        <v>2829</v>
      </c>
      <c r="O197" s="1" t="s">
        <v>4053</v>
      </c>
      <c r="P197" s="1" t="s">
        <v>66</v>
      </c>
      <c r="Q197" s="1" t="s">
        <v>4054</v>
      </c>
      <c r="R197" s="1" t="s">
        <v>4055</v>
      </c>
      <c r="S197" s="1" t="s">
        <v>4056</v>
      </c>
      <c r="T197" s="1" t="s">
        <v>52</v>
      </c>
      <c r="U197" s="1" t="s">
        <v>53</v>
      </c>
    </row>
    <row r="198" customFormat="false" ht="15" hidden="false" customHeight="true" outlineLevel="0" collapsed="false">
      <c r="A198" s="1" t="s">
        <v>734</v>
      </c>
      <c r="B198" s="1" t="s">
        <v>2841</v>
      </c>
      <c r="C198" s="1" t="s">
        <v>4057</v>
      </c>
      <c r="D198" s="1" t="s">
        <v>735</v>
      </c>
      <c r="E198" s="1" t="s">
        <v>298</v>
      </c>
      <c r="F198" s="1" t="s">
        <v>121</v>
      </c>
      <c r="G198" s="1" t="s">
        <v>42</v>
      </c>
      <c r="H198" s="1" t="s">
        <v>163</v>
      </c>
      <c r="I198" s="1" t="s">
        <v>164</v>
      </c>
      <c r="J198" s="1" t="s">
        <v>46</v>
      </c>
      <c r="K198" s="1" t="s">
        <v>151</v>
      </c>
      <c r="L198" s="1" t="s">
        <v>736</v>
      </c>
      <c r="M198" s="1" t="s">
        <v>72</v>
      </c>
      <c r="N198" s="1" t="s">
        <v>2822</v>
      </c>
      <c r="O198" s="1" t="s">
        <v>4058</v>
      </c>
      <c r="P198" s="1" t="s">
        <v>203</v>
      </c>
      <c r="Q198" s="1" t="s">
        <v>4059</v>
      </c>
      <c r="R198" s="1" t="s">
        <v>4060</v>
      </c>
      <c r="S198" s="1" t="s">
        <v>4061</v>
      </c>
      <c r="T198" s="1" t="s">
        <v>52</v>
      </c>
      <c r="U198" s="1" t="s">
        <v>53</v>
      </c>
    </row>
    <row r="199" customFormat="false" ht="15" hidden="false" customHeight="true" outlineLevel="0" collapsed="false">
      <c r="A199" s="1" t="s">
        <v>737</v>
      </c>
      <c r="B199" s="1" t="s">
        <v>3248</v>
      </c>
      <c r="C199" s="1" t="s">
        <v>4062</v>
      </c>
      <c r="D199" s="1" t="s">
        <v>425</v>
      </c>
      <c r="E199" s="1" t="s">
        <v>145</v>
      </c>
      <c r="F199" s="1" t="s">
        <v>3642</v>
      </c>
      <c r="G199" s="1" t="s">
        <v>59</v>
      </c>
      <c r="H199" s="1" t="s">
        <v>174</v>
      </c>
      <c r="I199" s="1" t="s">
        <v>175</v>
      </c>
      <c r="J199" s="1" t="s">
        <v>46</v>
      </c>
      <c r="K199" s="1" t="s">
        <v>151</v>
      </c>
      <c r="L199" s="1" t="s">
        <v>738</v>
      </c>
      <c r="M199" s="1" t="s">
        <v>49</v>
      </c>
      <c r="N199" s="1" t="s">
        <v>2829</v>
      </c>
      <c r="O199" s="1" t="s">
        <v>4063</v>
      </c>
      <c r="P199" s="1" t="s">
        <v>107</v>
      </c>
      <c r="Q199" s="1" t="s">
        <v>4064</v>
      </c>
      <c r="R199" s="1" t="s">
        <v>4065</v>
      </c>
      <c r="S199" s="1" t="s">
        <v>4066</v>
      </c>
      <c r="T199" s="1" t="s">
        <v>52</v>
      </c>
      <c r="U199" s="1" t="s">
        <v>53</v>
      </c>
    </row>
    <row r="200" customFormat="false" ht="15" hidden="false" customHeight="true" outlineLevel="0" collapsed="false">
      <c r="A200" s="1" t="s">
        <v>739</v>
      </c>
      <c r="B200" s="1" t="s">
        <v>4067</v>
      </c>
      <c r="C200" s="1" t="s">
        <v>4068</v>
      </c>
      <c r="D200" s="1" t="s">
        <v>740</v>
      </c>
      <c r="E200" s="1" t="s">
        <v>159</v>
      </c>
      <c r="F200" s="1" t="s">
        <v>41</v>
      </c>
      <c r="G200" s="1" t="s">
        <v>88</v>
      </c>
      <c r="H200" s="1" t="s">
        <v>211</v>
      </c>
      <c r="I200" s="1" t="s">
        <v>212</v>
      </c>
      <c r="J200" s="1" t="s">
        <v>46</v>
      </c>
      <c r="K200" s="1" t="s">
        <v>70</v>
      </c>
      <c r="L200" s="1" t="s">
        <v>741</v>
      </c>
      <c r="M200" s="1" t="s">
        <v>49</v>
      </c>
      <c r="N200" s="1" t="s">
        <v>2836</v>
      </c>
      <c r="O200" s="1" t="s">
        <v>4069</v>
      </c>
      <c r="P200" s="1" t="s">
        <v>128</v>
      </c>
      <c r="Q200" s="1" t="s">
        <v>4070</v>
      </c>
      <c r="R200" s="1" t="s">
        <v>4071</v>
      </c>
      <c r="S200" s="1" t="s">
        <v>4072</v>
      </c>
      <c r="T200" s="1" t="s">
        <v>185</v>
      </c>
      <c r="U200" s="1" t="s">
        <v>93</v>
      </c>
    </row>
    <row r="201" customFormat="false" ht="15" hidden="false" customHeight="true" outlineLevel="0" collapsed="false">
      <c r="A201" s="1" t="s">
        <v>742</v>
      </c>
      <c r="B201" s="1" t="s">
        <v>3177</v>
      </c>
      <c r="C201" s="1" t="s">
        <v>2918</v>
      </c>
      <c r="D201" s="1" t="s">
        <v>743</v>
      </c>
      <c r="E201" s="1" t="s">
        <v>145</v>
      </c>
      <c r="F201" s="1" t="s">
        <v>121</v>
      </c>
      <c r="G201" s="1" t="s">
        <v>59</v>
      </c>
      <c r="H201" s="1" t="s">
        <v>174</v>
      </c>
      <c r="I201" s="1" t="s">
        <v>175</v>
      </c>
      <c r="J201" s="1" t="s">
        <v>99</v>
      </c>
      <c r="K201" s="1" t="s">
        <v>308</v>
      </c>
      <c r="L201" s="1" t="s">
        <v>744</v>
      </c>
      <c r="N201" s="1" t="s">
        <v>2815</v>
      </c>
      <c r="O201" s="1" t="s">
        <v>4073</v>
      </c>
      <c r="P201" s="1" t="s">
        <v>84</v>
      </c>
      <c r="Q201" s="1" t="s">
        <v>4074</v>
      </c>
      <c r="R201" s="1" t="s">
        <v>4075</v>
      </c>
      <c r="S201" s="1" t="s">
        <v>4076</v>
      </c>
      <c r="T201" s="1" t="s">
        <v>52</v>
      </c>
      <c r="U201" s="1" t="s">
        <v>53</v>
      </c>
    </row>
    <row r="202" customFormat="false" ht="15" hidden="false" customHeight="true" outlineLevel="0" collapsed="false">
      <c r="A202" s="1" t="s">
        <v>745</v>
      </c>
      <c r="B202" s="1" t="s">
        <v>3982</v>
      </c>
      <c r="C202" s="1" t="s">
        <v>4077</v>
      </c>
      <c r="D202" s="1" t="s">
        <v>746</v>
      </c>
      <c r="E202" s="1" t="s">
        <v>141</v>
      </c>
      <c r="F202" s="1" t="s">
        <v>58</v>
      </c>
      <c r="G202" s="1" t="s">
        <v>42</v>
      </c>
      <c r="H202" s="1" t="s">
        <v>44</v>
      </c>
      <c r="I202" s="1" t="s">
        <v>45</v>
      </c>
      <c r="J202" s="1" t="s">
        <v>99</v>
      </c>
      <c r="K202" s="1" t="s">
        <v>105</v>
      </c>
      <c r="L202" s="1" t="s">
        <v>747</v>
      </c>
      <c r="M202" s="1" t="s">
        <v>72</v>
      </c>
      <c r="N202" s="1" t="s">
        <v>2829</v>
      </c>
      <c r="O202" s="1" t="s">
        <v>4078</v>
      </c>
      <c r="P202" s="1" t="s">
        <v>203</v>
      </c>
      <c r="Q202" s="1" t="s">
        <v>4079</v>
      </c>
      <c r="R202" s="1" t="s">
        <v>4080</v>
      </c>
      <c r="S202" s="1" t="s">
        <v>4081</v>
      </c>
      <c r="T202" s="1" t="s">
        <v>138</v>
      </c>
      <c r="U202" s="1" t="s">
        <v>93</v>
      </c>
    </row>
    <row r="203" customFormat="false" ht="15" hidden="false" customHeight="true" outlineLevel="0" collapsed="false">
      <c r="A203" s="1" t="s">
        <v>748</v>
      </c>
      <c r="B203" s="1" t="s">
        <v>4082</v>
      </c>
      <c r="C203" s="1" t="s">
        <v>4083</v>
      </c>
      <c r="D203" s="1" t="s">
        <v>749</v>
      </c>
      <c r="E203" s="1" t="s">
        <v>96</v>
      </c>
      <c r="F203" s="1" t="s">
        <v>41</v>
      </c>
      <c r="G203" s="1" t="s">
        <v>88</v>
      </c>
      <c r="H203" s="1" t="s">
        <v>97</v>
      </c>
      <c r="I203" s="1" t="s">
        <v>98</v>
      </c>
      <c r="J203" s="1" t="s">
        <v>46</v>
      </c>
      <c r="K203" s="1" t="s">
        <v>117</v>
      </c>
      <c r="L203" s="1" t="s">
        <v>750</v>
      </c>
      <c r="M203" s="1" t="s">
        <v>49</v>
      </c>
      <c r="N203" s="1" t="s">
        <v>2868</v>
      </c>
      <c r="O203" s="1" t="s">
        <v>4084</v>
      </c>
      <c r="P203" s="1" t="s">
        <v>751</v>
      </c>
      <c r="Q203" s="1" t="s">
        <v>4085</v>
      </c>
      <c r="R203" s="1" t="s">
        <v>4086</v>
      </c>
      <c r="S203" s="1" t="s">
        <v>4087</v>
      </c>
      <c r="T203" s="1" t="s">
        <v>129</v>
      </c>
      <c r="U203" s="1" t="s">
        <v>93</v>
      </c>
    </row>
    <row r="204" customFormat="false" ht="15" hidden="false" customHeight="true" outlineLevel="0" collapsed="false">
      <c r="A204" s="1" t="s">
        <v>752</v>
      </c>
      <c r="B204" s="1" t="s">
        <v>4088</v>
      </c>
      <c r="C204" s="1" t="s">
        <v>4089</v>
      </c>
      <c r="D204" s="1" t="s">
        <v>753</v>
      </c>
      <c r="E204" s="1" t="s">
        <v>159</v>
      </c>
      <c r="F204" s="1" t="s">
        <v>116</v>
      </c>
      <c r="G204" s="1" t="s">
        <v>88</v>
      </c>
      <c r="H204" s="1" t="s">
        <v>221</v>
      </c>
      <c r="I204" s="1" t="s">
        <v>222</v>
      </c>
      <c r="J204" s="1" t="s">
        <v>99</v>
      </c>
      <c r="K204" s="1" t="s">
        <v>100</v>
      </c>
      <c r="L204" s="1" t="s">
        <v>754</v>
      </c>
      <c r="M204" s="1" t="s">
        <v>83</v>
      </c>
      <c r="N204" s="1" t="s">
        <v>2861</v>
      </c>
      <c r="O204" s="1" t="s">
        <v>4090</v>
      </c>
      <c r="P204" s="1" t="s">
        <v>128</v>
      </c>
      <c r="Q204" s="1" t="s">
        <v>4091</v>
      </c>
      <c r="R204" s="1" t="s">
        <v>4092</v>
      </c>
      <c r="S204" s="1" t="s">
        <v>4093</v>
      </c>
      <c r="T204" s="1" t="s">
        <v>52</v>
      </c>
      <c r="U204" s="1" t="s">
        <v>53</v>
      </c>
    </row>
    <row r="205" customFormat="false" ht="15" hidden="false" customHeight="true" outlineLevel="0" collapsed="false">
      <c r="A205" s="1" t="s">
        <v>755</v>
      </c>
      <c r="B205" s="1" t="s">
        <v>4094</v>
      </c>
      <c r="C205" s="1" t="s">
        <v>4095</v>
      </c>
      <c r="D205" s="1" t="s">
        <v>756</v>
      </c>
      <c r="E205" s="1" t="s">
        <v>159</v>
      </c>
      <c r="F205" s="1" t="s">
        <v>116</v>
      </c>
      <c r="G205" s="1" t="s">
        <v>88</v>
      </c>
      <c r="H205" s="1" t="s">
        <v>44</v>
      </c>
      <c r="I205" s="1" t="s">
        <v>136</v>
      </c>
      <c r="J205" s="1" t="s">
        <v>99</v>
      </c>
      <c r="K205" s="1" t="s">
        <v>100</v>
      </c>
      <c r="L205" s="1" t="s">
        <v>757</v>
      </c>
      <c r="M205" s="1" t="s">
        <v>49</v>
      </c>
      <c r="N205" s="1" t="s">
        <v>2836</v>
      </c>
      <c r="O205" s="1" t="s">
        <v>4096</v>
      </c>
      <c r="P205" s="1" t="s">
        <v>107</v>
      </c>
      <c r="Q205" s="1" t="s">
        <v>4097</v>
      </c>
      <c r="R205" s="1" t="s">
        <v>4098</v>
      </c>
      <c r="S205" s="1" t="s">
        <v>4099</v>
      </c>
      <c r="T205" s="1" t="s">
        <v>52</v>
      </c>
      <c r="U205" s="1" t="s">
        <v>53</v>
      </c>
    </row>
    <row r="206" customFormat="false" ht="15" hidden="false" customHeight="true" outlineLevel="0" collapsed="false">
      <c r="A206" s="1" t="s">
        <v>758</v>
      </c>
      <c r="B206" s="1" t="s">
        <v>4100</v>
      </c>
      <c r="C206" s="1" t="s">
        <v>4101</v>
      </c>
      <c r="D206" s="1" t="s">
        <v>759</v>
      </c>
      <c r="E206" s="1" t="s">
        <v>57</v>
      </c>
      <c r="F206" s="1" t="s">
        <v>121</v>
      </c>
      <c r="G206" s="1" t="s">
        <v>59</v>
      </c>
      <c r="H206" s="1" t="s">
        <v>125</v>
      </c>
      <c r="I206" s="1" t="s">
        <v>126</v>
      </c>
      <c r="J206" s="1" t="s">
        <v>62</v>
      </c>
      <c r="K206" s="1" t="s">
        <v>63</v>
      </c>
      <c r="L206" s="1" t="s">
        <v>760</v>
      </c>
      <c r="M206" s="1" t="s">
        <v>49</v>
      </c>
      <c r="N206" s="1" t="s">
        <v>2937</v>
      </c>
      <c r="O206" s="1" t="s">
        <v>4102</v>
      </c>
      <c r="P206" s="1" t="s">
        <v>107</v>
      </c>
      <c r="Q206" s="1" t="s">
        <v>4103</v>
      </c>
      <c r="R206" s="1" t="s">
        <v>4104</v>
      </c>
      <c r="S206" s="1" t="s">
        <v>4105</v>
      </c>
      <c r="T206" s="1" t="s">
        <v>52</v>
      </c>
      <c r="U206" s="1" t="s">
        <v>53</v>
      </c>
    </row>
    <row r="207" customFormat="false" ht="15" hidden="false" customHeight="true" outlineLevel="0" collapsed="false">
      <c r="A207" s="1" t="s">
        <v>761</v>
      </c>
      <c r="B207" s="1" t="s">
        <v>4106</v>
      </c>
      <c r="C207" s="1" t="s">
        <v>4107</v>
      </c>
      <c r="D207" s="1" t="s">
        <v>762</v>
      </c>
      <c r="E207" s="1" t="s">
        <v>87</v>
      </c>
      <c r="F207" s="1" t="s">
        <v>41</v>
      </c>
      <c r="G207" s="1" t="s">
        <v>88</v>
      </c>
      <c r="H207" s="1" t="s">
        <v>89</v>
      </c>
      <c r="I207" s="1" t="s">
        <v>90</v>
      </c>
      <c r="J207" s="1" t="s">
        <v>3885</v>
      </c>
      <c r="K207" s="1" t="s">
        <v>117</v>
      </c>
      <c r="L207" s="1" t="s">
        <v>763</v>
      </c>
      <c r="M207" s="1" t="s">
        <v>65</v>
      </c>
      <c r="N207" s="1" t="s">
        <v>2815</v>
      </c>
      <c r="O207" s="1" t="s">
        <v>4108</v>
      </c>
      <c r="P207" s="1" t="s">
        <v>50</v>
      </c>
      <c r="Q207" s="1" t="s">
        <v>4109</v>
      </c>
      <c r="R207" s="1" t="s">
        <v>4110</v>
      </c>
      <c r="S207" s="1" t="s">
        <v>4111</v>
      </c>
      <c r="T207" s="1" t="s">
        <v>52</v>
      </c>
      <c r="U207" s="1" t="s">
        <v>53</v>
      </c>
    </row>
    <row r="208" customFormat="false" ht="15" hidden="false" customHeight="true" outlineLevel="0" collapsed="false">
      <c r="A208" s="1" t="s">
        <v>764</v>
      </c>
      <c r="B208" s="1" t="s">
        <v>4112</v>
      </c>
      <c r="C208" s="1" t="s">
        <v>2995</v>
      </c>
      <c r="D208" s="1" t="s">
        <v>765</v>
      </c>
      <c r="E208" s="1" t="s">
        <v>192</v>
      </c>
      <c r="F208" s="1" t="s">
        <v>58</v>
      </c>
      <c r="G208" s="1" t="s">
        <v>42</v>
      </c>
      <c r="H208" s="1" t="s">
        <v>163</v>
      </c>
      <c r="I208" s="1" t="s">
        <v>164</v>
      </c>
      <c r="J208" s="1" t="s">
        <v>62</v>
      </c>
      <c r="K208" s="1" t="s">
        <v>81</v>
      </c>
      <c r="L208" s="1" t="s">
        <v>766</v>
      </c>
      <c r="M208" s="1" t="s">
        <v>72</v>
      </c>
      <c r="N208" s="1" t="s">
        <v>2868</v>
      </c>
      <c r="O208" s="1" t="s">
        <v>4113</v>
      </c>
      <c r="P208" s="1" t="s">
        <v>66</v>
      </c>
      <c r="Q208" s="1" t="s">
        <v>4114</v>
      </c>
      <c r="R208" s="1" t="s">
        <v>4115</v>
      </c>
      <c r="S208" s="1" t="s">
        <v>4116</v>
      </c>
      <c r="T208" s="1" t="s">
        <v>52</v>
      </c>
      <c r="U208" s="1" t="s">
        <v>53</v>
      </c>
    </row>
    <row r="209" customFormat="false" ht="15" hidden="false" customHeight="true" outlineLevel="0" collapsed="false">
      <c r="A209" s="1" t="s">
        <v>767</v>
      </c>
      <c r="B209" s="1" t="s">
        <v>4117</v>
      </c>
      <c r="C209" s="1" t="s">
        <v>4118</v>
      </c>
      <c r="D209" s="1" t="s">
        <v>768</v>
      </c>
      <c r="E209" s="1" t="s">
        <v>155</v>
      </c>
      <c r="F209" s="1" t="s">
        <v>121</v>
      </c>
      <c r="G209" s="1" t="s">
        <v>88</v>
      </c>
      <c r="H209" s="1" t="s">
        <v>221</v>
      </c>
      <c r="I209" s="1" t="s">
        <v>222</v>
      </c>
      <c r="J209" s="1" t="s">
        <v>62</v>
      </c>
      <c r="K209" s="1" t="s">
        <v>188</v>
      </c>
      <c r="L209" s="1" t="s">
        <v>769</v>
      </c>
      <c r="M209" s="1" t="s">
        <v>49</v>
      </c>
      <c r="N209" s="1" t="s">
        <v>2868</v>
      </c>
      <c r="O209" s="1" t="s">
        <v>4119</v>
      </c>
      <c r="P209" s="1" t="s">
        <v>50</v>
      </c>
      <c r="Q209" s="1" t="s">
        <v>4120</v>
      </c>
      <c r="R209" s="1" t="s">
        <v>4121</v>
      </c>
      <c r="S209" s="1" t="s">
        <v>4122</v>
      </c>
      <c r="T209" s="1" t="s">
        <v>52</v>
      </c>
      <c r="U209" s="1" t="s">
        <v>53</v>
      </c>
    </row>
    <row r="210" customFormat="false" ht="15" hidden="false" customHeight="true" outlineLevel="0" collapsed="false">
      <c r="A210" s="1" t="s">
        <v>770</v>
      </c>
      <c r="B210" s="1" t="s">
        <v>4123</v>
      </c>
      <c r="C210" s="1" t="s">
        <v>4124</v>
      </c>
      <c r="D210" s="1" t="s">
        <v>771</v>
      </c>
      <c r="E210" s="1" t="s">
        <v>192</v>
      </c>
      <c r="F210" s="1" t="s">
        <v>41</v>
      </c>
      <c r="G210" s="1" t="s">
        <v>42</v>
      </c>
      <c r="H210" s="1" t="s">
        <v>149</v>
      </c>
      <c r="I210" s="1" t="s">
        <v>150</v>
      </c>
      <c r="J210" s="1" t="s">
        <v>62</v>
      </c>
      <c r="K210" s="1" t="s">
        <v>91</v>
      </c>
      <c r="L210" s="1" t="s">
        <v>772</v>
      </c>
      <c r="M210" s="1" t="s">
        <v>65</v>
      </c>
      <c r="N210" s="1" t="s">
        <v>2836</v>
      </c>
      <c r="O210" s="1" t="s">
        <v>4125</v>
      </c>
      <c r="P210" s="1" t="s">
        <v>66</v>
      </c>
      <c r="Q210" s="1" t="s">
        <v>4125</v>
      </c>
      <c r="R210" s="1" t="s">
        <v>4126</v>
      </c>
      <c r="S210" s="1" t="s">
        <v>4127</v>
      </c>
      <c r="T210" s="1" t="s">
        <v>52</v>
      </c>
      <c r="U210" s="1" t="s">
        <v>53</v>
      </c>
    </row>
    <row r="211" customFormat="false" ht="15" hidden="false" customHeight="true" outlineLevel="0" collapsed="false">
      <c r="A211" s="1" t="s">
        <v>773</v>
      </c>
      <c r="B211" s="1" t="s">
        <v>4128</v>
      </c>
      <c r="C211" s="1" t="s">
        <v>4129</v>
      </c>
      <c r="D211" s="1" t="s">
        <v>774</v>
      </c>
      <c r="E211" s="1" t="s">
        <v>168</v>
      </c>
      <c r="F211" s="1" t="s">
        <v>58</v>
      </c>
      <c r="G211" s="1" t="s">
        <v>78</v>
      </c>
      <c r="H211" s="1" t="s">
        <v>110</v>
      </c>
      <c r="I211" s="1" t="s">
        <v>111</v>
      </c>
      <c r="J211" s="1" t="s">
        <v>46</v>
      </c>
      <c r="K211" s="1" t="s">
        <v>47</v>
      </c>
      <c r="L211" s="1" t="s">
        <v>775</v>
      </c>
      <c r="M211" s="1" t="s">
        <v>72</v>
      </c>
      <c r="N211" s="1" t="s">
        <v>2899</v>
      </c>
      <c r="O211" s="1" t="s">
        <v>4130</v>
      </c>
      <c r="P211" s="1" t="s">
        <v>203</v>
      </c>
      <c r="Q211" s="1" t="s">
        <v>4131</v>
      </c>
      <c r="R211" s="1" t="s">
        <v>4132</v>
      </c>
      <c r="S211" s="1" t="s">
        <v>4133</v>
      </c>
      <c r="T211" s="1" t="s">
        <v>52</v>
      </c>
      <c r="U211" s="1" t="s">
        <v>53</v>
      </c>
    </row>
    <row r="212" customFormat="false" ht="15" hidden="false" customHeight="true" outlineLevel="0" collapsed="false">
      <c r="A212" s="1" t="s">
        <v>776</v>
      </c>
      <c r="B212" s="1" t="s">
        <v>4134</v>
      </c>
      <c r="C212" s="1" t="s">
        <v>4135</v>
      </c>
      <c r="D212" s="1" t="s">
        <v>777</v>
      </c>
      <c r="E212" s="1" t="s">
        <v>298</v>
      </c>
      <c r="F212" s="1" t="s">
        <v>121</v>
      </c>
      <c r="G212" s="1" t="s">
        <v>78</v>
      </c>
      <c r="H212" s="1" t="s">
        <v>206</v>
      </c>
      <c r="I212" s="1" t="s">
        <v>207</v>
      </c>
      <c r="J212" s="1" t="s">
        <v>99</v>
      </c>
      <c r="K212" s="1" t="s">
        <v>308</v>
      </c>
      <c r="L212" s="1" t="s">
        <v>778</v>
      </c>
      <c r="M212" s="1" t="s">
        <v>49</v>
      </c>
      <c r="N212" s="1" t="s">
        <v>2836</v>
      </c>
      <c r="O212" s="1" t="s">
        <v>4136</v>
      </c>
      <c r="P212" s="1" t="s">
        <v>66</v>
      </c>
      <c r="Q212" s="1" t="s">
        <v>4136</v>
      </c>
      <c r="R212" s="1" t="s">
        <v>4137</v>
      </c>
      <c r="S212" s="1" t="s">
        <v>4138</v>
      </c>
      <c r="T212" s="1" t="s">
        <v>185</v>
      </c>
      <c r="U212" s="1" t="s">
        <v>130</v>
      </c>
    </row>
    <row r="213" customFormat="false" ht="15" hidden="false" customHeight="true" outlineLevel="0" collapsed="false">
      <c r="A213" s="1" t="s">
        <v>779</v>
      </c>
      <c r="B213" s="1" t="s">
        <v>4139</v>
      </c>
      <c r="C213" s="1" t="s">
        <v>4140</v>
      </c>
      <c r="D213" s="1" t="s">
        <v>780</v>
      </c>
      <c r="E213" s="1" t="s">
        <v>168</v>
      </c>
      <c r="F213" s="1" t="s">
        <v>116</v>
      </c>
      <c r="G213" s="1" t="s">
        <v>4141</v>
      </c>
      <c r="H213" s="1" t="s">
        <v>125</v>
      </c>
      <c r="I213" s="1" t="s">
        <v>126</v>
      </c>
      <c r="J213" s="1" t="s">
        <v>99</v>
      </c>
      <c r="K213" s="1" t="s">
        <v>105</v>
      </c>
      <c r="L213" s="1" t="s">
        <v>781</v>
      </c>
      <c r="M213" s="1" t="s">
        <v>49</v>
      </c>
      <c r="N213" s="1" t="s">
        <v>2861</v>
      </c>
      <c r="O213" s="1" t="s">
        <v>4142</v>
      </c>
      <c r="P213" s="1" t="s">
        <v>50</v>
      </c>
      <c r="Q213" s="1" t="s">
        <v>4143</v>
      </c>
      <c r="R213" s="1" t="s">
        <v>4144</v>
      </c>
      <c r="S213" s="1" t="s">
        <v>4145</v>
      </c>
      <c r="T213" s="1" t="s">
        <v>52</v>
      </c>
      <c r="U213" s="1" t="s">
        <v>53</v>
      </c>
    </row>
    <row r="214" customFormat="false" ht="15" hidden="false" customHeight="true" outlineLevel="0" collapsed="false">
      <c r="A214" s="1" t="s">
        <v>782</v>
      </c>
      <c r="B214" s="1" t="s">
        <v>4146</v>
      </c>
      <c r="C214" s="1" t="s">
        <v>4147</v>
      </c>
      <c r="D214" s="1" t="s">
        <v>783</v>
      </c>
      <c r="E214" s="1" t="s">
        <v>87</v>
      </c>
      <c r="F214" s="1" t="s">
        <v>58</v>
      </c>
      <c r="G214" s="1" t="s">
        <v>59</v>
      </c>
      <c r="H214" s="1" t="s">
        <v>60</v>
      </c>
      <c r="I214" s="1" t="s">
        <v>61</v>
      </c>
      <c r="J214" s="1" t="s">
        <v>99</v>
      </c>
      <c r="K214" s="1" t="s">
        <v>201</v>
      </c>
      <c r="L214" s="1" t="s">
        <v>784</v>
      </c>
      <c r="M214" s="1" t="s">
        <v>65</v>
      </c>
      <c r="N214" s="1" t="s">
        <v>2868</v>
      </c>
      <c r="O214" s="1" t="s">
        <v>4148</v>
      </c>
      <c r="P214" s="1" t="s">
        <v>107</v>
      </c>
      <c r="Q214" s="1" t="s">
        <v>4149</v>
      </c>
      <c r="R214" s="1" t="s">
        <v>4150</v>
      </c>
      <c r="S214" s="1" t="s">
        <v>4151</v>
      </c>
      <c r="T214" s="1" t="s">
        <v>52</v>
      </c>
      <c r="U214" s="1" t="s">
        <v>53</v>
      </c>
    </row>
    <row r="215" customFormat="false" ht="15" hidden="false" customHeight="true" outlineLevel="0" collapsed="false">
      <c r="A215" s="1" t="s">
        <v>785</v>
      </c>
      <c r="B215" s="1" t="s">
        <v>4152</v>
      </c>
      <c r="C215" s="1" t="s">
        <v>4153</v>
      </c>
      <c r="D215" s="1" t="s">
        <v>786</v>
      </c>
      <c r="E215" s="1" t="s">
        <v>69</v>
      </c>
      <c r="F215" s="1" t="s">
        <v>58</v>
      </c>
      <c r="G215" s="1" t="s">
        <v>59</v>
      </c>
      <c r="H215" s="1" t="s">
        <v>174</v>
      </c>
      <c r="I215" s="1" t="s">
        <v>175</v>
      </c>
      <c r="J215" s="1" t="s">
        <v>99</v>
      </c>
      <c r="K215" s="1" t="s">
        <v>100</v>
      </c>
      <c r="L215" s="1" t="s">
        <v>787</v>
      </c>
      <c r="M215" s="1" t="s">
        <v>49</v>
      </c>
      <c r="N215" s="1" t="s">
        <v>2937</v>
      </c>
      <c r="O215" s="1" t="s">
        <v>4154</v>
      </c>
      <c r="P215" s="1" t="s">
        <v>50</v>
      </c>
      <c r="Q215" s="1" t="s">
        <v>4155</v>
      </c>
      <c r="R215" s="1" t="s">
        <v>4156</v>
      </c>
      <c r="S215" s="1" t="s">
        <v>4157</v>
      </c>
      <c r="T215" s="1" t="s">
        <v>52</v>
      </c>
      <c r="U215" s="1" t="s">
        <v>53</v>
      </c>
    </row>
    <row r="216" customFormat="false" ht="15" hidden="false" customHeight="true" outlineLevel="0" collapsed="false">
      <c r="A216" s="1" t="s">
        <v>788</v>
      </c>
      <c r="B216" s="1" t="s">
        <v>4158</v>
      </c>
      <c r="C216" s="1" t="s">
        <v>4159</v>
      </c>
      <c r="D216" s="1" t="s">
        <v>789</v>
      </c>
      <c r="E216" s="1" t="s">
        <v>145</v>
      </c>
      <c r="F216" s="1" t="s">
        <v>41</v>
      </c>
      <c r="G216" s="1" t="s">
        <v>42</v>
      </c>
      <c r="H216" s="1" t="s">
        <v>270</v>
      </c>
      <c r="I216" s="1" t="s">
        <v>271</v>
      </c>
      <c r="J216" s="1" t="s">
        <v>99</v>
      </c>
      <c r="K216" s="1" t="s">
        <v>100</v>
      </c>
      <c r="L216" s="1" t="s">
        <v>790</v>
      </c>
      <c r="M216" s="1" t="s">
        <v>72</v>
      </c>
      <c r="N216" s="1" t="s">
        <v>2822</v>
      </c>
      <c r="O216" s="1" t="s">
        <v>4160</v>
      </c>
      <c r="P216" s="1" t="s">
        <v>128</v>
      </c>
      <c r="Q216" s="1" t="s">
        <v>4161</v>
      </c>
      <c r="R216" s="1" t="s">
        <v>4162</v>
      </c>
      <c r="S216" s="1" t="s">
        <v>4163</v>
      </c>
      <c r="T216" s="1" t="s">
        <v>52</v>
      </c>
      <c r="U216" s="1" t="s">
        <v>53</v>
      </c>
    </row>
    <row r="217" customFormat="false" ht="15" hidden="false" customHeight="true" outlineLevel="0" collapsed="false">
      <c r="A217" s="1" t="s">
        <v>791</v>
      </c>
      <c r="B217" s="1" t="s">
        <v>4164</v>
      </c>
      <c r="C217" s="1" t="s">
        <v>3076</v>
      </c>
      <c r="D217" s="1" t="s">
        <v>792</v>
      </c>
      <c r="E217" s="1" t="s">
        <v>57</v>
      </c>
      <c r="F217" s="1" t="s">
        <v>41</v>
      </c>
      <c r="G217" s="1" t="s">
        <v>88</v>
      </c>
      <c r="H217" s="1" t="s">
        <v>97</v>
      </c>
      <c r="I217" s="1" t="s">
        <v>98</v>
      </c>
      <c r="J217" s="1" t="s">
        <v>46</v>
      </c>
      <c r="K217" s="1" t="s">
        <v>47</v>
      </c>
      <c r="L217" s="1" t="s">
        <v>793</v>
      </c>
      <c r="M217" s="1" t="s">
        <v>72</v>
      </c>
      <c r="N217" s="1" t="s">
        <v>2861</v>
      </c>
      <c r="O217" s="1" t="s">
        <v>4165</v>
      </c>
      <c r="P217" s="1" t="s">
        <v>84</v>
      </c>
      <c r="Q217" s="1" t="s">
        <v>4166</v>
      </c>
      <c r="R217" s="1" t="s">
        <v>4167</v>
      </c>
      <c r="S217" s="1" t="s">
        <v>4168</v>
      </c>
      <c r="T217" s="1" t="s">
        <v>52</v>
      </c>
      <c r="U217" s="1" t="s">
        <v>53</v>
      </c>
    </row>
    <row r="218" customFormat="false" ht="15" hidden="false" customHeight="true" outlineLevel="0" collapsed="false">
      <c r="A218" s="1" t="s">
        <v>794</v>
      </c>
      <c r="B218" s="1" t="s">
        <v>2935</v>
      </c>
      <c r="C218" s="1" t="s">
        <v>4169</v>
      </c>
      <c r="D218" s="1" t="s">
        <v>795</v>
      </c>
      <c r="E218" s="1" t="s">
        <v>69</v>
      </c>
      <c r="F218" s="1" t="s">
        <v>41</v>
      </c>
      <c r="G218" s="1" t="s">
        <v>88</v>
      </c>
      <c r="H218" s="1" t="s">
        <v>211</v>
      </c>
      <c r="I218" s="1" t="s">
        <v>212</v>
      </c>
      <c r="J218" s="1" t="s">
        <v>62</v>
      </c>
      <c r="K218" s="1" t="s">
        <v>63</v>
      </c>
      <c r="L218" s="1" t="s">
        <v>796</v>
      </c>
      <c r="M218" s="1" t="s">
        <v>83</v>
      </c>
      <c r="N218" s="1" t="s">
        <v>2861</v>
      </c>
      <c r="O218" s="1" t="s">
        <v>4170</v>
      </c>
      <c r="P218" s="1" t="s">
        <v>84</v>
      </c>
      <c r="Q218" s="1" t="s">
        <v>4171</v>
      </c>
      <c r="R218" s="1" t="s">
        <v>4172</v>
      </c>
      <c r="S218" s="1" t="s">
        <v>4173</v>
      </c>
      <c r="T218" s="1" t="s">
        <v>185</v>
      </c>
      <c r="U218" s="1" t="s">
        <v>130</v>
      </c>
    </row>
    <row r="219" customFormat="false" ht="15" hidden="false" customHeight="true" outlineLevel="0" collapsed="false">
      <c r="A219" s="1" t="s">
        <v>797</v>
      </c>
      <c r="B219" s="1" t="s">
        <v>4174</v>
      </c>
      <c r="C219" s="1" t="s">
        <v>4175</v>
      </c>
      <c r="D219" s="1" t="s">
        <v>798</v>
      </c>
      <c r="E219" s="1" t="s">
        <v>115</v>
      </c>
      <c r="F219" s="1" t="s">
        <v>41</v>
      </c>
      <c r="G219" s="1" t="s">
        <v>59</v>
      </c>
      <c r="H219" s="1" t="s">
        <v>60</v>
      </c>
      <c r="I219" s="1" t="s">
        <v>61</v>
      </c>
      <c r="J219" s="1" t="s">
        <v>62</v>
      </c>
      <c r="K219" s="1" t="s">
        <v>188</v>
      </c>
      <c r="L219" s="1" t="s">
        <v>799</v>
      </c>
      <c r="M219" s="1" t="s">
        <v>49</v>
      </c>
      <c r="N219" s="1" t="s">
        <v>2829</v>
      </c>
      <c r="O219" s="1" t="s">
        <v>4176</v>
      </c>
      <c r="P219" s="1" t="s">
        <v>203</v>
      </c>
      <c r="Q219" s="1" t="s">
        <v>4177</v>
      </c>
      <c r="R219" s="1" t="s">
        <v>4178</v>
      </c>
      <c r="S219" s="1" t="s">
        <v>4179</v>
      </c>
      <c r="T219" s="1" t="s">
        <v>129</v>
      </c>
      <c r="U219" s="1" t="s">
        <v>93</v>
      </c>
    </row>
    <row r="220" customFormat="false" ht="15" hidden="false" customHeight="true" outlineLevel="0" collapsed="false">
      <c r="A220" s="1" t="s">
        <v>800</v>
      </c>
      <c r="B220" s="1" t="s">
        <v>4180</v>
      </c>
      <c r="C220" s="1" t="s">
        <v>4181</v>
      </c>
      <c r="D220" s="1" t="s">
        <v>801</v>
      </c>
      <c r="E220" s="1" t="s">
        <v>141</v>
      </c>
      <c r="F220" s="1" t="s">
        <v>116</v>
      </c>
      <c r="G220" s="1" t="s">
        <v>88</v>
      </c>
      <c r="H220" s="1" t="s">
        <v>211</v>
      </c>
      <c r="I220" s="1" t="s">
        <v>212</v>
      </c>
      <c r="J220" s="1" t="s">
        <v>62</v>
      </c>
      <c r="K220" s="1" t="s">
        <v>188</v>
      </c>
      <c r="L220" s="1" t="s">
        <v>802</v>
      </c>
      <c r="M220" s="1" t="s">
        <v>83</v>
      </c>
      <c r="N220" s="1" t="s">
        <v>2829</v>
      </c>
      <c r="O220" s="1" t="s">
        <v>4182</v>
      </c>
      <c r="P220" s="1" t="s">
        <v>66</v>
      </c>
      <c r="Q220" s="1" t="s">
        <v>4183</v>
      </c>
      <c r="R220" s="1" t="s">
        <v>4184</v>
      </c>
      <c r="S220" s="1" t="s">
        <v>4185</v>
      </c>
      <c r="T220" s="1" t="s">
        <v>52</v>
      </c>
      <c r="U220" s="1" t="s">
        <v>53</v>
      </c>
    </row>
    <row r="221" customFormat="false" ht="15" hidden="false" customHeight="true" outlineLevel="0" collapsed="false">
      <c r="A221" s="1" t="s">
        <v>803</v>
      </c>
      <c r="B221" s="1" t="s">
        <v>3623</v>
      </c>
      <c r="C221" s="1" t="s">
        <v>4186</v>
      </c>
      <c r="D221" s="1" t="s">
        <v>804</v>
      </c>
      <c r="E221" s="1" t="s">
        <v>145</v>
      </c>
      <c r="F221" s="1" t="s">
        <v>41</v>
      </c>
      <c r="G221" s="1" t="s">
        <v>59</v>
      </c>
      <c r="H221" s="1" t="s">
        <v>174</v>
      </c>
      <c r="I221" s="1" t="s">
        <v>175</v>
      </c>
      <c r="J221" s="1" t="s">
        <v>99</v>
      </c>
      <c r="K221" s="1" t="s">
        <v>308</v>
      </c>
      <c r="L221" s="1" t="s">
        <v>805</v>
      </c>
      <c r="M221" s="1" t="s">
        <v>72</v>
      </c>
      <c r="N221" s="1" t="s">
        <v>2868</v>
      </c>
      <c r="O221" s="1" t="s">
        <v>4187</v>
      </c>
      <c r="P221" s="1" t="s">
        <v>806</v>
      </c>
      <c r="Q221" s="1" t="s">
        <v>4188</v>
      </c>
      <c r="R221" s="1" t="s">
        <v>4189</v>
      </c>
      <c r="S221" s="1" t="s">
        <v>4190</v>
      </c>
      <c r="T221" s="1" t="s">
        <v>52</v>
      </c>
      <c r="U221" s="1" t="s">
        <v>53</v>
      </c>
    </row>
    <row r="222" customFormat="false" ht="15" hidden="false" customHeight="true" outlineLevel="0" collapsed="false">
      <c r="A222" s="1" t="s">
        <v>807</v>
      </c>
      <c r="B222" s="1" t="s">
        <v>4191</v>
      </c>
      <c r="C222" s="1" t="s">
        <v>4191</v>
      </c>
      <c r="D222" s="1" t="s">
        <v>808</v>
      </c>
      <c r="E222" s="1" t="s">
        <v>159</v>
      </c>
      <c r="F222" s="1" t="s">
        <v>41</v>
      </c>
      <c r="G222" s="1" t="s">
        <v>78</v>
      </c>
      <c r="H222" s="1" t="s">
        <v>216</v>
      </c>
      <c r="I222" s="1" t="s">
        <v>217</v>
      </c>
      <c r="J222" s="1" t="s">
        <v>46</v>
      </c>
      <c r="K222" s="1" t="s">
        <v>151</v>
      </c>
      <c r="L222" s="1" t="s">
        <v>809</v>
      </c>
      <c r="M222" s="1" t="s">
        <v>72</v>
      </c>
      <c r="N222" s="1" t="s">
        <v>2937</v>
      </c>
      <c r="O222" s="1" t="s">
        <v>4192</v>
      </c>
      <c r="P222" s="1" t="s">
        <v>107</v>
      </c>
      <c r="Q222" s="1" t="s">
        <v>4193</v>
      </c>
      <c r="R222" s="1" t="s">
        <v>4194</v>
      </c>
      <c r="S222" s="1" t="s">
        <v>4195</v>
      </c>
      <c r="T222" s="1" t="s">
        <v>129</v>
      </c>
      <c r="U222" s="1" t="s">
        <v>93</v>
      </c>
    </row>
    <row r="223" customFormat="false" ht="15" hidden="false" customHeight="true" outlineLevel="0" collapsed="false">
      <c r="A223" s="1" t="s">
        <v>810</v>
      </c>
      <c r="B223" s="1" t="s">
        <v>4196</v>
      </c>
      <c r="C223" s="1" t="s">
        <v>4197</v>
      </c>
      <c r="D223" s="1" t="s">
        <v>811</v>
      </c>
      <c r="E223" s="1" t="s">
        <v>57</v>
      </c>
      <c r="F223" s="1" t="s">
        <v>116</v>
      </c>
      <c r="G223" s="1" t="s">
        <v>78</v>
      </c>
      <c r="H223" s="1" t="s">
        <v>206</v>
      </c>
      <c r="I223" s="1" t="s">
        <v>207</v>
      </c>
      <c r="J223" s="1" t="s">
        <v>62</v>
      </c>
      <c r="K223" s="1" t="s">
        <v>91</v>
      </c>
      <c r="L223" s="1" t="s">
        <v>812</v>
      </c>
      <c r="M223" s="1" t="s">
        <v>65</v>
      </c>
      <c r="N223" s="1" t="s">
        <v>2937</v>
      </c>
      <c r="O223" s="1" t="s">
        <v>4198</v>
      </c>
      <c r="P223" s="1" t="s">
        <v>50</v>
      </c>
      <c r="Q223" s="1" t="s">
        <v>4199</v>
      </c>
      <c r="R223" s="1" t="s">
        <v>4200</v>
      </c>
      <c r="S223" s="1" t="s">
        <v>4201</v>
      </c>
      <c r="T223" s="1" t="s">
        <v>52</v>
      </c>
      <c r="U223" s="1" t="s">
        <v>53</v>
      </c>
    </row>
    <row r="224" customFormat="false" ht="15" hidden="false" customHeight="true" outlineLevel="0" collapsed="false">
      <c r="A224" s="1" t="s">
        <v>813</v>
      </c>
      <c r="B224" s="1" t="s">
        <v>4202</v>
      </c>
      <c r="C224" s="1" t="s">
        <v>4003</v>
      </c>
      <c r="D224" s="1" t="s">
        <v>814</v>
      </c>
      <c r="E224" s="1" t="s">
        <v>96</v>
      </c>
      <c r="F224" s="1" t="s">
        <v>58</v>
      </c>
      <c r="G224" s="1" t="s">
        <v>88</v>
      </c>
      <c r="H224" s="1" t="s">
        <v>221</v>
      </c>
      <c r="I224" s="1" t="s">
        <v>222</v>
      </c>
      <c r="J224" s="1" t="s">
        <v>46</v>
      </c>
      <c r="K224" s="1" t="s">
        <v>151</v>
      </c>
      <c r="L224" s="1" t="s">
        <v>815</v>
      </c>
      <c r="M224" s="1" t="s">
        <v>72</v>
      </c>
      <c r="N224" s="1" t="s">
        <v>2815</v>
      </c>
      <c r="O224" s="1" t="s">
        <v>4203</v>
      </c>
      <c r="P224" s="1" t="s">
        <v>66</v>
      </c>
      <c r="Q224" s="1" t="s">
        <v>4204</v>
      </c>
      <c r="R224" s="1" t="s">
        <v>4205</v>
      </c>
      <c r="S224" s="1" t="s">
        <v>4206</v>
      </c>
      <c r="T224" s="1" t="s">
        <v>52</v>
      </c>
      <c r="U224" s="1" t="s">
        <v>53</v>
      </c>
    </row>
    <row r="225" customFormat="false" ht="15" hidden="false" customHeight="true" outlineLevel="0" collapsed="false">
      <c r="A225" s="1" t="s">
        <v>816</v>
      </c>
      <c r="B225" s="1" t="s">
        <v>4207</v>
      </c>
      <c r="C225" s="1" t="s">
        <v>4208</v>
      </c>
      <c r="D225" s="1" t="s">
        <v>817</v>
      </c>
      <c r="E225" s="1" t="s">
        <v>57</v>
      </c>
      <c r="F225" s="1" t="s">
        <v>116</v>
      </c>
      <c r="G225" s="1" t="s">
        <v>88</v>
      </c>
      <c r="H225" s="1" t="s">
        <v>89</v>
      </c>
      <c r="I225" s="1" t="s">
        <v>90</v>
      </c>
      <c r="J225" s="1" t="s">
        <v>62</v>
      </c>
      <c r="K225" s="1" t="s">
        <v>81</v>
      </c>
      <c r="L225" s="1" t="s">
        <v>818</v>
      </c>
      <c r="M225" s="1" t="s">
        <v>72</v>
      </c>
      <c r="N225" s="1" t="s">
        <v>2822</v>
      </c>
      <c r="O225" s="1" t="s">
        <v>4209</v>
      </c>
      <c r="P225" s="1" t="s">
        <v>50</v>
      </c>
      <c r="Q225" s="1" t="s">
        <v>4210</v>
      </c>
      <c r="R225" s="1" t="s">
        <v>4211</v>
      </c>
      <c r="S225" s="1" t="s">
        <v>4212</v>
      </c>
      <c r="T225" s="1" t="s">
        <v>138</v>
      </c>
      <c r="U225" s="1" t="s">
        <v>130</v>
      </c>
    </row>
    <row r="226" customFormat="false" ht="15" hidden="false" customHeight="true" outlineLevel="0" collapsed="false">
      <c r="A226" s="1" t="s">
        <v>819</v>
      </c>
      <c r="B226" s="1" t="s">
        <v>4213</v>
      </c>
      <c r="C226" s="1" t="s">
        <v>4214</v>
      </c>
      <c r="D226" s="1" t="s">
        <v>820</v>
      </c>
      <c r="E226" s="1" t="s">
        <v>69</v>
      </c>
      <c r="F226" s="1" t="s">
        <v>58</v>
      </c>
      <c r="G226" s="1" t="s">
        <v>42</v>
      </c>
      <c r="H226" s="1" t="s">
        <v>149</v>
      </c>
      <c r="I226" s="1" t="s">
        <v>150</v>
      </c>
      <c r="J226" s="1" t="s">
        <v>62</v>
      </c>
      <c r="K226" s="1" t="s">
        <v>81</v>
      </c>
      <c r="L226" s="1" t="s">
        <v>821</v>
      </c>
      <c r="M226" s="1" t="s">
        <v>83</v>
      </c>
      <c r="N226" s="1" t="s">
        <v>2937</v>
      </c>
      <c r="O226" s="1" t="s">
        <v>4215</v>
      </c>
      <c r="P226" s="1" t="s">
        <v>84</v>
      </c>
      <c r="Q226" s="1" t="s">
        <v>4216</v>
      </c>
      <c r="R226" s="1" t="s">
        <v>4217</v>
      </c>
      <c r="S226" s="1" t="s">
        <v>4218</v>
      </c>
      <c r="T226" s="1" t="s">
        <v>52</v>
      </c>
      <c r="U226" s="1" t="s">
        <v>93</v>
      </c>
    </row>
    <row r="227" customFormat="false" ht="15" hidden="false" customHeight="true" outlineLevel="0" collapsed="false">
      <c r="A227" s="1" t="s">
        <v>822</v>
      </c>
      <c r="B227" s="1" t="s">
        <v>4219</v>
      </c>
      <c r="C227" s="1" t="s">
        <v>4220</v>
      </c>
      <c r="D227" s="1" t="s">
        <v>823</v>
      </c>
      <c r="E227" s="1" t="s">
        <v>57</v>
      </c>
      <c r="F227" s="1" t="s">
        <v>116</v>
      </c>
      <c r="G227" s="1" t="s">
        <v>88</v>
      </c>
      <c r="H227" s="1" t="s">
        <v>221</v>
      </c>
      <c r="I227" s="1" t="s">
        <v>222</v>
      </c>
      <c r="J227" s="1" t="s">
        <v>99</v>
      </c>
      <c r="K227" s="1" t="s">
        <v>201</v>
      </c>
      <c r="L227" s="1" t="s">
        <v>824</v>
      </c>
      <c r="M227" s="1" t="s">
        <v>83</v>
      </c>
      <c r="N227" s="1" t="s">
        <v>2815</v>
      </c>
      <c r="O227" s="1" t="s">
        <v>4221</v>
      </c>
      <c r="P227" s="1" t="s">
        <v>107</v>
      </c>
      <c r="Q227" s="1" t="s">
        <v>4222</v>
      </c>
      <c r="R227" s="1" t="s">
        <v>4223</v>
      </c>
      <c r="S227" s="1" t="s">
        <v>4224</v>
      </c>
      <c r="T227" s="1" t="s">
        <v>52</v>
      </c>
      <c r="U227" s="1" t="s">
        <v>53</v>
      </c>
    </row>
    <row r="228" customFormat="false" ht="15" hidden="false" customHeight="true" outlineLevel="0" collapsed="false">
      <c r="A228" s="1" t="s">
        <v>825</v>
      </c>
      <c r="B228" s="1" t="s">
        <v>4225</v>
      </c>
      <c r="C228" s="1" t="s">
        <v>4169</v>
      </c>
      <c r="D228" s="1" t="s">
        <v>826</v>
      </c>
      <c r="E228" s="1" t="s">
        <v>192</v>
      </c>
      <c r="F228" s="1" t="s">
        <v>121</v>
      </c>
      <c r="H228" s="1" t="s">
        <v>216</v>
      </c>
      <c r="I228" s="1" t="s">
        <v>217</v>
      </c>
      <c r="J228" s="1" t="s">
        <v>99</v>
      </c>
      <c r="K228" s="1" t="s">
        <v>105</v>
      </c>
      <c r="L228" s="1" t="s">
        <v>827</v>
      </c>
      <c r="M228" s="1" t="s">
        <v>65</v>
      </c>
      <c r="N228" s="1" t="s">
        <v>2836</v>
      </c>
      <c r="O228" s="1" t="s">
        <v>4226</v>
      </c>
      <c r="P228" s="1" t="s">
        <v>203</v>
      </c>
      <c r="Q228" s="1" t="s">
        <v>4227</v>
      </c>
      <c r="R228" s="1" t="s">
        <v>4228</v>
      </c>
      <c r="S228" s="1" t="s">
        <v>4229</v>
      </c>
      <c r="T228" s="1" t="s">
        <v>52</v>
      </c>
      <c r="U228" s="1" t="s">
        <v>53</v>
      </c>
    </row>
    <row r="229" customFormat="false" ht="15" hidden="false" customHeight="true" outlineLevel="0" collapsed="false">
      <c r="A229" s="1" t="s">
        <v>828</v>
      </c>
      <c r="B229" s="1" t="s">
        <v>4230</v>
      </c>
      <c r="C229" s="1" t="s">
        <v>4231</v>
      </c>
      <c r="D229" s="1" t="s">
        <v>829</v>
      </c>
      <c r="E229" s="1" t="s">
        <v>87</v>
      </c>
      <c r="F229" s="1" t="s">
        <v>4232</v>
      </c>
      <c r="G229" s="1" t="s">
        <v>88</v>
      </c>
      <c r="H229" s="1" t="s">
        <v>221</v>
      </c>
      <c r="I229" s="1" t="s">
        <v>222</v>
      </c>
      <c r="J229" s="1" t="s">
        <v>46</v>
      </c>
      <c r="K229" s="1" t="s">
        <v>183</v>
      </c>
      <c r="L229" s="1" t="s">
        <v>830</v>
      </c>
      <c r="M229" s="1" t="s">
        <v>72</v>
      </c>
      <c r="N229" s="1" t="s">
        <v>2822</v>
      </c>
      <c r="O229" s="1" t="s">
        <v>4233</v>
      </c>
      <c r="P229" s="1" t="s">
        <v>107</v>
      </c>
      <c r="Q229" s="1" t="s">
        <v>4234</v>
      </c>
      <c r="R229" s="1" t="s">
        <v>4235</v>
      </c>
      <c r="S229" s="1" t="s">
        <v>4236</v>
      </c>
      <c r="T229" s="1" t="s">
        <v>52</v>
      </c>
      <c r="U229" s="1" t="s">
        <v>53</v>
      </c>
    </row>
    <row r="230" customFormat="false" ht="15" hidden="false" customHeight="true" outlineLevel="0" collapsed="false">
      <c r="A230" s="1" t="s">
        <v>831</v>
      </c>
      <c r="B230" s="1" t="s">
        <v>4237</v>
      </c>
      <c r="C230" s="1" t="s">
        <v>4238</v>
      </c>
      <c r="D230" s="1" t="s">
        <v>832</v>
      </c>
      <c r="E230" s="1" t="s">
        <v>40</v>
      </c>
      <c r="F230" s="1" t="s">
        <v>58</v>
      </c>
      <c r="G230" s="1" t="s">
        <v>78</v>
      </c>
      <c r="H230" s="1" t="s">
        <v>79</v>
      </c>
      <c r="I230" s="1" t="s">
        <v>80</v>
      </c>
      <c r="J230" s="1" t="s">
        <v>46</v>
      </c>
      <c r="K230" s="1" t="s">
        <v>117</v>
      </c>
      <c r="L230" s="1" t="s">
        <v>833</v>
      </c>
      <c r="M230" s="1" t="s">
        <v>49</v>
      </c>
      <c r="N230" s="1" t="s">
        <v>2836</v>
      </c>
      <c r="O230" s="1" t="s">
        <v>4239</v>
      </c>
      <c r="P230" s="1" t="s">
        <v>107</v>
      </c>
      <c r="Q230" s="1" t="s">
        <v>4240</v>
      </c>
      <c r="R230" s="1" t="s">
        <v>4241</v>
      </c>
      <c r="S230" s="1" t="s">
        <v>4242</v>
      </c>
      <c r="T230" s="1" t="s">
        <v>52</v>
      </c>
      <c r="U230" s="1" t="s">
        <v>53</v>
      </c>
    </row>
    <row r="231" customFormat="false" ht="15" hidden="false" customHeight="true" outlineLevel="0" collapsed="false">
      <c r="A231" s="1" t="s">
        <v>834</v>
      </c>
      <c r="B231" s="1" t="s">
        <v>4243</v>
      </c>
      <c r="C231" s="1" t="s">
        <v>4244</v>
      </c>
      <c r="D231" s="1" t="s">
        <v>835</v>
      </c>
      <c r="E231" s="1" t="s">
        <v>168</v>
      </c>
      <c r="F231" s="1" t="s">
        <v>41</v>
      </c>
      <c r="G231" s="1" t="s">
        <v>78</v>
      </c>
      <c r="H231" s="1" t="s">
        <v>79</v>
      </c>
      <c r="I231" s="1" t="s">
        <v>80</v>
      </c>
      <c r="J231" s="1" t="s">
        <v>62</v>
      </c>
      <c r="K231" s="1" t="s">
        <v>188</v>
      </c>
      <c r="L231" s="1" t="s">
        <v>836</v>
      </c>
      <c r="M231" s="1" t="s">
        <v>72</v>
      </c>
      <c r="N231" s="1" t="s">
        <v>2822</v>
      </c>
      <c r="O231" s="1" t="s">
        <v>4245</v>
      </c>
      <c r="P231" s="1" t="s">
        <v>66</v>
      </c>
      <c r="Q231" s="1" t="s">
        <v>4246</v>
      </c>
      <c r="R231" s="1" t="s">
        <v>4247</v>
      </c>
      <c r="S231" s="1" t="s">
        <v>4248</v>
      </c>
      <c r="T231" s="1" t="s">
        <v>129</v>
      </c>
      <c r="U231" s="1" t="s">
        <v>130</v>
      </c>
    </row>
    <row r="232" customFormat="false" ht="15" hidden="false" customHeight="true" outlineLevel="0" collapsed="false">
      <c r="A232" s="1" t="s">
        <v>837</v>
      </c>
      <c r="B232" s="1" t="s">
        <v>2973</v>
      </c>
      <c r="C232" s="1" t="s">
        <v>4249</v>
      </c>
      <c r="D232" s="1" t="s">
        <v>838</v>
      </c>
      <c r="E232" s="1" t="s">
        <v>104</v>
      </c>
      <c r="F232" s="1" t="s">
        <v>58</v>
      </c>
      <c r="G232" s="1" t="s">
        <v>42</v>
      </c>
      <c r="H232" s="1" t="s">
        <v>44</v>
      </c>
      <c r="I232" s="1" t="s">
        <v>45</v>
      </c>
      <c r="J232" s="1" t="s">
        <v>46</v>
      </c>
      <c r="K232" s="1" t="s">
        <v>47</v>
      </c>
      <c r="L232" s="1" t="s">
        <v>839</v>
      </c>
      <c r="M232" s="1" t="s">
        <v>83</v>
      </c>
      <c r="N232" s="1" t="s">
        <v>2861</v>
      </c>
      <c r="O232" s="1" t="s">
        <v>4250</v>
      </c>
      <c r="P232" s="1" t="s">
        <v>203</v>
      </c>
      <c r="Q232" s="1" t="s">
        <v>4251</v>
      </c>
      <c r="R232" s="1" t="s">
        <v>4252</v>
      </c>
      <c r="S232" s="1" t="s">
        <v>4253</v>
      </c>
      <c r="T232" s="1" t="s">
        <v>52</v>
      </c>
      <c r="U232" s="1" t="s">
        <v>53</v>
      </c>
    </row>
    <row r="233" customFormat="false" ht="15" hidden="false" customHeight="true" outlineLevel="0" collapsed="false">
      <c r="A233" s="1" t="s">
        <v>840</v>
      </c>
      <c r="B233" s="1" t="s">
        <v>4254</v>
      </c>
      <c r="C233" s="1" t="s">
        <v>4255</v>
      </c>
      <c r="D233" s="1" t="s">
        <v>841</v>
      </c>
      <c r="E233" s="1" t="s">
        <v>87</v>
      </c>
      <c r="F233" s="1" t="s">
        <v>116</v>
      </c>
      <c r="G233" s="1" t="s">
        <v>42</v>
      </c>
      <c r="H233" s="1" t="s">
        <v>44</v>
      </c>
      <c r="I233" s="1" t="s">
        <v>45</v>
      </c>
      <c r="J233" s="1" t="s">
        <v>4256</v>
      </c>
      <c r="K233" s="1" t="s">
        <v>117</v>
      </c>
      <c r="L233" s="1" t="s">
        <v>842</v>
      </c>
      <c r="M233" s="1" t="s">
        <v>72</v>
      </c>
      <c r="N233" s="1" t="s">
        <v>2906</v>
      </c>
      <c r="O233" s="1" t="s">
        <v>4257</v>
      </c>
      <c r="P233" s="1" t="s">
        <v>84</v>
      </c>
      <c r="Q233" s="1" t="s">
        <v>4258</v>
      </c>
      <c r="R233" s="1" t="s">
        <v>4259</v>
      </c>
      <c r="S233" s="1" t="s">
        <v>4260</v>
      </c>
      <c r="T233" s="1" t="s">
        <v>129</v>
      </c>
      <c r="U233" s="1" t="s">
        <v>93</v>
      </c>
    </row>
    <row r="234" customFormat="false" ht="15" hidden="false" customHeight="true" outlineLevel="0" collapsed="false">
      <c r="A234" s="1" t="s">
        <v>843</v>
      </c>
      <c r="B234" s="1" t="s">
        <v>4261</v>
      </c>
      <c r="C234" s="1" t="s">
        <v>4262</v>
      </c>
      <c r="D234" s="1" t="s">
        <v>844</v>
      </c>
      <c r="E234" s="1" t="s">
        <v>145</v>
      </c>
      <c r="F234" s="1" t="s">
        <v>41</v>
      </c>
      <c r="G234" s="1" t="s">
        <v>78</v>
      </c>
      <c r="H234" s="1" t="s">
        <v>110</v>
      </c>
      <c r="I234" s="1" t="s">
        <v>111</v>
      </c>
      <c r="J234" s="1" t="s">
        <v>99</v>
      </c>
      <c r="K234" s="1" t="s">
        <v>201</v>
      </c>
      <c r="L234" s="1" t="s">
        <v>845</v>
      </c>
      <c r="M234" s="1" t="s">
        <v>83</v>
      </c>
      <c r="N234" s="1" t="s">
        <v>2937</v>
      </c>
      <c r="O234" s="1" t="s">
        <v>4263</v>
      </c>
      <c r="P234" s="1" t="s">
        <v>84</v>
      </c>
      <c r="Q234" s="1" t="s">
        <v>4264</v>
      </c>
      <c r="R234" s="1" t="s">
        <v>4265</v>
      </c>
      <c r="S234" s="1" t="s">
        <v>4266</v>
      </c>
      <c r="T234" s="1" t="s">
        <v>52</v>
      </c>
      <c r="U234" s="1" t="s">
        <v>53</v>
      </c>
    </row>
    <row r="235" customFormat="false" ht="15" hidden="false" customHeight="true" outlineLevel="0" collapsed="false">
      <c r="A235" s="1" t="s">
        <v>846</v>
      </c>
      <c r="B235" s="1" t="s">
        <v>4267</v>
      </c>
      <c r="C235" s="1" t="s">
        <v>4268</v>
      </c>
      <c r="D235" s="1" t="s">
        <v>847</v>
      </c>
      <c r="E235" s="1" t="s">
        <v>96</v>
      </c>
      <c r="F235" s="1" t="s">
        <v>116</v>
      </c>
      <c r="G235" s="1" t="s">
        <v>78</v>
      </c>
      <c r="H235" s="1" t="s">
        <v>206</v>
      </c>
      <c r="I235" s="1" t="s">
        <v>207</v>
      </c>
      <c r="J235" s="1" t="s">
        <v>62</v>
      </c>
      <c r="K235" s="1" t="s">
        <v>188</v>
      </c>
      <c r="L235" s="1" t="s">
        <v>848</v>
      </c>
      <c r="N235" s="1" t="s">
        <v>2861</v>
      </c>
      <c r="O235" s="1" t="s">
        <v>4269</v>
      </c>
      <c r="P235" s="1" t="s">
        <v>66</v>
      </c>
      <c r="Q235" s="1" t="s">
        <v>4270</v>
      </c>
      <c r="R235" s="1" t="s">
        <v>4271</v>
      </c>
      <c r="S235" s="1" t="s">
        <v>4272</v>
      </c>
      <c r="T235" s="1" t="s">
        <v>52</v>
      </c>
      <c r="U235" s="1" t="s">
        <v>53</v>
      </c>
    </row>
    <row r="236" customFormat="false" ht="15" hidden="false" customHeight="true" outlineLevel="0" collapsed="false">
      <c r="A236" s="1" t="s">
        <v>849</v>
      </c>
      <c r="B236" s="1" t="s">
        <v>4273</v>
      </c>
      <c r="C236" s="1" t="s">
        <v>4274</v>
      </c>
      <c r="D236" s="1" t="s">
        <v>850</v>
      </c>
      <c r="E236" s="1" t="s">
        <v>298</v>
      </c>
      <c r="F236" s="1" t="s">
        <v>121</v>
      </c>
      <c r="G236" s="1" t="s">
        <v>42</v>
      </c>
      <c r="H236" s="1" t="s">
        <v>384</v>
      </c>
      <c r="I236" s="1" t="s">
        <v>385</v>
      </c>
      <c r="J236" s="1" t="s">
        <v>62</v>
      </c>
      <c r="K236" s="1" t="s">
        <v>81</v>
      </c>
      <c r="L236" s="1" t="s">
        <v>851</v>
      </c>
      <c r="M236" s="1" t="s">
        <v>72</v>
      </c>
      <c r="N236" s="1" t="s">
        <v>2899</v>
      </c>
      <c r="O236" s="1" t="s">
        <v>4275</v>
      </c>
      <c r="P236" s="1" t="s">
        <v>203</v>
      </c>
      <c r="Q236" s="1" t="s">
        <v>4276</v>
      </c>
      <c r="R236" s="1" t="s">
        <v>4277</v>
      </c>
      <c r="S236" s="1" t="s">
        <v>4278</v>
      </c>
      <c r="T236" s="1" t="s">
        <v>52</v>
      </c>
      <c r="U236" s="1" t="s">
        <v>53</v>
      </c>
    </row>
    <row r="237" customFormat="false" ht="15" hidden="false" customHeight="true" outlineLevel="0" collapsed="false">
      <c r="A237" s="1" t="s">
        <v>852</v>
      </c>
      <c r="B237" s="1" t="s">
        <v>4279</v>
      </c>
      <c r="C237" s="1" t="s">
        <v>4280</v>
      </c>
      <c r="D237" s="1" t="s">
        <v>853</v>
      </c>
      <c r="E237" s="1" t="s">
        <v>145</v>
      </c>
      <c r="F237" s="1" t="s">
        <v>58</v>
      </c>
      <c r="G237" s="1" t="s">
        <v>88</v>
      </c>
      <c r="H237" s="1" t="s">
        <v>44</v>
      </c>
      <c r="I237" s="1" t="s">
        <v>136</v>
      </c>
      <c r="J237" s="1" t="s">
        <v>46</v>
      </c>
      <c r="K237" s="1" t="s">
        <v>151</v>
      </c>
      <c r="L237" s="1" t="s">
        <v>854</v>
      </c>
      <c r="M237" s="1" t="s">
        <v>83</v>
      </c>
      <c r="N237" s="1" t="s">
        <v>2815</v>
      </c>
      <c r="O237" s="1" t="s">
        <v>4281</v>
      </c>
      <c r="P237" s="1" t="s">
        <v>128</v>
      </c>
      <c r="Q237" s="1" t="s">
        <v>4282</v>
      </c>
      <c r="R237" s="1" t="s">
        <v>4283</v>
      </c>
      <c r="S237" s="1" t="s">
        <v>4284</v>
      </c>
      <c r="T237" s="1" t="s">
        <v>52</v>
      </c>
      <c r="U237" s="1" t="s">
        <v>53</v>
      </c>
    </row>
    <row r="238" customFormat="false" ht="15" hidden="false" customHeight="true" outlineLevel="0" collapsed="false">
      <c r="A238" s="1" t="s">
        <v>855</v>
      </c>
      <c r="B238" s="1" t="s">
        <v>4268</v>
      </c>
      <c r="C238" s="1" t="s">
        <v>4285</v>
      </c>
      <c r="D238" s="1" t="s">
        <v>856</v>
      </c>
      <c r="E238" s="1" t="s">
        <v>141</v>
      </c>
      <c r="F238" s="1" t="s">
        <v>116</v>
      </c>
      <c r="G238" s="1" t="s">
        <v>42</v>
      </c>
      <c r="H238" s="1" t="s">
        <v>163</v>
      </c>
      <c r="I238" s="1" t="s">
        <v>164</v>
      </c>
      <c r="J238" s="1" t="s">
        <v>62</v>
      </c>
      <c r="K238" s="1" t="s">
        <v>188</v>
      </c>
      <c r="L238" s="1" t="s">
        <v>857</v>
      </c>
      <c r="M238" s="1" t="s">
        <v>72</v>
      </c>
      <c r="N238" s="1" t="s">
        <v>2815</v>
      </c>
      <c r="O238" s="1" t="s">
        <v>4286</v>
      </c>
      <c r="P238" s="1" t="s">
        <v>66</v>
      </c>
      <c r="Q238" s="1" t="s">
        <v>4287</v>
      </c>
      <c r="R238" s="1" t="s">
        <v>4288</v>
      </c>
      <c r="S238" s="1" t="s">
        <v>4289</v>
      </c>
      <c r="T238" s="1" t="s">
        <v>52</v>
      </c>
      <c r="U238" s="1" t="s">
        <v>53</v>
      </c>
    </row>
    <row r="239" customFormat="false" ht="15" hidden="false" customHeight="true" outlineLevel="0" collapsed="false">
      <c r="A239" s="1" t="s">
        <v>858</v>
      </c>
      <c r="B239" s="1" t="s">
        <v>4290</v>
      </c>
      <c r="C239" s="1" t="s">
        <v>4290</v>
      </c>
      <c r="D239" s="1" t="s">
        <v>859</v>
      </c>
      <c r="E239" s="1" t="s">
        <v>57</v>
      </c>
      <c r="F239" s="1" t="s">
        <v>41</v>
      </c>
      <c r="G239" s="1" t="s">
        <v>42</v>
      </c>
      <c r="H239" s="1" t="s">
        <v>270</v>
      </c>
      <c r="I239" s="1" t="s">
        <v>271</v>
      </c>
      <c r="J239" s="1" t="s">
        <v>99</v>
      </c>
      <c r="K239" s="1" t="s">
        <v>105</v>
      </c>
      <c r="L239" s="1" t="s">
        <v>860</v>
      </c>
      <c r="M239" s="1" t="s">
        <v>83</v>
      </c>
      <c r="N239" s="1" t="s">
        <v>2899</v>
      </c>
      <c r="O239" s="1" t="s">
        <v>4291</v>
      </c>
      <c r="P239" s="1" t="s">
        <v>66</v>
      </c>
      <c r="Q239" s="1" t="s">
        <v>4292</v>
      </c>
      <c r="R239" s="1" t="s">
        <v>4293</v>
      </c>
      <c r="S239" s="1" t="s">
        <v>4294</v>
      </c>
      <c r="T239" s="1" t="s">
        <v>52</v>
      </c>
      <c r="U239" s="1" t="s">
        <v>53</v>
      </c>
    </row>
    <row r="240" customFormat="false" ht="15" hidden="false" customHeight="true" outlineLevel="0" collapsed="false">
      <c r="A240" s="1" t="s">
        <v>861</v>
      </c>
      <c r="B240" s="1" t="s">
        <v>4295</v>
      </c>
      <c r="C240" s="1" t="s">
        <v>4296</v>
      </c>
      <c r="D240" s="1" t="s">
        <v>862</v>
      </c>
      <c r="E240" s="1" t="s">
        <v>77</v>
      </c>
      <c r="F240" s="1" t="s">
        <v>41</v>
      </c>
      <c r="G240" s="1" t="s">
        <v>78</v>
      </c>
      <c r="H240" s="1" t="s">
        <v>110</v>
      </c>
      <c r="I240" s="1" t="s">
        <v>111</v>
      </c>
      <c r="J240" s="1" t="s">
        <v>46</v>
      </c>
      <c r="K240" s="1" t="s">
        <v>151</v>
      </c>
      <c r="L240" s="1" t="s">
        <v>863</v>
      </c>
      <c r="M240" s="1" t="s">
        <v>72</v>
      </c>
      <c r="N240" s="1" t="s">
        <v>2906</v>
      </c>
      <c r="O240" s="1" t="s">
        <v>4297</v>
      </c>
      <c r="P240" s="1" t="s">
        <v>73</v>
      </c>
      <c r="Q240" s="1" t="s">
        <v>4298</v>
      </c>
      <c r="R240" s="1" t="s">
        <v>4299</v>
      </c>
      <c r="S240" s="1" t="s">
        <v>4300</v>
      </c>
      <c r="T240" s="1" t="s">
        <v>52</v>
      </c>
      <c r="U240" s="1" t="s">
        <v>53</v>
      </c>
    </row>
    <row r="241" customFormat="false" ht="15" hidden="false" customHeight="true" outlineLevel="0" collapsed="false">
      <c r="A241" s="1" t="s">
        <v>864</v>
      </c>
      <c r="B241" s="1" t="s">
        <v>4301</v>
      </c>
      <c r="C241" s="1" t="s">
        <v>4146</v>
      </c>
      <c r="D241" s="1" t="s">
        <v>865</v>
      </c>
      <c r="E241" s="1" t="s">
        <v>298</v>
      </c>
      <c r="F241" s="1" t="s">
        <v>116</v>
      </c>
      <c r="G241" s="1" t="s">
        <v>78</v>
      </c>
      <c r="H241" s="1" t="s">
        <v>206</v>
      </c>
      <c r="I241" s="1" t="s">
        <v>207</v>
      </c>
      <c r="J241" s="1" t="s">
        <v>99</v>
      </c>
      <c r="K241" s="1" t="s">
        <v>308</v>
      </c>
      <c r="L241" s="1" t="s">
        <v>866</v>
      </c>
      <c r="M241" s="1" t="s">
        <v>72</v>
      </c>
      <c r="N241" s="1" t="s">
        <v>2868</v>
      </c>
      <c r="O241" s="1" t="s">
        <v>4302</v>
      </c>
      <c r="P241" s="1" t="s">
        <v>50</v>
      </c>
      <c r="Q241" s="1" t="s">
        <v>4303</v>
      </c>
      <c r="R241" s="1" t="s">
        <v>4304</v>
      </c>
      <c r="S241" s="1" t="s">
        <v>4305</v>
      </c>
      <c r="T241" s="1" t="s">
        <v>52</v>
      </c>
      <c r="U241" s="1" t="s">
        <v>53</v>
      </c>
    </row>
    <row r="242" customFormat="false" ht="15" hidden="false" customHeight="true" outlineLevel="0" collapsed="false">
      <c r="A242" s="1" t="s">
        <v>867</v>
      </c>
      <c r="B242" s="1" t="s">
        <v>4306</v>
      </c>
      <c r="C242" s="1" t="s">
        <v>3773</v>
      </c>
      <c r="D242" s="1" t="s">
        <v>868</v>
      </c>
      <c r="E242" s="1" t="s">
        <v>155</v>
      </c>
      <c r="F242" s="1" t="s">
        <v>116</v>
      </c>
      <c r="G242" s="1" t="s">
        <v>78</v>
      </c>
      <c r="H242" s="1" t="s">
        <v>79</v>
      </c>
      <c r="I242" s="1" t="s">
        <v>80</v>
      </c>
      <c r="J242" s="1" t="s">
        <v>46</v>
      </c>
      <c r="K242" s="1" t="s">
        <v>183</v>
      </c>
      <c r="L242" s="1" t="s">
        <v>869</v>
      </c>
      <c r="M242" s="1" t="s">
        <v>72</v>
      </c>
      <c r="N242" s="1" t="s">
        <v>2899</v>
      </c>
      <c r="O242" s="1" t="s">
        <v>4307</v>
      </c>
      <c r="P242" s="1" t="s">
        <v>66</v>
      </c>
      <c r="Q242" s="1" t="s">
        <v>4308</v>
      </c>
      <c r="R242" s="1" t="s">
        <v>4309</v>
      </c>
      <c r="S242" s="1" t="s">
        <v>4310</v>
      </c>
      <c r="T242" s="1" t="s">
        <v>52</v>
      </c>
      <c r="U242" s="1" t="s">
        <v>53</v>
      </c>
    </row>
    <row r="243" customFormat="false" ht="15" hidden="false" customHeight="true" outlineLevel="0" collapsed="false">
      <c r="A243" s="1" t="s">
        <v>870</v>
      </c>
      <c r="B243" s="1" t="s">
        <v>4311</v>
      </c>
      <c r="C243" s="1" t="s">
        <v>4312</v>
      </c>
      <c r="D243" s="1" t="s">
        <v>871</v>
      </c>
      <c r="E243" s="1" t="s">
        <v>159</v>
      </c>
      <c r="F243" s="1" t="s">
        <v>116</v>
      </c>
      <c r="G243" s="1" t="s">
        <v>42</v>
      </c>
      <c r="H243" s="1" t="s">
        <v>270</v>
      </c>
      <c r="I243" s="1" t="s">
        <v>271</v>
      </c>
      <c r="J243" s="1" t="s">
        <v>46</v>
      </c>
      <c r="K243" s="1" t="s">
        <v>151</v>
      </c>
      <c r="L243" s="1" t="s">
        <v>872</v>
      </c>
      <c r="M243" s="1" t="s">
        <v>83</v>
      </c>
      <c r="N243" s="1" t="s">
        <v>2836</v>
      </c>
      <c r="O243" s="1" t="s">
        <v>4313</v>
      </c>
      <c r="P243" s="1" t="s">
        <v>84</v>
      </c>
      <c r="Q243" s="1" t="s">
        <v>4314</v>
      </c>
      <c r="R243" s="1" t="s">
        <v>4315</v>
      </c>
      <c r="S243" s="1" t="s">
        <v>4316</v>
      </c>
      <c r="T243" s="1" t="s">
        <v>138</v>
      </c>
      <c r="U243" s="1" t="s">
        <v>130</v>
      </c>
    </row>
    <row r="244" customFormat="false" ht="15" hidden="false" customHeight="true" outlineLevel="0" collapsed="false">
      <c r="A244" s="1" t="s">
        <v>873</v>
      </c>
      <c r="B244" s="1" t="s">
        <v>4317</v>
      </c>
      <c r="C244" s="1" t="s">
        <v>4318</v>
      </c>
      <c r="D244" s="1" t="s">
        <v>874</v>
      </c>
      <c r="E244" s="1" t="s">
        <v>77</v>
      </c>
      <c r="F244" s="1" t="s">
        <v>41</v>
      </c>
      <c r="G244" s="1" t="s">
        <v>42</v>
      </c>
      <c r="H244" s="1" t="s">
        <v>163</v>
      </c>
      <c r="I244" s="1" t="s">
        <v>164</v>
      </c>
      <c r="J244" s="1" t="s">
        <v>46</v>
      </c>
      <c r="K244" s="1" t="s">
        <v>70</v>
      </c>
      <c r="L244" s="1" t="s">
        <v>875</v>
      </c>
      <c r="M244" s="1" t="s">
        <v>49</v>
      </c>
      <c r="N244" s="1" t="s">
        <v>2822</v>
      </c>
      <c r="O244" s="1" t="s">
        <v>4319</v>
      </c>
      <c r="P244" s="1" t="s">
        <v>128</v>
      </c>
      <c r="Q244" s="1" t="s">
        <v>4320</v>
      </c>
      <c r="R244" s="1" t="s">
        <v>4321</v>
      </c>
      <c r="S244" s="1" t="s">
        <v>4322</v>
      </c>
      <c r="T244" s="1" t="s">
        <v>52</v>
      </c>
      <c r="U244" s="1" t="s">
        <v>53</v>
      </c>
    </row>
    <row r="245" customFormat="false" ht="15" hidden="false" customHeight="true" outlineLevel="0" collapsed="false">
      <c r="A245" s="1" t="s">
        <v>876</v>
      </c>
      <c r="B245" s="1" t="s">
        <v>3153</v>
      </c>
      <c r="C245" s="1" t="s">
        <v>4323</v>
      </c>
      <c r="D245" s="1" t="s">
        <v>877</v>
      </c>
      <c r="E245" s="1" t="s">
        <v>159</v>
      </c>
      <c r="F245" s="1" t="s">
        <v>58</v>
      </c>
      <c r="H245" s="1" t="s">
        <v>97</v>
      </c>
      <c r="I245" s="1" t="s">
        <v>98</v>
      </c>
      <c r="J245" s="1" t="s">
        <v>99</v>
      </c>
      <c r="K245" s="1" t="s">
        <v>100</v>
      </c>
      <c r="L245" s="1" t="s">
        <v>878</v>
      </c>
      <c r="M245" s="1" t="s">
        <v>72</v>
      </c>
      <c r="N245" s="1" t="s">
        <v>2836</v>
      </c>
      <c r="O245" s="1" t="s">
        <v>4324</v>
      </c>
      <c r="P245" s="1" t="s">
        <v>203</v>
      </c>
      <c r="Q245" s="1" t="s">
        <v>4325</v>
      </c>
      <c r="R245" s="1" t="s">
        <v>4326</v>
      </c>
      <c r="S245" s="1" t="s">
        <v>4327</v>
      </c>
      <c r="T245" s="1" t="s">
        <v>52</v>
      </c>
      <c r="U245" s="1" t="s">
        <v>4020</v>
      </c>
    </row>
    <row r="246" customFormat="false" ht="15" hidden="false" customHeight="true" outlineLevel="0" collapsed="false">
      <c r="A246" s="1" t="s">
        <v>879</v>
      </c>
      <c r="B246" s="1" t="s">
        <v>3565</v>
      </c>
      <c r="C246" s="1" t="s">
        <v>4328</v>
      </c>
      <c r="D246" s="1" t="s">
        <v>880</v>
      </c>
      <c r="E246" s="1" t="s">
        <v>104</v>
      </c>
      <c r="F246" s="1" t="s">
        <v>41</v>
      </c>
      <c r="G246" s="1" t="s">
        <v>78</v>
      </c>
      <c r="H246" s="1" t="s">
        <v>79</v>
      </c>
      <c r="I246" s="1" t="s">
        <v>80</v>
      </c>
      <c r="J246" s="1" t="s">
        <v>62</v>
      </c>
      <c r="K246" s="1" t="s">
        <v>188</v>
      </c>
      <c r="L246" s="1" t="s">
        <v>881</v>
      </c>
      <c r="M246" s="1" t="s">
        <v>65</v>
      </c>
      <c r="N246" s="1" t="s">
        <v>2815</v>
      </c>
      <c r="O246" s="1" t="s">
        <v>4329</v>
      </c>
      <c r="P246" s="1" t="s">
        <v>66</v>
      </c>
      <c r="Q246" s="1" t="s">
        <v>4330</v>
      </c>
      <c r="R246" s="1" t="s">
        <v>4331</v>
      </c>
      <c r="S246" s="1" t="s">
        <v>4332</v>
      </c>
      <c r="T246" s="1" t="s">
        <v>52</v>
      </c>
      <c r="U246" s="1" t="s">
        <v>53</v>
      </c>
    </row>
    <row r="247" customFormat="false" ht="15" hidden="false" customHeight="true" outlineLevel="0" collapsed="false">
      <c r="A247" s="1" t="s">
        <v>882</v>
      </c>
      <c r="B247" s="1" t="s">
        <v>3575</v>
      </c>
      <c r="C247" s="1" t="s">
        <v>3832</v>
      </c>
      <c r="D247" s="1" t="s">
        <v>883</v>
      </c>
      <c r="E247" s="1" t="s">
        <v>104</v>
      </c>
      <c r="F247" s="1" t="s">
        <v>121</v>
      </c>
      <c r="G247" s="1" t="s">
        <v>78</v>
      </c>
      <c r="H247" s="1" t="s">
        <v>216</v>
      </c>
      <c r="I247" s="1" t="s">
        <v>217</v>
      </c>
      <c r="J247" s="1" t="s">
        <v>4333</v>
      </c>
      <c r="K247" s="1" t="s">
        <v>91</v>
      </c>
      <c r="L247" s="1" t="s">
        <v>884</v>
      </c>
      <c r="M247" s="1" t="s">
        <v>49</v>
      </c>
      <c r="N247" s="1" t="s">
        <v>2822</v>
      </c>
      <c r="O247" s="1" t="s">
        <v>4334</v>
      </c>
      <c r="P247" s="1" t="s">
        <v>66</v>
      </c>
      <c r="Q247" s="1" t="s">
        <v>4335</v>
      </c>
      <c r="R247" s="1" t="s">
        <v>4336</v>
      </c>
      <c r="S247" s="1" t="s">
        <v>4337</v>
      </c>
      <c r="T247" s="1" t="s">
        <v>52</v>
      </c>
      <c r="U247" s="1" t="s">
        <v>53</v>
      </c>
    </row>
    <row r="248" customFormat="false" ht="15" hidden="false" customHeight="true" outlineLevel="0" collapsed="false">
      <c r="A248" s="1" t="s">
        <v>885</v>
      </c>
      <c r="B248" s="1" t="s">
        <v>4338</v>
      </c>
      <c r="C248" s="1" t="s">
        <v>4339</v>
      </c>
      <c r="D248" s="1" t="s">
        <v>886</v>
      </c>
      <c r="E248" s="1" t="s">
        <v>87</v>
      </c>
      <c r="F248" s="1" t="s">
        <v>116</v>
      </c>
      <c r="G248" s="1" t="s">
        <v>42</v>
      </c>
      <c r="H248" s="1" t="s">
        <v>149</v>
      </c>
      <c r="I248" s="1" t="s">
        <v>150</v>
      </c>
      <c r="J248" s="1" t="s">
        <v>99</v>
      </c>
      <c r="K248" s="1" t="s">
        <v>308</v>
      </c>
      <c r="L248" s="1" t="s">
        <v>887</v>
      </c>
      <c r="M248" s="1" t="s">
        <v>65</v>
      </c>
      <c r="N248" s="1" t="s">
        <v>2822</v>
      </c>
      <c r="O248" s="1" t="s">
        <v>4340</v>
      </c>
      <c r="P248" s="1" t="s">
        <v>84</v>
      </c>
      <c r="Q248" s="1" t="s">
        <v>4341</v>
      </c>
      <c r="R248" s="1" t="s">
        <v>4342</v>
      </c>
      <c r="S248" s="1" t="s">
        <v>4343</v>
      </c>
      <c r="T248" s="1" t="s">
        <v>129</v>
      </c>
      <c r="U248" s="1" t="s">
        <v>93</v>
      </c>
    </row>
    <row r="249" customFormat="false" ht="15" hidden="false" customHeight="true" outlineLevel="0" collapsed="false">
      <c r="A249" s="1" t="s">
        <v>888</v>
      </c>
      <c r="B249" s="1" t="s">
        <v>4344</v>
      </c>
      <c r="C249" s="1" t="s">
        <v>4345</v>
      </c>
      <c r="D249" s="1" t="s">
        <v>889</v>
      </c>
      <c r="E249" s="1" t="s">
        <v>145</v>
      </c>
      <c r="F249" s="1" t="s">
        <v>116</v>
      </c>
      <c r="G249" s="1" t="s">
        <v>42</v>
      </c>
      <c r="H249" s="1" t="s">
        <v>44</v>
      </c>
      <c r="I249" s="1" t="s">
        <v>45</v>
      </c>
      <c r="J249" s="1" t="s">
        <v>99</v>
      </c>
      <c r="K249" s="1" t="s">
        <v>100</v>
      </c>
      <c r="L249" s="1" t="s">
        <v>890</v>
      </c>
      <c r="M249" s="1" t="s">
        <v>49</v>
      </c>
      <c r="N249" s="1" t="s">
        <v>2861</v>
      </c>
      <c r="O249" s="1" t="s">
        <v>4346</v>
      </c>
      <c r="P249" s="1" t="s">
        <v>84</v>
      </c>
      <c r="Q249" s="1" t="s">
        <v>4347</v>
      </c>
      <c r="R249" s="1" t="s">
        <v>4348</v>
      </c>
      <c r="S249" s="1" t="s">
        <v>4349</v>
      </c>
      <c r="T249" s="1" t="s">
        <v>52</v>
      </c>
      <c r="U249" s="1" t="s">
        <v>53</v>
      </c>
    </row>
    <row r="250" customFormat="false" ht="15" hidden="false" customHeight="true" outlineLevel="0" collapsed="false">
      <c r="A250" s="1" t="s">
        <v>891</v>
      </c>
      <c r="B250" s="1" t="s">
        <v>4350</v>
      </c>
      <c r="C250" s="1" t="s">
        <v>3495</v>
      </c>
      <c r="D250" s="1" t="s">
        <v>892</v>
      </c>
      <c r="E250" s="1" t="s">
        <v>168</v>
      </c>
      <c r="F250" s="1" t="s">
        <v>121</v>
      </c>
      <c r="G250" s="1" t="s">
        <v>59</v>
      </c>
      <c r="H250" s="1" t="s">
        <v>60</v>
      </c>
      <c r="I250" s="1" t="s">
        <v>61</v>
      </c>
      <c r="J250" s="1" t="s">
        <v>46</v>
      </c>
      <c r="K250" s="1" t="s">
        <v>117</v>
      </c>
      <c r="L250" s="1" t="s">
        <v>893</v>
      </c>
      <c r="M250" s="1" t="s">
        <v>49</v>
      </c>
      <c r="N250" s="1" t="s">
        <v>2899</v>
      </c>
      <c r="O250" s="1" t="s">
        <v>4351</v>
      </c>
      <c r="P250" s="1" t="s">
        <v>107</v>
      </c>
      <c r="Q250" s="1" t="s">
        <v>4352</v>
      </c>
      <c r="R250" s="1" t="s">
        <v>4353</v>
      </c>
      <c r="S250" s="1" t="s">
        <v>4354</v>
      </c>
      <c r="T250" s="1" t="s">
        <v>52</v>
      </c>
      <c r="U250" s="1" t="s">
        <v>53</v>
      </c>
    </row>
    <row r="251" customFormat="false" ht="15" hidden="false" customHeight="true" outlineLevel="0" collapsed="false">
      <c r="A251" s="1" t="s">
        <v>894</v>
      </c>
      <c r="B251" s="1" t="s">
        <v>3768</v>
      </c>
      <c r="C251" s="1" t="s">
        <v>4355</v>
      </c>
      <c r="D251" s="1" t="s">
        <v>895</v>
      </c>
      <c r="E251" s="1" t="s">
        <v>57</v>
      </c>
      <c r="F251" s="1" t="s">
        <v>116</v>
      </c>
      <c r="G251" s="1" t="s">
        <v>42</v>
      </c>
      <c r="H251" s="1" t="s">
        <v>44</v>
      </c>
      <c r="I251" s="1" t="s">
        <v>45</v>
      </c>
      <c r="J251" s="1" t="s">
        <v>62</v>
      </c>
      <c r="K251" s="1" t="s">
        <v>81</v>
      </c>
      <c r="L251" s="1" t="s">
        <v>896</v>
      </c>
      <c r="M251" s="1" t="s">
        <v>72</v>
      </c>
      <c r="N251" s="1" t="s">
        <v>2937</v>
      </c>
      <c r="O251" s="1" t="s">
        <v>4356</v>
      </c>
      <c r="P251" s="1" t="s">
        <v>50</v>
      </c>
      <c r="Q251" s="1" t="s">
        <v>4357</v>
      </c>
      <c r="R251" s="1" t="s">
        <v>4358</v>
      </c>
      <c r="S251" s="1" t="s">
        <v>4359</v>
      </c>
      <c r="T251" s="1" t="s">
        <v>52</v>
      </c>
      <c r="U251" s="1" t="s">
        <v>53</v>
      </c>
    </row>
    <row r="252" customFormat="false" ht="15" hidden="false" customHeight="true" outlineLevel="0" collapsed="false">
      <c r="A252" s="1" t="s">
        <v>897</v>
      </c>
      <c r="B252" s="1" t="s">
        <v>2885</v>
      </c>
      <c r="C252" s="1" t="s">
        <v>2886</v>
      </c>
      <c r="D252" s="1" t="s">
        <v>898</v>
      </c>
      <c r="E252" s="1" t="s">
        <v>77</v>
      </c>
      <c r="F252" s="1" t="s">
        <v>58</v>
      </c>
      <c r="G252" s="1" t="s">
        <v>59</v>
      </c>
      <c r="H252" s="1" t="s">
        <v>125</v>
      </c>
      <c r="I252" s="1" t="s">
        <v>126</v>
      </c>
      <c r="J252" s="1" t="s">
        <v>62</v>
      </c>
      <c r="K252" s="1" t="s">
        <v>81</v>
      </c>
      <c r="L252" s="1" t="s">
        <v>899</v>
      </c>
      <c r="M252" s="1" t="s">
        <v>83</v>
      </c>
      <c r="N252" s="1" t="s">
        <v>2829</v>
      </c>
      <c r="O252" s="1" t="s">
        <v>2887</v>
      </c>
      <c r="P252" s="1" t="s">
        <v>107</v>
      </c>
      <c r="Q252" s="1" t="s">
        <v>2888</v>
      </c>
      <c r="R252" s="1" t="s">
        <v>2889</v>
      </c>
      <c r="S252" s="1" t="s">
        <v>2890</v>
      </c>
      <c r="T252" s="1" t="s">
        <v>138</v>
      </c>
      <c r="U252" s="1" t="s">
        <v>130</v>
      </c>
    </row>
    <row r="253" customFormat="false" ht="15" hidden="false" customHeight="true" outlineLevel="0" collapsed="false">
      <c r="A253" s="1" t="s">
        <v>900</v>
      </c>
      <c r="B253" s="1" t="s">
        <v>4360</v>
      </c>
      <c r="C253" s="1" t="s">
        <v>2935</v>
      </c>
      <c r="D253" s="1" t="s">
        <v>901</v>
      </c>
      <c r="E253" s="1" t="s">
        <v>87</v>
      </c>
      <c r="F253" s="1" t="s">
        <v>116</v>
      </c>
      <c r="G253" s="1" t="s">
        <v>88</v>
      </c>
      <c r="H253" s="1" t="s">
        <v>211</v>
      </c>
      <c r="I253" s="1" t="s">
        <v>212</v>
      </c>
      <c r="J253" s="1" t="s">
        <v>62</v>
      </c>
      <c r="K253" s="1" t="s">
        <v>63</v>
      </c>
      <c r="L253" s="1" t="s">
        <v>902</v>
      </c>
      <c r="M253" s="1" t="s">
        <v>49</v>
      </c>
      <c r="N253" s="1" t="s">
        <v>2815</v>
      </c>
      <c r="O253" s="1" t="s">
        <v>4361</v>
      </c>
      <c r="P253" s="1" t="s">
        <v>66</v>
      </c>
      <c r="Q253" s="1" t="s">
        <v>4362</v>
      </c>
      <c r="R253" s="1" t="s">
        <v>4363</v>
      </c>
      <c r="S253" s="1" t="s">
        <v>4364</v>
      </c>
      <c r="T253" s="1" t="s">
        <v>52</v>
      </c>
      <c r="U253" s="1" t="s">
        <v>53</v>
      </c>
    </row>
    <row r="254" customFormat="false" ht="15" hidden="false" customHeight="true" outlineLevel="0" collapsed="false">
      <c r="A254" s="1" t="s">
        <v>903</v>
      </c>
      <c r="B254" s="1" t="s">
        <v>4365</v>
      </c>
      <c r="C254" s="1" t="s">
        <v>4243</v>
      </c>
      <c r="D254" s="1" t="s">
        <v>904</v>
      </c>
      <c r="E254" s="1" t="s">
        <v>77</v>
      </c>
      <c r="F254" s="1" t="s">
        <v>116</v>
      </c>
      <c r="G254" s="1" t="s">
        <v>42</v>
      </c>
      <c r="H254" s="1" t="s">
        <v>270</v>
      </c>
      <c r="I254" s="1" t="s">
        <v>271</v>
      </c>
      <c r="J254" s="1" t="s">
        <v>46</v>
      </c>
      <c r="K254" s="1" t="s">
        <v>151</v>
      </c>
      <c r="L254" s="1" t="s">
        <v>905</v>
      </c>
      <c r="M254" s="1" t="s">
        <v>72</v>
      </c>
      <c r="N254" s="1" t="s">
        <v>2868</v>
      </c>
      <c r="O254" s="1" t="s">
        <v>4366</v>
      </c>
      <c r="P254" s="1" t="s">
        <v>50</v>
      </c>
      <c r="Q254" s="1" t="s">
        <v>4367</v>
      </c>
      <c r="R254" s="1" t="s">
        <v>4368</v>
      </c>
      <c r="S254" s="1" t="s">
        <v>4369</v>
      </c>
      <c r="T254" s="1" t="s">
        <v>138</v>
      </c>
      <c r="U254" s="1" t="s">
        <v>130</v>
      </c>
    </row>
    <row r="255" customFormat="false" ht="15" hidden="false" customHeight="true" outlineLevel="0" collapsed="false">
      <c r="A255" s="1" t="s">
        <v>906</v>
      </c>
      <c r="B255" s="1" t="s">
        <v>4370</v>
      </c>
      <c r="C255" s="1" t="s">
        <v>4371</v>
      </c>
      <c r="D255" s="1" t="s">
        <v>907</v>
      </c>
      <c r="E255" s="1" t="s">
        <v>141</v>
      </c>
      <c r="F255" s="1" t="s">
        <v>58</v>
      </c>
      <c r="G255" s="1" t="s">
        <v>42</v>
      </c>
      <c r="H255" s="1" t="s">
        <v>44</v>
      </c>
      <c r="I255" s="1" t="s">
        <v>45</v>
      </c>
      <c r="J255" s="1" t="s">
        <v>99</v>
      </c>
      <c r="K255" s="1" t="s">
        <v>201</v>
      </c>
      <c r="L255" s="1" t="s">
        <v>908</v>
      </c>
      <c r="M255" s="1" t="s">
        <v>65</v>
      </c>
      <c r="N255" s="1" t="s">
        <v>2815</v>
      </c>
      <c r="O255" s="1" t="s">
        <v>4372</v>
      </c>
      <c r="P255" s="1" t="s">
        <v>128</v>
      </c>
      <c r="Q255" s="1" t="s">
        <v>4373</v>
      </c>
      <c r="R255" s="1" t="s">
        <v>4374</v>
      </c>
      <c r="S255" s="1" t="s">
        <v>3128</v>
      </c>
      <c r="T255" s="1" t="s">
        <v>129</v>
      </c>
      <c r="U255" s="1" t="s">
        <v>93</v>
      </c>
    </row>
    <row r="256" customFormat="false" ht="15" hidden="false" customHeight="true" outlineLevel="0" collapsed="false">
      <c r="A256" s="1" t="s">
        <v>909</v>
      </c>
      <c r="B256" s="1" t="s">
        <v>4375</v>
      </c>
      <c r="C256" s="1" t="s">
        <v>4376</v>
      </c>
      <c r="D256" s="1" t="s">
        <v>910</v>
      </c>
      <c r="E256" s="1" t="s">
        <v>87</v>
      </c>
      <c r="F256" s="1" t="s">
        <v>41</v>
      </c>
      <c r="G256" s="1" t="s">
        <v>88</v>
      </c>
      <c r="H256" s="1" t="s">
        <v>97</v>
      </c>
      <c r="I256" s="1" t="s">
        <v>98</v>
      </c>
      <c r="J256" s="1" t="s">
        <v>99</v>
      </c>
      <c r="K256" s="1" t="s">
        <v>100</v>
      </c>
      <c r="L256" s="1" t="s">
        <v>911</v>
      </c>
      <c r="M256" s="1" t="s">
        <v>65</v>
      </c>
      <c r="N256" s="1" t="s">
        <v>2906</v>
      </c>
      <c r="O256" s="1" t="s">
        <v>4377</v>
      </c>
      <c r="P256" s="1" t="s">
        <v>50</v>
      </c>
      <c r="Q256" s="1" t="s">
        <v>4378</v>
      </c>
      <c r="R256" s="1" t="s">
        <v>4379</v>
      </c>
      <c r="S256" s="1" t="s">
        <v>4380</v>
      </c>
      <c r="T256" s="1" t="s">
        <v>52</v>
      </c>
      <c r="U256" s="1" t="s">
        <v>130</v>
      </c>
    </row>
    <row r="257" customFormat="false" ht="15" hidden="false" customHeight="true" outlineLevel="0" collapsed="false">
      <c r="A257" s="1" t="s">
        <v>912</v>
      </c>
      <c r="B257" s="1" t="s">
        <v>4381</v>
      </c>
      <c r="C257" s="1" t="s">
        <v>4382</v>
      </c>
      <c r="D257" s="1" t="s">
        <v>913</v>
      </c>
      <c r="E257" s="1" t="s">
        <v>69</v>
      </c>
      <c r="F257" s="1" t="s">
        <v>116</v>
      </c>
      <c r="G257" s="1" t="s">
        <v>88</v>
      </c>
      <c r="H257" s="1" t="s">
        <v>89</v>
      </c>
      <c r="I257" s="1" t="s">
        <v>90</v>
      </c>
      <c r="J257" s="1" t="s">
        <v>99</v>
      </c>
      <c r="K257" s="1" t="s">
        <v>201</v>
      </c>
      <c r="L257" s="1" t="s">
        <v>914</v>
      </c>
      <c r="M257" s="1" t="s">
        <v>72</v>
      </c>
      <c r="N257" s="1" t="s">
        <v>2906</v>
      </c>
      <c r="O257" s="1" t="s">
        <v>4383</v>
      </c>
      <c r="P257" s="1" t="s">
        <v>66</v>
      </c>
      <c r="Q257" s="1" t="s">
        <v>4384</v>
      </c>
      <c r="R257" s="1" t="s">
        <v>4385</v>
      </c>
      <c r="S257" s="1" t="s">
        <v>4386</v>
      </c>
      <c r="T257" s="1" t="s">
        <v>52</v>
      </c>
      <c r="U257" s="1" t="s">
        <v>53</v>
      </c>
    </row>
    <row r="258" customFormat="false" ht="15" hidden="false" customHeight="true" outlineLevel="0" collapsed="false">
      <c r="A258" s="1" t="s">
        <v>915</v>
      </c>
      <c r="B258" s="1" t="s">
        <v>4387</v>
      </c>
      <c r="C258" s="1" t="s">
        <v>3383</v>
      </c>
      <c r="D258" s="1" t="s">
        <v>916</v>
      </c>
      <c r="E258" s="1" t="s">
        <v>87</v>
      </c>
      <c r="F258" s="1" t="s">
        <v>41</v>
      </c>
      <c r="G258" s="1" t="s">
        <v>59</v>
      </c>
      <c r="H258" s="1" t="s">
        <v>125</v>
      </c>
      <c r="I258" s="1" t="s">
        <v>126</v>
      </c>
      <c r="J258" s="1" t="s">
        <v>62</v>
      </c>
      <c r="K258" s="1" t="s">
        <v>63</v>
      </c>
      <c r="L258" s="1" t="s">
        <v>917</v>
      </c>
      <c r="M258" s="1" t="s">
        <v>72</v>
      </c>
      <c r="N258" s="1" t="s">
        <v>2899</v>
      </c>
      <c r="O258" s="1" t="s">
        <v>4388</v>
      </c>
      <c r="P258" s="1" t="s">
        <v>128</v>
      </c>
      <c r="Q258" s="1" t="s">
        <v>4389</v>
      </c>
      <c r="R258" s="1" t="s">
        <v>4390</v>
      </c>
      <c r="S258" s="1" t="s">
        <v>4391</v>
      </c>
      <c r="T258" s="1" t="s">
        <v>52</v>
      </c>
      <c r="U258" s="1" t="s">
        <v>53</v>
      </c>
    </row>
    <row r="259" customFormat="false" ht="15" hidden="false" customHeight="true" outlineLevel="0" collapsed="false">
      <c r="A259" s="1" t="s">
        <v>918</v>
      </c>
      <c r="B259" s="1" t="s">
        <v>4392</v>
      </c>
      <c r="C259" s="1" t="s">
        <v>4393</v>
      </c>
      <c r="D259" s="1" t="s">
        <v>919</v>
      </c>
      <c r="E259" s="1" t="s">
        <v>192</v>
      </c>
      <c r="F259" s="1" t="s">
        <v>116</v>
      </c>
      <c r="G259" s="1" t="s">
        <v>78</v>
      </c>
      <c r="H259" s="1" t="s">
        <v>206</v>
      </c>
      <c r="I259" s="1" t="s">
        <v>207</v>
      </c>
      <c r="J259" s="1" t="s">
        <v>99</v>
      </c>
      <c r="K259" s="1" t="s">
        <v>100</v>
      </c>
      <c r="L259" s="1" t="s">
        <v>920</v>
      </c>
      <c r="M259" s="1" t="s">
        <v>49</v>
      </c>
      <c r="N259" s="1" t="s">
        <v>2868</v>
      </c>
      <c r="O259" s="1" t="s">
        <v>4394</v>
      </c>
      <c r="P259" s="1" t="s">
        <v>66</v>
      </c>
      <c r="Q259" s="1" t="s">
        <v>4395</v>
      </c>
      <c r="R259" s="1" t="s">
        <v>4396</v>
      </c>
      <c r="S259" s="1" t="s">
        <v>4397</v>
      </c>
      <c r="T259" s="1" t="s">
        <v>52</v>
      </c>
      <c r="U259" s="1" t="s">
        <v>93</v>
      </c>
    </row>
    <row r="260" customFormat="false" ht="15" hidden="false" customHeight="true" outlineLevel="0" collapsed="false">
      <c r="A260" s="1" t="s">
        <v>921</v>
      </c>
      <c r="B260" s="1" t="s">
        <v>3774</v>
      </c>
      <c r="C260" s="1" t="s">
        <v>4398</v>
      </c>
      <c r="D260" s="1" t="s">
        <v>922</v>
      </c>
      <c r="E260" s="1" t="s">
        <v>159</v>
      </c>
      <c r="F260" s="1" t="s">
        <v>116</v>
      </c>
      <c r="G260" s="1" t="s">
        <v>78</v>
      </c>
      <c r="H260" s="1" t="s">
        <v>281</v>
      </c>
      <c r="I260" s="1" t="s">
        <v>282</v>
      </c>
      <c r="J260" s="1" t="s">
        <v>62</v>
      </c>
      <c r="K260" s="1" t="s">
        <v>63</v>
      </c>
      <c r="L260" s="1" t="s">
        <v>923</v>
      </c>
      <c r="M260" s="1" t="s">
        <v>65</v>
      </c>
      <c r="N260" s="1" t="s">
        <v>2868</v>
      </c>
      <c r="O260" s="1" t="s">
        <v>4399</v>
      </c>
      <c r="P260" s="1" t="s">
        <v>84</v>
      </c>
      <c r="Q260" s="1" t="s">
        <v>4400</v>
      </c>
      <c r="R260" s="1" t="s">
        <v>4401</v>
      </c>
      <c r="S260" s="1" t="s">
        <v>4402</v>
      </c>
      <c r="T260" s="1" t="s">
        <v>52</v>
      </c>
      <c r="U260" s="1" t="s">
        <v>53</v>
      </c>
    </row>
    <row r="261" customFormat="false" ht="15" hidden="false" customHeight="true" outlineLevel="0" collapsed="false">
      <c r="A261" s="1" t="s">
        <v>924</v>
      </c>
      <c r="B261" s="1" t="s">
        <v>4403</v>
      </c>
      <c r="C261" s="1" t="s">
        <v>4404</v>
      </c>
      <c r="D261" s="1" t="s">
        <v>925</v>
      </c>
      <c r="E261" s="1" t="s">
        <v>104</v>
      </c>
      <c r="F261" s="1" t="s">
        <v>41</v>
      </c>
      <c r="G261" s="1" t="s">
        <v>78</v>
      </c>
      <c r="H261" s="1" t="s">
        <v>281</v>
      </c>
      <c r="I261" s="1" t="s">
        <v>282</v>
      </c>
      <c r="J261" s="1" t="s">
        <v>99</v>
      </c>
      <c r="K261" s="1" t="s">
        <v>308</v>
      </c>
      <c r="L261" s="1" t="s">
        <v>926</v>
      </c>
      <c r="M261" s="1" t="s">
        <v>83</v>
      </c>
      <c r="N261" s="1" t="s">
        <v>2861</v>
      </c>
      <c r="O261" s="1" t="s">
        <v>4405</v>
      </c>
      <c r="P261" s="1" t="s">
        <v>50</v>
      </c>
      <c r="Q261" s="1" t="s">
        <v>4406</v>
      </c>
      <c r="R261" s="1" t="s">
        <v>4407</v>
      </c>
      <c r="S261" s="1" t="s">
        <v>4408</v>
      </c>
      <c r="T261" s="1" t="s">
        <v>52</v>
      </c>
      <c r="U261" s="1" t="s">
        <v>53</v>
      </c>
    </row>
    <row r="262" customFormat="false" ht="15" hidden="false" customHeight="true" outlineLevel="0" collapsed="false">
      <c r="A262" s="1" t="s">
        <v>927</v>
      </c>
      <c r="B262" s="1" t="s">
        <v>4409</v>
      </c>
      <c r="C262" s="1" t="s">
        <v>4410</v>
      </c>
      <c r="D262" s="1" t="s">
        <v>928</v>
      </c>
      <c r="E262" s="1" t="s">
        <v>115</v>
      </c>
      <c r="F262" s="1" t="s">
        <v>116</v>
      </c>
      <c r="G262" s="1" t="s">
        <v>59</v>
      </c>
      <c r="H262" s="1" t="s">
        <v>125</v>
      </c>
      <c r="I262" s="1" t="s">
        <v>126</v>
      </c>
      <c r="J262" s="1" t="s">
        <v>46</v>
      </c>
      <c r="K262" s="1" t="s">
        <v>183</v>
      </c>
      <c r="L262" s="1" t="s">
        <v>929</v>
      </c>
      <c r="M262" s="1" t="s">
        <v>65</v>
      </c>
      <c r="N262" s="1" t="s">
        <v>2906</v>
      </c>
      <c r="O262" s="1" t="s">
        <v>4411</v>
      </c>
      <c r="P262" s="1" t="s">
        <v>84</v>
      </c>
      <c r="Q262" s="1" t="s">
        <v>4412</v>
      </c>
      <c r="R262" s="1" t="s">
        <v>4413</v>
      </c>
      <c r="S262" s="1" t="s">
        <v>4414</v>
      </c>
      <c r="T262" s="1" t="s">
        <v>185</v>
      </c>
      <c r="U262" s="1" t="s">
        <v>130</v>
      </c>
    </row>
    <row r="263" customFormat="false" ht="15" hidden="false" customHeight="true" outlineLevel="0" collapsed="false">
      <c r="A263" s="1" t="s">
        <v>930</v>
      </c>
      <c r="B263" s="1" t="s">
        <v>4415</v>
      </c>
      <c r="C263" s="1" t="s">
        <v>4416</v>
      </c>
      <c r="D263" s="1" t="s">
        <v>931</v>
      </c>
      <c r="E263" s="1" t="s">
        <v>159</v>
      </c>
      <c r="F263" s="1" t="s">
        <v>116</v>
      </c>
      <c r="G263" s="1" t="s">
        <v>42</v>
      </c>
      <c r="H263" s="1" t="s">
        <v>44</v>
      </c>
      <c r="I263" s="1" t="s">
        <v>45</v>
      </c>
      <c r="J263" s="1" t="s">
        <v>46</v>
      </c>
      <c r="K263" s="1" t="s">
        <v>117</v>
      </c>
      <c r="L263" s="1" t="s">
        <v>932</v>
      </c>
      <c r="M263" s="1" t="s">
        <v>83</v>
      </c>
      <c r="N263" s="1" t="s">
        <v>2822</v>
      </c>
      <c r="O263" s="1" t="s">
        <v>4417</v>
      </c>
      <c r="P263" s="1" t="s">
        <v>50</v>
      </c>
      <c r="Q263" s="1" t="s">
        <v>4418</v>
      </c>
      <c r="R263" s="1" t="s">
        <v>4419</v>
      </c>
      <c r="S263" s="1" t="s">
        <v>4420</v>
      </c>
      <c r="T263" s="1" t="s">
        <v>185</v>
      </c>
      <c r="U263" s="1" t="s">
        <v>93</v>
      </c>
    </row>
    <row r="264" customFormat="false" ht="15" hidden="false" customHeight="true" outlineLevel="0" collapsed="false">
      <c r="A264" s="1" t="s">
        <v>933</v>
      </c>
      <c r="B264" s="1" t="s">
        <v>4421</v>
      </c>
      <c r="C264" s="1" t="s">
        <v>4422</v>
      </c>
      <c r="D264" s="1" t="s">
        <v>666</v>
      </c>
      <c r="E264" s="1" t="s">
        <v>77</v>
      </c>
      <c r="F264" s="1" t="s">
        <v>58</v>
      </c>
      <c r="G264" s="1" t="s">
        <v>42</v>
      </c>
      <c r="H264" s="1" t="s">
        <v>384</v>
      </c>
      <c r="I264" s="1" t="s">
        <v>385</v>
      </c>
      <c r="J264" s="1" t="s">
        <v>99</v>
      </c>
      <c r="K264" s="1" t="s">
        <v>201</v>
      </c>
      <c r="L264" s="1" t="s">
        <v>934</v>
      </c>
      <c r="M264" s="1" t="s">
        <v>65</v>
      </c>
      <c r="N264" s="1" t="s">
        <v>2937</v>
      </c>
      <c r="O264" s="1" t="s">
        <v>4423</v>
      </c>
      <c r="P264" s="1" t="s">
        <v>66</v>
      </c>
      <c r="Q264" s="1" t="s">
        <v>4424</v>
      </c>
      <c r="R264" s="1" t="s">
        <v>4425</v>
      </c>
      <c r="S264" s="1" t="s">
        <v>4426</v>
      </c>
      <c r="T264" s="1" t="s">
        <v>138</v>
      </c>
      <c r="U264" s="1" t="s">
        <v>130</v>
      </c>
    </row>
    <row r="265" customFormat="false" ht="15" hidden="false" customHeight="true" outlineLevel="0" collapsed="false">
      <c r="A265" s="1" t="s">
        <v>935</v>
      </c>
      <c r="B265" s="1" t="s">
        <v>4427</v>
      </c>
      <c r="C265" s="1" t="s">
        <v>3918</v>
      </c>
      <c r="D265" s="1" t="s">
        <v>936</v>
      </c>
      <c r="E265" s="1" t="s">
        <v>168</v>
      </c>
      <c r="F265" s="1" t="s">
        <v>58</v>
      </c>
      <c r="G265" s="1" t="s">
        <v>42</v>
      </c>
      <c r="H265" s="1" t="s">
        <v>384</v>
      </c>
      <c r="I265" s="1" t="s">
        <v>385</v>
      </c>
      <c r="J265" s="1" t="s">
        <v>46</v>
      </c>
      <c r="K265" s="1" t="s">
        <v>183</v>
      </c>
      <c r="L265" s="1" t="s">
        <v>937</v>
      </c>
      <c r="M265" s="1" t="s">
        <v>49</v>
      </c>
      <c r="N265" s="1" t="s">
        <v>2899</v>
      </c>
      <c r="O265" s="1" t="s">
        <v>4428</v>
      </c>
      <c r="P265" s="1" t="s">
        <v>203</v>
      </c>
      <c r="Q265" s="1" t="s">
        <v>4429</v>
      </c>
      <c r="R265" s="1" t="s">
        <v>4430</v>
      </c>
      <c r="S265" s="1" t="s">
        <v>4431</v>
      </c>
      <c r="T265" s="1" t="s">
        <v>138</v>
      </c>
      <c r="U265" s="1" t="s">
        <v>130</v>
      </c>
    </row>
    <row r="266" customFormat="false" ht="15" hidden="false" customHeight="true" outlineLevel="0" collapsed="false">
      <c r="A266" s="1" t="s">
        <v>938</v>
      </c>
      <c r="B266" s="1" t="s">
        <v>4432</v>
      </c>
      <c r="C266" s="1" t="s">
        <v>4433</v>
      </c>
      <c r="D266" s="1" t="s">
        <v>939</v>
      </c>
      <c r="E266" s="1" t="s">
        <v>192</v>
      </c>
      <c r="F266" s="1" t="s">
        <v>58</v>
      </c>
      <c r="G266" s="1" t="s">
        <v>59</v>
      </c>
      <c r="H266" s="1" t="s">
        <v>174</v>
      </c>
      <c r="I266" s="1" t="s">
        <v>175</v>
      </c>
      <c r="J266" s="1" t="s">
        <v>99</v>
      </c>
      <c r="K266" s="1" t="s">
        <v>105</v>
      </c>
      <c r="L266" s="1" t="s">
        <v>940</v>
      </c>
      <c r="M266" s="1" t="s">
        <v>83</v>
      </c>
      <c r="N266" s="1" t="s">
        <v>2937</v>
      </c>
      <c r="O266" s="1" t="s">
        <v>4434</v>
      </c>
      <c r="P266" s="1" t="s">
        <v>66</v>
      </c>
      <c r="Q266" s="1" t="s">
        <v>4435</v>
      </c>
      <c r="R266" s="1" t="s">
        <v>4436</v>
      </c>
      <c r="S266" s="1" t="s">
        <v>4437</v>
      </c>
      <c r="T266" s="1" t="s">
        <v>52</v>
      </c>
      <c r="U266" s="1" t="s">
        <v>53</v>
      </c>
    </row>
    <row r="267" customFormat="false" ht="15" hidden="false" customHeight="true" outlineLevel="0" collapsed="false">
      <c r="A267" s="1" t="s">
        <v>941</v>
      </c>
      <c r="B267" s="1" t="s">
        <v>4438</v>
      </c>
      <c r="C267" s="1" t="s">
        <v>3878</v>
      </c>
      <c r="D267" s="1" t="s">
        <v>942</v>
      </c>
      <c r="E267" s="1" t="s">
        <v>141</v>
      </c>
      <c r="F267" s="1" t="s">
        <v>116</v>
      </c>
      <c r="G267" s="1" t="s">
        <v>59</v>
      </c>
      <c r="H267" s="1" t="s">
        <v>174</v>
      </c>
      <c r="I267" s="1" t="s">
        <v>175</v>
      </c>
      <c r="J267" s="1" t="s">
        <v>62</v>
      </c>
      <c r="K267" s="1" t="s">
        <v>188</v>
      </c>
      <c r="L267" s="1" t="s">
        <v>943</v>
      </c>
      <c r="M267" s="1" t="s">
        <v>65</v>
      </c>
      <c r="N267" s="1" t="s">
        <v>2836</v>
      </c>
      <c r="O267" s="1" t="s">
        <v>4439</v>
      </c>
      <c r="P267" s="1" t="s">
        <v>107</v>
      </c>
      <c r="Q267" s="1" t="s">
        <v>4440</v>
      </c>
      <c r="R267" s="1" t="s">
        <v>4441</v>
      </c>
      <c r="S267" s="1" t="s">
        <v>4442</v>
      </c>
      <c r="T267" s="1" t="s">
        <v>129</v>
      </c>
      <c r="U267" s="1" t="s">
        <v>93</v>
      </c>
    </row>
    <row r="268" customFormat="false" ht="15" hidden="false" customHeight="true" outlineLevel="0" collapsed="false">
      <c r="A268" s="1" t="s">
        <v>944</v>
      </c>
      <c r="B268" s="1" t="s">
        <v>4443</v>
      </c>
      <c r="C268" s="1" t="s">
        <v>4444</v>
      </c>
      <c r="D268" s="1" t="s">
        <v>945</v>
      </c>
      <c r="E268" s="1" t="s">
        <v>104</v>
      </c>
      <c r="F268" s="1" t="s">
        <v>121</v>
      </c>
      <c r="G268" s="1" t="s">
        <v>88</v>
      </c>
      <c r="H268" s="1" t="s">
        <v>89</v>
      </c>
      <c r="I268" s="1" t="s">
        <v>90</v>
      </c>
      <c r="J268" s="1" t="s">
        <v>46</v>
      </c>
      <c r="K268" s="1" t="s">
        <v>151</v>
      </c>
      <c r="L268" s="1" t="s">
        <v>946</v>
      </c>
      <c r="M268" s="1" t="s">
        <v>49</v>
      </c>
      <c r="N268" s="1" t="s">
        <v>2822</v>
      </c>
      <c r="O268" s="1" t="s">
        <v>4445</v>
      </c>
      <c r="P268" s="1" t="s">
        <v>66</v>
      </c>
      <c r="Q268" s="1" t="s">
        <v>4446</v>
      </c>
      <c r="R268" s="1" t="s">
        <v>4447</v>
      </c>
      <c r="S268" s="1" t="s">
        <v>4448</v>
      </c>
      <c r="T268" s="1" t="s">
        <v>52</v>
      </c>
      <c r="U268" s="1" t="s">
        <v>53</v>
      </c>
    </row>
    <row r="269" customFormat="false" ht="15" hidden="false" customHeight="true" outlineLevel="0" collapsed="false">
      <c r="A269" s="1" t="s">
        <v>947</v>
      </c>
      <c r="B269" s="1" t="s">
        <v>4009</v>
      </c>
      <c r="C269" s="1" t="s">
        <v>4449</v>
      </c>
      <c r="D269" s="1" t="s">
        <v>948</v>
      </c>
      <c r="E269" s="1" t="s">
        <v>192</v>
      </c>
      <c r="F269" s="1" t="s">
        <v>116</v>
      </c>
      <c r="G269" s="1" t="s">
        <v>59</v>
      </c>
      <c r="H269" s="1" t="s">
        <v>262</v>
      </c>
      <c r="I269" s="1" t="s">
        <v>263</v>
      </c>
      <c r="J269" s="1" t="s">
        <v>62</v>
      </c>
      <c r="K269" s="1" t="s">
        <v>81</v>
      </c>
      <c r="L269" s="1" t="s">
        <v>949</v>
      </c>
      <c r="M269" s="1" t="s">
        <v>72</v>
      </c>
      <c r="N269" s="1" t="s">
        <v>2937</v>
      </c>
      <c r="O269" s="1" t="s">
        <v>4450</v>
      </c>
      <c r="P269" s="1" t="s">
        <v>84</v>
      </c>
      <c r="Q269" s="1" t="s">
        <v>4451</v>
      </c>
      <c r="R269" s="1" t="s">
        <v>4452</v>
      </c>
      <c r="S269" s="1" t="s">
        <v>4453</v>
      </c>
      <c r="T269" s="1" t="s">
        <v>52</v>
      </c>
      <c r="U269" s="1" t="s">
        <v>53</v>
      </c>
    </row>
    <row r="270" customFormat="false" ht="15" hidden="false" customHeight="true" outlineLevel="0" collapsed="false">
      <c r="A270" s="1" t="s">
        <v>950</v>
      </c>
      <c r="B270" s="1" t="s">
        <v>4454</v>
      </c>
      <c r="C270" s="1" t="s">
        <v>4454</v>
      </c>
      <c r="D270" s="1" t="s">
        <v>951</v>
      </c>
      <c r="E270" s="1" t="s">
        <v>155</v>
      </c>
      <c r="F270" s="1" t="s">
        <v>121</v>
      </c>
      <c r="G270" s="1" t="s">
        <v>42</v>
      </c>
      <c r="H270" s="1" t="s">
        <v>149</v>
      </c>
      <c r="I270" s="1" t="s">
        <v>150</v>
      </c>
      <c r="J270" s="1" t="s">
        <v>99</v>
      </c>
      <c r="K270" s="1" t="s">
        <v>100</v>
      </c>
      <c r="L270" s="1" t="s">
        <v>952</v>
      </c>
      <c r="M270" s="1" t="s">
        <v>72</v>
      </c>
      <c r="N270" s="1" t="s">
        <v>2906</v>
      </c>
      <c r="O270" s="1" t="s">
        <v>4455</v>
      </c>
      <c r="P270" s="1" t="s">
        <v>84</v>
      </c>
      <c r="Q270" s="1" t="s">
        <v>4456</v>
      </c>
      <c r="R270" s="1" t="s">
        <v>4457</v>
      </c>
      <c r="S270" s="1" t="s">
        <v>4458</v>
      </c>
      <c r="T270" s="1" t="s">
        <v>52</v>
      </c>
      <c r="U270" s="1" t="s">
        <v>53</v>
      </c>
    </row>
    <row r="271" customFormat="false" ht="15" hidden="false" customHeight="true" outlineLevel="0" collapsed="false">
      <c r="A271" s="1" t="s">
        <v>953</v>
      </c>
      <c r="B271" s="1" t="s">
        <v>4382</v>
      </c>
      <c r="C271" s="1" t="s">
        <v>4459</v>
      </c>
      <c r="D271" s="1" t="s">
        <v>954</v>
      </c>
      <c r="E271" s="1" t="s">
        <v>145</v>
      </c>
      <c r="F271" s="1" t="s">
        <v>58</v>
      </c>
      <c r="G271" s="1" t="s">
        <v>88</v>
      </c>
      <c r="H271" s="1" t="s">
        <v>44</v>
      </c>
      <c r="I271" s="1" t="s">
        <v>136</v>
      </c>
      <c r="J271" s="1" t="s">
        <v>62</v>
      </c>
      <c r="K271" s="1" t="s">
        <v>63</v>
      </c>
      <c r="L271" s="1" t="s">
        <v>955</v>
      </c>
      <c r="M271" s="1" t="s">
        <v>65</v>
      </c>
      <c r="N271" s="1" t="s">
        <v>2836</v>
      </c>
      <c r="O271" s="1" t="s">
        <v>4460</v>
      </c>
      <c r="P271" s="1" t="s">
        <v>66</v>
      </c>
      <c r="Q271" s="1" t="s">
        <v>4460</v>
      </c>
      <c r="R271" s="1" t="s">
        <v>4461</v>
      </c>
      <c r="S271" s="1" t="s">
        <v>4462</v>
      </c>
      <c r="T271" s="1" t="s">
        <v>52</v>
      </c>
      <c r="U271" s="1" t="s">
        <v>53</v>
      </c>
    </row>
    <row r="272" customFormat="false" ht="15" hidden="false" customHeight="true" outlineLevel="0" collapsed="false">
      <c r="A272" s="1" t="s">
        <v>956</v>
      </c>
      <c r="B272" s="1" t="s">
        <v>4295</v>
      </c>
      <c r="C272" s="1" t="s">
        <v>3477</v>
      </c>
      <c r="D272" s="1" t="s">
        <v>957</v>
      </c>
      <c r="E272" s="1" t="s">
        <v>115</v>
      </c>
      <c r="F272" s="1" t="s">
        <v>116</v>
      </c>
      <c r="G272" s="1" t="s">
        <v>42</v>
      </c>
      <c r="H272" s="1" t="s">
        <v>163</v>
      </c>
      <c r="I272" s="1" t="s">
        <v>164</v>
      </c>
      <c r="J272" s="1" t="s">
        <v>99</v>
      </c>
      <c r="K272" s="1" t="s">
        <v>308</v>
      </c>
      <c r="L272" s="1" t="s">
        <v>958</v>
      </c>
      <c r="M272" s="1" t="s">
        <v>65</v>
      </c>
      <c r="N272" s="1" t="s">
        <v>2822</v>
      </c>
      <c r="O272" s="1" t="s">
        <v>4463</v>
      </c>
      <c r="P272" s="1" t="s">
        <v>66</v>
      </c>
      <c r="Q272" s="1" t="s">
        <v>4464</v>
      </c>
      <c r="R272" s="1" t="s">
        <v>4465</v>
      </c>
      <c r="S272" s="1" t="s">
        <v>4466</v>
      </c>
      <c r="T272" s="1" t="s">
        <v>52</v>
      </c>
      <c r="U272" s="1" t="s">
        <v>53</v>
      </c>
    </row>
    <row r="273" customFormat="false" ht="15" hidden="false" customHeight="true" outlineLevel="0" collapsed="false">
      <c r="A273" s="1" t="s">
        <v>959</v>
      </c>
      <c r="B273" s="1" t="s">
        <v>4467</v>
      </c>
      <c r="C273" s="1" t="s">
        <v>4468</v>
      </c>
      <c r="D273" s="1" t="s">
        <v>960</v>
      </c>
      <c r="E273" s="1" t="s">
        <v>115</v>
      </c>
      <c r="F273" s="1" t="s">
        <v>41</v>
      </c>
      <c r="G273" s="1" t="s">
        <v>78</v>
      </c>
      <c r="H273" s="1" t="s">
        <v>79</v>
      </c>
      <c r="I273" s="1" t="s">
        <v>80</v>
      </c>
      <c r="J273" s="1" t="s">
        <v>46</v>
      </c>
      <c r="K273" s="1" t="s">
        <v>183</v>
      </c>
      <c r="L273" s="1" t="s">
        <v>961</v>
      </c>
      <c r="M273" s="1" t="s">
        <v>83</v>
      </c>
      <c r="N273" s="1" t="s">
        <v>2906</v>
      </c>
      <c r="O273" s="1" t="s">
        <v>4469</v>
      </c>
      <c r="P273" s="1" t="s">
        <v>66</v>
      </c>
      <c r="Q273" s="1" t="s">
        <v>4470</v>
      </c>
      <c r="R273" s="1" t="s">
        <v>4471</v>
      </c>
      <c r="S273" s="1" t="s">
        <v>4472</v>
      </c>
      <c r="T273" s="1" t="s">
        <v>185</v>
      </c>
      <c r="U273" s="1" t="s">
        <v>93</v>
      </c>
    </row>
    <row r="274" customFormat="false" ht="15" hidden="false" customHeight="true" outlineLevel="0" collapsed="false">
      <c r="A274" s="1" t="s">
        <v>962</v>
      </c>
      <c r="B274" s="1" t="s">
        <v>4473</v>
      </c>
      <c r="C274" s="1" t="s">
        <v>4474</v>
      </c>
      <c r="D274" s="1" t="s">
        <v>963</v>
      </c>
      <c r="E274" s="1" t="s">
        <v>77</v>
      </c>
      <c r="F274" s="1" t="s">
        <v>41</v>
      </c>
      <c r="G274" s="1" t="s">
        <v>78</v>
      </c>
      <c r="H274" s="1" t="s">
        <v>110</v>
      </c>
      <c r="I274" s="1" t="s">
        <v>111</v>
      </c>
      <c r="J274" s="1" t="s">
        <v>62</v>
      </c>
      <c r="K274" s="1" t="s">
        <v>91</v>
      </c>
      <c r="L274" s="1" t="s">
        <v>964</v>
      </c>
      <c r="M274" s="1" t="s">
        <v>72</v>
      </c>
      <c r="N274" s="1" t="s">
        <v>2906</v>
      </c>
      <c r="O274" s="1" t="s">
        <v>4475</v>
      </c>
      <c r="P274" s="1" t="s">
        <v>203</v>
      </c>
      <c r="Q274" s="1" t="s">
        <v>4476</v>
      </c>
      <c r="R274" s="1" t="s">
        <v>4477</v>
      </c>
      <c r="S274" s="1" t="s">
        <v>4478</v>
      </c>
      <c r="T274" s="1" t="s">
        <v>52</v>
      </c>
      <c r="U274" s="1" t="s">
        <v>53</v>
      </c>
    </row>
    <row r="275" customFormat="false" ht="15" hidden="false" customHeight="true" outlineLevel="0" collapsed="false">
      <c r="A275" s="1" t="s">
        <v>965</v>
      </c>
      <c r="B275" s="1" t="s">
        <v>4479</v>
      </c>
      <c r="C275" s="1" t="s">
        <v>4480</v>
      </c>
      <c r="D275" s="1" t="s">
        <v>966</v>
      </c>
      <c r="E275" s="1" t="s">
        <v>69</v>
      </c>
      <c r="F275" s="1" t="s">
        <v>41</v>
      </c>
      <c r="G275" s="1" t="s">
        <v>59</v>
      </c>
      <c r="H275" s="1" t="s">
        <v>174</v>
      </c>
      <c r="I275" s="1" t="s">
        <v>175</v>
      </c>
      <c r="J275" s="1" t="s">
        <v>46</v>
      </c>
      <c r="K275" s="1" t="s">
        <v>47</v>
      </c>
      <c r="L275" s="1" t="s">
        <v>967</v>
      </c>
      <c r="M275" s="1" t="s">
        <v>49</v>
      </c>
      <c r="N275" s="1" t="s">
        <v>2899</v>
      </c>
      <c r="O275" s="1" t="s">
        <v>4481</v>
      </c>
      <c r="P275" s="1" t="s">
        <v>66</v>
      </c>
      <c r="Q275" s="1" t="s">
        <v>4482</v>
      </c>
      <c r="R275" s="1" t="s">
        <v>4483</v>
      </c>
      <c r="S275" s="1" t="s">
        <v>4484</v>
      </c>
      <c r="T275" s="1" t="s">
        <v>52</v>
      </c>
      <c r="U275" s="1" t="s">
        <v>130</v>
      </c>
    </row>
    <row r="276" customFormat="false" ht="15" hidden="false" customHeight="true" outlineLevel="0" collapsed="false">
      <c r="A276" s="1" t="s">
        <v>968</v>
      </c>
      <c r="B276" s="1" t="s">
        <v>4485</v>
      </c>
      <c r="C276" s="1" t="s">
        <v>4486</v>
      </c>
      <c r="D276" s="1" t="s">
        <v>969</v>
      </c>
      <c r="E276" s="1" t="s">
        <v>168</v>
      </c>
      <c r="F276" s="1" t="s">
        <v>41</v>
      </c>
      <c r="G276" s="1" t="s">
        <v>78</v>
      </c>
      <c r="H276" s="1" t="s">
        <v>216</v>
      </c>
      <c r="I276" s="1" t="s">
        <v>217</v>
      </c>
      <c r="J276" s="1" t="s">
        <v>99</v>
      </c>
      <c r="K276" s="1" t="s">
        <v>105</v>
      </c>
      <c r="L276" s="1" t="s">
        <v>970</v>
      </c>
      <c r="M276" s="1" t="s">
        <v>83</v>
      </c>
      <c r="N276" s="1" t="s">
        <v>2815</v>
      </c>
      <c r="O276" s="1" t="s">
        <v>4487</v>
      </c>
      <c r="P276" s="1" t="s">
        <v>107</v>
      </c>
      <c r="Q276" s="1" t="s">
        <v>4488</v>
      </c>
      <c r="R276" s="1" t="s">
        <v>4489</v>
      </c>
      <c r="S276" s="1" t="s">
        <v>4490</v>
      </c>
      <c r="T276" s="1" t="s">
        <v>185</v>
      </c>
      <c r="U276" s="1" t="s">
        <v>130</v>
      </c>
    </row>
    <row r="277" customFormat="false" ht="15" hidden="false" customHeight="true" outlineLevel="0" collapsed="false">
      <c r="A277" s="1" t="s">
        <v>971</v>
      </c>
      <c r="B277" s="1" t="s">
        <v>3616</v>
      </c>
      <c r="C277" s="1" t="s">
        <v>4491</v>
      </c>
      <c r="D277" s="1" t="s">
        <v>972</v>
      </c>
      <c r="E277" s="1" t="s">
        <v>141</v>
      </c>
      <c r="F277" s="1" t="s">
        <v>58</v>
      </c>
      <c r="G277" s="1" t="s">
        <v>59</v>
      </c>
      <c r="H277" s="1" t="s">
        <v>125</v>
      </c>
      <c r="I277" s="1" t="s">
        <v>126</v>
      </c>
      <c r="J277" s="1" t="s">
        <v>62</v>
      </c>
      <c r="K277" s="1" t="s">
        <v>81</v>
      </c>
      <c r="L277" s="1" t="s">
        <v>973</v>
      </c>
      <c r="M277" s="1" t="s">
        <v>65</v>
      </c>
      <c r="N277" s="1" t="s">
        <v>2836</v>
      </c>
      <c r="O277" s="1" t="s">
        <v>4492</v>
      </c>
      <c r="P277" s="1" t="s">
        <v>66</v>
      </c>
      <c r="Q277" s="1" t="s">
        <v>4492</v>
      </c>
      <c r="R277" s="1" t="s">
        <v>4493</v>
      </c>
      <c r="S277" s="1" t="s">
        <v>4494</v>
      </c>
      <c r="T277" s="1" t="s">
        <v>52</v>
      </c>
      <c r="U277" s="1" t="s">
        <v>53</v>
      </c>
    </row>
    <row r="278" customFormat="false" ht="15" hidden="false" customHeight="true" outlineLevel="0" collapsed="false">
      <c r="A278" s="1" t="s">
        <v>974</v>
      </c>
      <c r="B278" s="1" t="s">
        <v>2841</v>
      </c>
      <c r="C278" s="1" t="s">
        <v>2842</v>
      </c>
      <c r="D278" s="1" t="s">
        <v>975</v>
      </c>
      <c r="E278" s="1" t="s">
        <v>155</v>
      </c>
      <c r="F278" s="1" t="s">
        <v>58</v>
      </c>
      <c r="H278" s="1" t="s">
        <v>196</v>
      </c>
      <c r="I278" s="1" t="s">
        <v>197</v>
      </c>
      <c r="J278" s="1" t="s">
        <v>62</v>
      </c>
      <c r="K278" s="1" t="s">
        <v>91</v>
      </c>
      <c r="L278" s="1" t="s">
        <v>976</v>
      </c>
      <c r="M278" s="1" t="s">
        <v>49</v>
      </c>
      <c r="N278" s="1" t="s">
        <v>2815</v>
      </c>
      <c r="O278" s="1" t="s">
        <v>2843</v>
      </c>
      <c r="P278" s="1" t="s">
        <v>977</v>
      </c>
      <c r="Q278" s="1" t="s">
        <v>2844</v>
      </c>
      <c r="R278" s="1" t="s">
        <v>2845</v>
      </c>
      <c r="S278" s="1" t="s">
        <v>2846</v>
      </c>
      <c r="T278" s="1" t="s">
        <v>52</v>
      </c>
      <c r="U278" s="1" t="s">
        <v>53</v>
      </c>
    </row>
    <row r="279" customFormat="false" ht="15" hidden="false" customHeight="true" outlineLevel="0" collapsed="false">
      <c r="A279" s="1" t="s">
        <v>978</v>
      </c>
      <c r="B279" s="1" t="s">
        <v>4495</v>
      </c>
      <c r="C279" s="1" t="s">
        <v>4495</v>
      </c>
      <c r="D279" s="1" t="s">
        <v>829</v>
      </c>
      <c r="E279" s="1" t="s">
        <v>69</v>
      </c>
      <c r="F279" s="1" t="s">
        <v>116</v>
      </c>
      <c r="G279" s="1" t="s">
        <v>42</v>
      </c>
      <c r="H279" s="1" t="s">
        <v>270</v>
      </c>
      <c r="I279" s="1" t="s">
        <v>271</v>
      </c>
      <c r="J279" s="1" t="s">
        <v>99</v>
      </c>
      <c r="K279" s="1" t="s">
        <v>100</v>
      </c>
      <c r="L279" s="1" t="s">
        <v>979</v>
      </c>
      <c r="M279" s="1" t="s">
        <v>49</v>
      </c>
      <c r="N279" s="1" t="s">
        <v>2836</v>
      </c>
      <c r="O279" s="1" t="s">
        <v>4496</v>
      </c>
      <c r="P279" s="1" t="s">
        <v>107</v>
      </c>
      <c r="Q279" s="1" t="s">
        <v>4497</v>
      </c>
      <c r="R279" s="1" t="s">
        <v>4498</v>
      </c>
      <c r="S279" s="1" t="s">
        <v>4499</v>
      </c>
      <c r="T279" s="1" t="s">
        <v>138</v>
      </c>
      <c r="U279" s="1" t="s">
        <v>93</v>
      </c>
    </row>
    <row r="280" customFormat="false" ht="15" hidden="false" customHeight="true" outlineLevel="0" collapsed="false">
      <c r="A280" s="1" t="s">
        <v>980</v>
      </c>
      <c r="B280" s="1" t="s">
        <v>3728</v>
      </c>
      <c r="C280" s="1" t="s">
        <v>4500</v>
      </c>
      <c r="D280" s="1" t="s">
        <v>981</v>
      </c>
      <c r="E280" s="1" t="s">
        <v>141</v>
      </c>
      <c r="F280" s="1" t="s">
        <v>58</v>
      </c>
      <c r="G280" s="1" t="s">
        <v>42</v>
      </c>
      <c r="H280" s="1" t="s">
        <v>384</v>
      </c>
      <c r="I280" s="1" t="s">
        <v>385</v>
      </c>
      <c r="J280" s="1" t="s">
        <v>99</v>
      </c>
      <c r="K280" s="1" t="s">
        <v>100</v>
      </c>
      <c r="L280" s="1" t="s">
        <v>982</v>
      </c>
      <c r="M280" s="1" t="s">
        <v>65</v>
      </c>
      <c r="N280" s="1" t="s">
        <v>2836</v>
      </c>
      <c r="O280" s="1" t="s">
        <v>4501</v>
      </c>
      <c r="P280" s="1" t="s">
        <v>128</v>
      </c>
      <c r="Q280" s="1" t="s">
        <v>4502</v>
      </c>
      <c r="R280" s="1" t="s">
        <v>4503</v>
      </c>
      <c r="S280" s="1" t="s">
        <v>4504</v>
      </c>
      <c r="T280" s="1" t="s">
        <v>52</v>
      </c>
      <c r="U280" s="1" t="s">
        <v>130</v>
      </c>
    </row>
    <row r="281" customFormat="false" ht="15" hidden="false" customHeight="true" outlineLevel="0" collapsed="false">
      <c r="A281" s="1" t="s">
        <v>983</v>
      </c>
      <c r="B281" s="1" t="s">
        <v>4505</v>
      </c>
      <c r="C281" s="1" t="s">
        <v>4506</v>
      </c>
      <c r="D281" s="1" t="s">
        <v>984</v>
      </c>
      <c r="E281" s="1" t="s">
        <v>168</v>
      </c>
      <c r="F281" s="1" t="s">
        <v>58</v>
      </c>
      <c r="G281" s="1" t="s">
        <v>88</v>
      </c>
      <c r="H281" s="1" t="s">
        <v>89</v>
      </c>
      <c r="I281" s="1" t="s">
        <v>90</v>
      </c>
      <c r="J281" s="1" t="s">
        <v>46</v>
      </c>
      <c r="K281" s="1" t="s">
        <v>151</v>
      </c>
      <c r="L281" s="1" t="s">
        <v>985</v>
      </c>
      <c r="M281" s="1" t="s">
        <v>72</v>
      </c>
      <c r="N281" s="1" t="s">
        <v>2836</v>
      </c>
      <c r="O281" s="1" t="s">
        <v>4507</v>
      </c>
      <c r="P281" s="1" t="s">
        <v>128</v>
      </c>
      <c r="Q281" s="1" t="s">
        <v>4508</v>
      </c>
      <c r="R281" s="1" t="s">
        <v>4509</v>
      </c>
      <c r="S281" s="1" t="s">
        <v>4510</v>
      </c>
      <c r="T281" s="1" t="s">
        <v>52</v>
      </c>
      <c r="U281" s="1" t="s">
        <v>53</v>
      </c>
    </row>
    <row r="282" customFormat="false" ht="15" hidden="false" customHeight="true" outlineLevel="0" collapsed="false">
      <c r="A282" s="1" t="s">
        <v>986</v>
      </c>
      <c r="B282" s="1" t="s">
        <v>2897</v>
      </c>
      <c r="C282" s="1" t="s">
        <v>2898</v>
      </c>
      <c r="D282" s="1" t="s">
        <v>987</v>
      </c>
      <c r="E282" s="1" t="s">
        <v>115</v>
      </c>
      <c r="F282" s="1" t="s">
        <v>41</v>
      </c>
      <c r="G282" s="1" t="s">
        <v>78</v>
      </c>
      <c r="H282" s="1" t="s">
        <v>206</v>
      </c>
      <c r="I282" s="1" t="s">
        <v>207</v>
      </c>
      <c r="J282" s="1" t="s">
        <v>99</v>
      </c>
      <c r="K282" s="1" t="s">
        <v>105</v>
      </c>
      <c r="L282" s="1" t="s">
        <v>988</v>
      </c>
      <c r="M282" s="1" t="s">
        <v>83</v>
      </c>
      <c r="N282" s="1" t="s">
        <v>2899</v>
      </c>
      <c r="O282" s="1" t="s">
        <v>2900</v>
      </c>
      <c r="P282" s="1" t="s">
        <v>66</v>
      </c>
      <c r="Q282" s="1" t="s">
        <v>2901</v>
      </c>
      <c r="R282" s="1" t="s">
        <v>2902</v>
      </c>
      <c r="S282" s="1" t="s">
        <v>2903</v>
      </c>
      <c r="T282" s="1" t="s">
        <v>52</v>
      </c>
      <c r="U282" s="1" t="s">
        <v>53</v>
      </c>
    </row>
    <row r="283" customFormat="false" ht="15" hidden="false" customHeight="true" outlineLevel="0" collapsed="false">
      <c r="A283" s="1" t="s">
        <v>989</v>
      </c>
      <c r="B283" s="1" t="s">
        <v>4511</v>
      </c>
      <c r="C283" s="1" t="s">
        <v>4512</v>
      </c>
      <c r="D283" s="1" t="s">
        <v>990</v>
      </c>
      <c r="E283" s="1" t="s">
        <v>298</v>
      </c>
      <c r="F283" s="1" t="s">
        <v>41</v>
      </c>
      <c r="G283" s="1" t="s">
        <v>59</v>
      </c>
      <c r="H283" s="1" t="s">
        <v>262</v>
      </c>
      <c r="I283" s="1" t="s">
        <v>263</v>
      </c>
      <c r="J283" s="1" t="s">
        <v>46</v>
      </c>
      <c r="K283" s="1" t="s">
        <v>183</v>
      </c>
      <c r="L283" s="1" t="s">
        <v>991</v>
      </c>
      <c r="M283" s="1" t="s">
        <v>49</v>
      </c>
      <c r="N283" s="1" t="s">
        <v>2815</v>
      </c>
      <c r="O283" s="1" t="s">
        <v>4513</v>
      </c>
      <c r="P283" s="1" t="s">
        <v>50</v>
      </c>
      <c r="Q283" s="1" t="s">
        <v>4514</v>
      </c>
      <c r="R283" s="1" t="s">
        <v>4515</v>
      </c>
      <c r="S283" s="1" t="s">
        <v>4516</v>
      </c>
      <c r="T283" s="1" t="s">
        <v>52</v>
      </c>
      <c r="U283" s="1" t="s">
        <v>53</v>
      </c>
    </row>
    <row r="284" customFormat="false" ht="15" hidden="false" customHeight="true" outlineLevel="0" collapsed="false">
      <c r="A284" s="1" t="s">
        <v>992</v>
      </c>
      <c r="B284" s="1" t="s">
        <v>4517</v>
      </c>
      <c r="C284" s="1" t="s">
        <v>4518</v>
      </c>
      <c r="D284" s="1" t="s">
        <v>993</v>
      </c>
      <c r="E284" s="1" t="s">
        <v>40</v>
      </c>
      <c r="F284" s="1" t="s">
        <v>121</v>
      </c>
      <c r="G284" s="1" t="s">
        <v>59</v>
      </c>
      <c r="H284" s="1" t="s">
        <v>196</v>
      </c>
      <c r="I284" s="1" t="s">
        <v>197</v>
      </c>
      <c r="J284" s="1" t="s">
        <v>62</v>
      </c>
      <c r="K284" s="1" t="s">
        <v>63</v>
      </c>
      <c r="L284" s="1" t="s">
        <v>994</v>
      </c>
      <c r="M284" s="1" t="s">
        <v>49</v>
      </c>
      <c r="N284" s="1" t="s">
        <v>2868</v>
      </c>
      <c r="O284" s="1" t="s">
        <v>4519</v>
      </c>
      <c r="P284" s="1" t="s">
        <v>66</v>
      </c>
      <c r="Q284" s="1" t="s">
        <v>4520</v>
      </c>
      <c r="R284" s="1" t="s">
        <v>4521</v>
      </c>
      <c r="S284" s="1" t="s">
        <v>4522</v>
      </c>
      <c r="T284" s="1" t="s">
        <v>52</v>
      </c>
      <c r="U284" s="1" t="s">
        <v>53</v>
      </c>
    </row>
    <row r="285" customFormat="false" ht="15" hidden="false" customHeight="true" outlineLevel="0" collapsed="false">
      <c r="A285" s="1" t="s">
        <v>995</v>
      </c>
      <c r="B285" s="1" t="s">
        <v>4523</v>
      </c>
      <c r="C285" s="1" t="s">
        <v>4524</v>
      </c>
      <c r="D285" s="1" t="s">
        <v>996</v>
      </c>
      <c r="E285" s="1" t="s">
        <v>96</v>
      </c>
      <c r="F285" s="1" t="s">
        <v>41</v>
      </c>
      <c r="G285" s="1" t="s">
        <v>88</v>
      </c>
      <c r="H285" s="1" t="s">
        <v>89</v>
      </c>
      <c r="I285" s="1" t="s">
        <v>90</v>
      </c>
      <c r="J285" s="1" t="s">
        <v>62</v>
      </c>
      <c r="K285" s="1" t="s">
        <v>81</v>
      </c>
      <c r="L285" s="1" t="s">
        <v>997</v>
      </c>
      <c r="M285" s="1" t="s">
        <v>72</v>
      </c>
      <c r="N285" s="1" t="s">
        <v>2836</v>
      </c>
      <c r="O285" s="1" t="s">
        <v>4525</v>
      </c>
      <c r="P285" s="1" t="s">
        <v>66</v>
      </c>
      <c r="Q285" s="1" t="s">
        <v>4525</v>
      </c>
      <c r="R285" s="1" t="s">
        <v>4526</v>
      </c>
      <c r="S285" s="1" t="s">
        <v>4527</v>
      </c>
      <c r="T285" s="1" t="s">
        <v>52</v>
      </c>
      <c r="U285" s="1" t="s">
        <v>53</v>
      </c>
    </row>
    <row r="286" customFormat="false" ht="15" hidden="false" customHeight="true" outlineLevel="0" collapsed="false">
      <c r="A286" s="1" t="s">
        <v>998</v>
      </c>
      <c r="B286" s="1" t="s">
        <v>4528</v>
      </c>
      <c r="C286" s="1" t="s">
        <v>4529</v>
      </c>
      <c r="D286" s="1" t="s">
        <v>999</v>
      </c>
      <c r="E286" s="1" t="s">
        <v>40</v>
      </c>
      <c r="F286" s="1" t="s">
        <v>41</v>
      </c>
      <c r="G286" s="1" t="s">
        <v>59</v>
      </c>
      <c r="H286" s="1" t="s">
        <v>60</v>
      </c>
      <c r="I286" s="1" t="s">
        <v>61</v>
      </c>
      <c r="J286" s="1" t="s">
        <v>62</v>
      </c>
      <c r="K286" s="1" t="s">
        <v>63</v>
      </c>
      <c r="L286" s="1" t="s">
        <v>1000</v>
      </c>
      <c r="M286" s="1" t="s">
        <v>65</v>
      </c>
      <c r="N286" s="1" t="s">
        <v>2822</v>
      </c>
      <c r="O286" s="1" t="s">
        <v>4530</v>
      </c>
      <c r="P286" s="1" t="s">
        <v>66</v>
      </c>
      <c r="Q286" s="1" t="s">
        <v>4531</v>
      </c>
      <c r="R286" s="1" t="s">
        <v>4532</v>
      </c>
      <c r="S286" s="1" t="s">
        <v>4533</v>
      </c>
      <c r="T286" s="1" t="s">
        <v>52</v>
      </c>
      <c r="U286" s="1" t="s">
        <v>130</v>
      </c>
    </row>
    <row r="287" customFormat="false" ht="15" hidden="false" customHeight="true" outlineLevel="0" collapsed="false">
      <c r="A287" s="1" t="s">
        <v>1001</v>
      </c>
      <c r="B287" s="1" t="s">
        <v>4534</v>
      </c>
      <c r="C287" s="1" t="s">
        <v>4535</v>
      </c>
      <c r="D287" s="1" t="s">
        <v>1002</v>
      </c>
      <c r="E287" s="1" t="s">
        <v>104</v>
      </c>
      <c r="F287" s="1" t="s">
        <v>121</v>
      </c>
      <c r="G287" s="1" t="s">
        <v>42</v>
      </c>
      <c r="H287" s="1" t="s">
        <v>44</v>
      </c>
      <c r="I287" s="1" t="s">
        <v>45</v>
      </c>
      <c r="J287" s="1" t="s">
        <v>46</v>
      </c>
      <c r="K287" s="1" t="s">
        <v>151</v>
      </c>
      <c r="L287" s="1" t="s">
        <v>1003</v>
      </c>
      <c r="M287" s="1" t="s">
        <v>83</v>
      </c>
      <c r="N287" s="1" t="s">
        <v>2899</v>
      </c>
      <c r="O287" s="1" t="s">
        <v>4536</v>
      </c>
      <c r="P287" s="1" t="s">
        <v>66</v>
      </c>
      <c r="Q287" s="1" t="s">
        <v>4537</v>
      </c>
      <c r="R287" s="1" t="s">
        <v>4538</v>
      </c>
      <c r="S287" s="1" t="s">
        <v>4539</v>
      </c>
      <c r="T287" s="1" t="s">
        <v>52</v>
      </c>
      <c r="U287" s="1" t="s">
        <v>53</v>
      </c>
    </row>
    <row r="288" customFormat="false" ht="15" hidden="false" customHeight="true" outlineLevel="0" collapsed="false">
      <c r="A288" s="1" t="s">
        <v>1004</v>
      </c>
      <c r="B288" s="1" t="s">
        <v>4540</v>
      </c>
      <c r="C288" s="1" t="s">
        <v>4541</v>
      </c>
      <c r="D288" s="1" t="s">
        <v>1005</v>
      </c>
      <c r="E288" s="1" t="s">
        <v>141</v>
      </c>
      <c r="F288" s="1" t="s">
        <v>58</v>
      </c>
      <c r="G288" s="1" t="s">
        <v>42</v>
      </c>
      <c r="H288" s="1" t="s">
        <v>384</v>
      </c>
      <c r="I288" s="1" t="s">
        <v>385</v>
      </c>
      <c r="J288" s="1" t="s">
        <v>62</v>
      </c>
      <c r="K288" s="1" t="s">
        <v>81</v>
      </c>
      <c r="L288" s="1" t="s">
        <v>1006</v>
      </c>
      <c r="M288" s="1" t="s">
        <v>72</v>
      </c>
      <c r="N288" s="1" t="s">
        <v>2906</v>
      </c>
      <c r="O288" s="1" t="s">
        <v>4542</v>
      </c>
      <c r="P288" s="1" t="s">
        <v>203</v>
      </c>
      <c r="Q288" s="1" t="s">
        <v>4543</v>
      </c>
      <c r="R288" s="1" t="s">
        <v>4544</v>
      </c>
      <c r="S288" s="1" t="s">
        <v>4545</v>
      </c>
      <c r="T288" s="1" t="s">
        <v>138</v>
      </c>
      <c r="U288" s="1" t="s">
        <v>130</v>
      </c>
    </row>
    <row r="289" customFormat="false" ht="15" hidden="false" customHeight="true" outlineLevel="0" collapsed="false">
      <c r="A289" s="1" t="s">
        <v>1007</v>
      </c>
      <c r="B289" s="1" t="s">
        <v>4546</v>
      </c>
      <c r="C289" s="1" t="s">
        <v>4547</v>
      </c>
      <c r="D289" s="1" t="s">
        <v>1008</v>
      </c>
      <c r="E289" s="1" t="s">
        <v>104</v>
      </c>
      <c r="F289" s="1" t="s">
        <v>58</v>
      </c>
      <c r="G289" s="1" t="s">
        <v>78</v>
      </c>
      <c r="H289" s="1" t="s">
        <v>281</v>
      </c>
      <c r="I289" s="1" t="s">
        <v>282</v>
      </c>
      <c r="J289" s="1" t="s">
        <v>99</v>
      </c>
      <c r="K289" s="1" t="s">
        <v>105</v>
      </c>
      <c r="L289" s="1" t="s">
        <v>1009</v>
      </c>
      <c r="M289" s="1" t="s">
        <v>83</v>
      </c>
      <c r="N289" s="1" t="s">
        <v>2822</v>
      </c>
      <c r="O289" s="1" t="s">
        <v>4548</v>
      </c>
      <c r="P289" s="1" t="s">
        <v>107</v>
      </c>
      <c r="Q289" s="1" t="s">
        <v>4549</v>
      </c>
      <c r="R289" s="1" t="s">
        <v>4550</v>
      </c>
      <c r="S289" s="1" t="s">
        <v>4551</v>
      </c>
      <c r="T289" s="1" t="s">
        <v>52</v>
      </c>
      <c r="U289" s="1" t="s">
        <v>93</v>
      </c>
    </row>
    <row r="290" customFormat="false" ht="15" hidden="false" customHeight="true" outlineLevel="0" collapsed="false">
      <c r="A290" s="1" t="s">
        <v>1010</v>
      </c>
      <c r="B290" s="1" t="s">
        <v>4552</v>
      </c>
      <c r="C290" s="1" t="s">
        <v>4552</v>
      </c>
      <c r="D290" s="1" t="s">
        <v>1011</v>
      </c>
      <c r="E290" s="1" t="s">
        <v>168</v>
      </c>
      <c r="F290" s="1" t="s">
        <v>58</v>
      </c>
      <c r="G290" s="1" t="s">
        <v>59</v>
      </c>
      <c r="H290" s="1" t="s">
        <v>174</v>
      </c>
      <c r="I290" s="1" t="s">
        <v>175</v>
      </c>
      <c r="J290" s="1" t="s">
        <v>46</v>
      </c>
      <c r="K290" s="1" t="s">
        <v>183</v>
      </c>
      <c r="L290" s="1" t="s">
        <v>1012</v>
      </c>
      <c r="M290" s="1" t="s">
        <v>65</v>
      </c>
      <c r="N290" s="1" t="s">
        <v>2868</v>
      </c>
      <c r="O290" s="1" t="s">
        <v>4553</v>
      </c>
      <c r="P290" s="1" t="s">
        <v>107</v>
      </c>
      <c r="Q290" s="1" t="s">
        <v>4554</v>
      </c>
      <c r="R290" s="1" t="s">
        <v>4555</v>
      </c>
      <c r="S290" s="1" t="s">
        <v>4556</v>
      </c>
      <c r="T290" s="1" t="s">
        <v>52</v>
      </c>
      <c r="U290" s="1" t="s">
        <v>53</v>
      </c>
    </row>
    <row r="291" customFormat="false" ht="15" hidden="false" customHeight="true" outlineLevel="0" collapsed="false">
      <c r="A291" s="1" t="s">
        <v>1013</v>
      </c>
      <c r="B291" s="1" t="s">
        <v>3118</v>
      </c>
      <c r="C291" s="1" t="s">
        <v>3581</v>
      </c>
      <c r="D291" s="1" t="s">
        <v>1014</v>
      </c>
      <c r="E291" s="1" t="s">
        <v>40</v>
      </c>
      <c r="F291" s="1" t="s">
        <v>121</v>
      </c>
      <c r="G291" s="1" t="s">
        <v>78</v>
      </c>
      <c r="H291" s="1" t="s">
        <v>281</v>
      </c>
      <c r="I291" s="1" t="s">
        <v>282</v>
      </c>
      <c r="J291" s="1" t="s">
        <v>62</v>
      </c>
      <c r="K291" s="1" t="s">
        <v>188</v>
      </c>
      <c r="L291" s="1" t="s">
        <v>1015</v>
      </c>
      <c r="M291" s="1" t="s">
        <v>72</v>
      </c>
      <c r="N291" s="1" t="s">
        <v>2868</v>
      </c>
      <c r="O291" s="1" t="s">
        <v>4557</v>
      </c>
      <c r="P291" s="1" t="s">
        <v>128</v>
      </c>
      <c r="Q291" s="1" t="s">
        <v>4558</v>
      </c>
      <c r="R291" s="1" t="s">
        <v>4559</v>
      </c>
      <c r="S291" s="1" t="s">
        <v>4560</v>
      </c>
      <c r="T291" s="1" t="s">
        <v>52</v>
      </c>
      <c r="U291" s="1" t="s">
        <v>53</v>
      </c>
    </row>
    <row r="292" customFormat="false" ht="15" hidden="false" customHeight="true" outlineLevel="0" collapsed="false">
      <c r="A292" s="1" t="s">
        <v>1016</v>
      </c>
      <c r="B292" s="1" t="s">
        <v>4561</v>
      </c>
      <c r="C292" s="1" t="s">
        <v>4562</v>
      </c>
      <c r="D292" s="1" t="s">
        <v>1017</v>
      </c>
      <c r="E292" s="1" t="s">
        <v>192</v>
      </c>
      <c r="F292" s="1" t="s">
        <v>121</v>
      </c>
      <c r="G292" s="1" t="s">
        <v>59</v>
      </c>
      <c r="H292" s="1" t="s">
        <v>262</v>
      </c>
      <c r="I292" s="1" t="s">
        <v>263</v>
      </c>
      <c r="J292" s="1" t="s">
        <v>62</v>
      </c>
      <c r="K292" s="1" t="s">
        <v>63</v>
      </c>
      <c r="L292" s="1" t="s">
        <v>1018</v>
      </c>
      <c r="M292" s="1" t="s">
        <v>83</v>
      </c>
      <c r="N292" s="1" t="s">
        <v>2836</v>
      </c>
      <c r="O292" s="1" t="s">
        <v>4563</v>
      </c>
      <c r="P292" s="1" t="s">
        <v>203</v>
      </c>
      <c r="Q292" s="1" t="s">
        <v>4564</v>
      </c>
      <c r="R292" s="1" t="s">
        <v>4565</v>
      </c>
      <c r="S292" s="1" t="s">
        <v>4566</v>
      </c>
      <c r="T292" s="1" t="s">
        <v>52</v>
      </c>
      <c r="U292" s="1" t="s">
        <v>53</v>
      </c>
    </row>
    <row r="293" customFormat="false" ht="15" hidden="false" customHeight="true" outlineLevel="0" collapsed="false">
      <c r="A293" s="1" t="s">
        <v>1019</v>
      </c>
      <c r="B293" s="1" t="s">
        <v>4567</v>
      </c>
      <c r="C293" s="1" t="s">
        <v>4568</v>
      </c>
      <c r="D293" s="1" t="s">
        <v>1020</v>
      </c>
      <c r="E293" s="1" t="s">
        <v>141</v>
      </c>
      <c r="F293" s="1" t="s">
        <v>121</v>
      </c>
      <c r="G293" s="1" t="s">
        <v>42</v>
      </c>
      <c r="H293" s="1" t="s">
        <v>44</v>
      </c>
      <c r="I293" s="1" t="s">
        <v>45</v>
      </c>
      <c r="J293" s="1" t="s">
        <v>46</v>
      </c>
      <c r="K293" s="1" t="s">
        <v>183</v>
      </c>
      <c r="L293" s="1" t="s">
        <v>1021</v>
      </c>
      <c r="M293" s="1" t="s">
        <v>83</v>
      </c>
      <c r="N293" s="1" t="s">
        <v>2937</v>
      </c>
      <c r="O293" s="1" t="s">
        <v>4569</v>
      </c>
      <c r="P293" s="1" t="s">
        <v>84</v>
      </c>
      <c r="Q293" s="1" t="s">
        <v>4570</v>
      </c>
      <c r="R293" s="1" t="s">
        <v>4571</v>
      </c>
      <c r="S293" s="1" t="s">
        <v>4572</v>
      </c>
      <c r="T293" s="1" t="s">
        <v>52</v>
      </c>
      <c r="U293" s="1" t="s">
        <v>53</v>
      </c>
    </row>
    <row r="294" customFormat="false" ht="15" hidden="false" customHeight="true" outlineLevel="0" collapsed="false">
      <c r="A294" s="1" t="s">
        <v>1022</v>
      </c>
      <c r="B294" s="1" t="s">
        <v>4573</v>
      </c>
      <c r="C294" s="1" t="s">
        <v>4574</v>
      </c>
      <c r="D294" s="1" t="s">
        <v>1023</v>
      </c>
      <c r="E294" s="1" t="s">
        <v>298</v>
      </c>
      <c r="F294" s="1" t="s">
        <v>121</v>
      </c>
      <c r="G294" s="1" t="s">
        <v>42</v>
      </c>
      <c r="H294" s="1" t="s">
        <v>270</v>
      </c>
      <c r="I294" s="1" t="s">
        <v>271</v>
      </c>
      <c r="J294" s="1" t="s">
        <v>46</v>
      </c>
      <c r="K294" s="1" t="s">
        <v>70</v>
      </c>
      <c r="L294" s="1" t="s">
        <v>1024</v>
      </c>
      <c r="M294" s="1" t="s">
        <v>65</v>
      </c>
      <c r="N294" s="1" t="s">
        <v>2899</v>
      </c>
      <c r="O294" s="1" t="s">
        <v>4575</v>
      </c>
      <c r="P294" s="1" t="s">
        <v>66</v>
      </c>
      <c r="Q294" s="1" t="s">
        <v>4576</v>
      </c>
      <c r="R294" s="1" t="s">
        <v>4577</v>
      </c>
      <c r="S294" s="1" t="s">
        <v>4578</v>
      </c>
      <c r="T294" s="1" t="s">
        <v>138</v>
      </c>
      <c r="U294" s="1" t="s">
        <v>93</v>
      </c>
    </row>
    <row r="295" customFormat="false" ht="15" hidden="false" customHeight="true" outlineLevel="0" collapsed="false">
      <c r="A295" s="1" t="s">
        <v>1025</v>
      </c>
      <c r="B295" s="1" t="s">
        <v>4579</v>
      </c>
      <c r="C295" s="1" t="s">
        <v>4580</v>
      </c>
      <c r="D295" s="1" t="s">
        <v>1026</v>
      </c>
      <c r="E295" s="1" t="s">
        <v>77</v>
      </c>
      <c r="F295" s="1" t="s">
        <v>121</v>
      </c>
      <c r="G295" s="1" t="s">
        <v>78</v>
      </c>
      <c r="H295" s="1" t="s">
        <v>79</v>
      </c>
      <c r="I295" s="1" t="s">
        <v>80</v>
      </c>
      <c r="J295" s="1" t="s">
        <v>99</v>
      </c>
      <c r="K295" s="1" t="s">
        <v>201</v>
      </c>
      <c r="L295" s="1" t="s">
        <v>1027</v>
      </c>
      <c r="M295" s="1" t="s">
        <v>72</v>
      </c>
      <c r="N295" s="1" t="s">
        <v>2868</v>
      </c>
      <c r="O295" s="1" t="s">
        <v>4581</v>
      </c>
      <c r="P295" s="1" t="s">
        <v>721</v>
      </c>
      <c r="Q295" s="1" t="s">
        <v>4582</v>
      </c>
      <c r="R295" s="1" t="s">
        <v>4583</v>
      </c>
      <c r="S295" s="1" t="s">
        <v>4584</v>
      </c>
      <c r="T295" s="1" t="s">
        <v>52</v>
      </c>
      <c r="U295" s="1" t="s">
        <v>53</v>
      </c>
    </row>
    <row r="296" customFormat="false" ht="15" hidden="false" customHeight="true" outlineLevel="0" collapsed="false">
      <c r="A296" s="1" t="s">
        <v>1028</v>
      </c>
      <c r="B296" s="1" t="s">
        <v>4585</v>
      </c>
      <c r="C296" s="1" t="s">
        <v>4586</v>
      </c>
      <c r="D296" s="1" t="s">
        <v>1029</v>
      </c>
      <c r="E296" s="1" t="s">
        <v>141</v>
      </c>
      <c r="F296" s="1" t="s">
        <v>41</v>
      </c>
      <c r="G296" s="1" t="s">
        <v>59</v>
      </c>
      <c r="H296" s="1" t="s">
        <v>60</v>
      </c>
      <c r="I296" s="1" t="s">
        <v>61</v>
      </c>
      <c r="J296" s="1" t="s">
        <v>99</v>
      </c>
      <c r="K296" s="1" t="s">
        <v>201</v>
      </c>
      <c r="L296" s="1" t="s">
        <v>1030</v>
      </c>
      <c r="M296" s="1" t="s">
        <v>49</v>
      </c>
      <c r="N296" s="1" t="s">
        <v>2815</v>
      </c>
      <c r="O296" s="1" t="s">
        <v>4587</v>
      </c>
      <c r="P296" s="1" t="s">
        <v>84</v>
      </c>
      <c r="Q296" s="1" t="s">
        <v>4588</v>
      </c>
      <c r="R296" s="1" t="s">
        <v>4589</v>
      </c>
      <c r="S296" s="1" t="s">
        <v>4590</v>
      </c>
      <c r="T296" s="1" t="s">
        <v>52</v>
      </c>
      <c r="U296" s="1" t="s">
        <v>130</v>
      </c>
    </row>
    <row r="297" customFormat="false" ht="15" hidden="false" customHeight="true" outlineLevel="0" collapsed="false">
      <c r="A297" s="1" t="s">
        <v>1031</v>
      </c>
      <c r="B297" s="1" t="s">
        <v>4591</v>
      </c>
      <c r="C297" s="1" t="s">
        <v>4592</v>
      </c>
      <c r="D297" s="1" t="s">
        <v>1032</v>
      </c>
      <c r="E297" s="1" t="s">
        <v>115</v>
      </c>
      <c r="F297" s="1" t="s">
        <v>58</v>
      </c>
      <c r="G297" s="1" t="s">
        <v>59</v>
      </c>
      <c r="H297" s="1" t="s">
        <v>196</v>
      </c>
      <c r="I297" s="1" t="s">
        <v>197</v>
      </c>
      <c r="J297" s="1" t="s">
        <v>46</v>
      </c>
      <c r="K297" s="1" t="s">
        <v>183</v>
      </c>
      <c r="L297" s="1" t="s">
        <v>1033</v>
      </c>
      <c r="M297" s="1" t="s">
        <v>83</v>
      </c>
      <c r="N297" s="1" t="s">
        <v>2822</v>
      </c>
      <c r="O297" s="1" t="s">
        <v>4593</v>
      </c>
      <c r="P297" s="1" t="s">
        <v>203</v>
      </c>
      <c r="Q297" s="1" t="s">
        <v>4594</v>
      </c>
      <c r="R297" s="1" t="s">
        <v>4595</v>
      </c>
      <c r="S297" s="1" t="s">
        <v>4596</v>
      </c>
      <c r="T297" s="1" t="s">
        <v>52</v>
      </c>
      <c r="U297" s="1" t="s">
        <v>53</v>
      </c>
    </row>
    <row r="298" customFormat="false" ht="15" hidden="false" customHeight="true" outlineLevel="0" collapsed="false">
      <c r="A298" s="1" t="s">
        <v>1034</v>
      </c>
      <c r="B298" s="1" t="s">
        <v>2891</v>
      </c>
      <c r="C298" s="1" t="s">
        <v>4597</v>
      </c>
      <c r="D298" s="1" t="s">
        <v>1035</v>
      </c>
      <c r="E298" s="1" t="s">
        <v>115</v>
      </c>
      <c r="F298" s="1" t="s">
        <v>121</v>
      </c>
      <c r="G298" s="1" t="s">
        <v>42</v>
      </c>
      <c r="H298" s="1" t="s">
        <v>270</v>
      </c>
      <c r="I298" s="1" t="s">
        <v>271</v>
      </c>
      <c r="J298" s="1" t="s">
        <v>62</v>
      </c>
      <c r="K298" s="1" t="s">
        <v>81</v>
      </c>
      <c r="L298" s="1" t="s">
        <v>1036</v>
      </c>
      <c r="M298" s="1" t="s">
        <v>65</v>
      </c>
      <c r="N298" s="1" t="s">
        <v>2815</v>
      </c>
      <c r="O298" s="1" t="s">
        <v>4598</v>
      </c>
      <c r="P298" s="1" t="s">
        <v>107</v>
      </c>
      <c r="Q298" s="1" t="s">
        <v>4599</v>
      </c>
      <c r="R298" s="1" t="s">
        <v>4600</v>
      </c>
      <c r="S298" s="1" t="s">
        <v>4601</v>
      </c>
      <c r="T298" s="1" t="s">
        <v>52</v>
      </c>
      <c r="U298" s="1" t="s">
        <v>53</v>
      </c>
    </row>
    <row r="299" customFormat="false" ht="15" hidden="false" customHeight="true" outlineLevel="0" collapsed="false">
      <c r="A299" s="1" t="s">
        <v>1037</v>
      </c>
      <c r="B299" s="1" t="s">
        <v>4602</v>
      </c>
      <c r="C299" s="1" t="s">
        <v>4603</v>
      </c>
      <c r="D299" s="1" t="s">
        <v>1038</v>
      </c>
      <c r="E299" s="1" t="s">
        <v>159</v>
      </c>
      <c r="F299" s="1" t="s">
        <v>116</v>
      </c>
      <c r="G299" s="1" t="s">
        <v>78</v>
      </c>
      <c r="H299" s="1" t="s">
        <v>281</v>
      </c>
      <c r="I299" s="1" t="s">
        <v>282</v>
      </c>
      <c r="J299" s="1" t="s">
        <v>99</v>
      </c>
      <c r="K299" s="1" t="s">
        <v>105</v>
      </c>
      <c r="L299" s="1" t="s">
        <v>1039</v>
      </c>
      <c r="M299" s="1" t="s">
        <v>65</v>
      </c>
      <c r="N299" s="1" t="s">
        <v>2815</v>
      </c>
      <c r="O299" s="1" t="s">
        <v>4604</v>
      </c>
      <c r="P299" s="1" t="s">
        <v>107</v>
      </c>
      <c r="Q299" s="1" t="s">
        <v>4605</v>
      </c>
      <c r="R299" s="1" t="s">
        <v>4606</v>
      </c>
      <c r="S299" s="1" t="s">
        <v>4607</v>
      </c>
      <c r="T299" s="1" t="s">
        <v>52</v>
      </c>
      <c r="U299" s="1" t="s">
        <v>53</v>
      </c>
    </row>
    <row r="300" customFormat="false" ht="15" hidden="false" customHeight="true" outlineLevel="0" collapsed="false">
      <c r="A300" s="1" t="s">
        <v>1040</v>
      </c>
      <c r="B300" s="1" t="s">
        <v>4608</v>
      </c>
      <c r="C300" s="1" t="s">
        <v>4609</v>
      </c>
      <c r="D300" s="1" t="s">
        <v>1041</v>
      </c>
      <c r="E300" s="1" t="s">
        <v>69</v>
      </c>
      <c r="F300" s="1" t="s">
        <v>41</v>
      </c>
      <c r="G300" s="1" t="s">
        <v>78</v>
      </c>
      <c r="H300" s="1" t="s">
        <v>216</v>
      </c>
      <c r="I300" s="1" t="s">
        <v>217</v>
      </c>
      <c r="J300" s="1" t="s">
        <v>99</v>
      </c>
      <c r="K300" s="1" t="s">
        <v>105</v>
      </c>
      <c r="L300" s="1" t="s">
        <v>1042</v>
      </c>
      <c r="M300" s="1" t="s">
        <v>72</v>
      </c>
      <c r="N300" s="1" t="s">
        <v>2906</v>
      </c>
      <c r="O300" s="1" t="s">
        <v>4610</v>
      </c>
      <c r="P300" s="1" t="s">
        <v>50</v>
      </c>
      <c r="Q300" s="1" t="s">
        <v>4611</v>
      </c>
      <c r="R300" s="1" t="s">
        <v>4612</v>
      </c>
      <c r="S300" s="1" t="s">
        <v>4613</v>
      </c>
      <c r="T300" s="1" t="s">
        <v>185</v>
      </c>
      <c r="U300" s="1" t="s">
        <v>130</v>
      </c>
    </row>
    <row r="301" customFormat="false" ht="15" hidden="false" customHeight="true" outlineLevel="0" collapsed="false">
      <c r="A301" s="1" t="s">
        <v>1043</v>
      </c>
      <c r="B301" s="1" t="s">
        <v>4603</v>
      </c>
      <c r="C301" s="1" t="s">
        <v>4614</v>
      </c>
      <c r="D301" s="1" t="s">
        <v>1044</v>
      </c>
      <c r="E301" s="1" t="s">
        <v>145</v>
      </c>
      <c r="F301" s="1" t="s">
        <v>58</v>
      </c>
      <c r="G301" s="1" t="s">
        <v>88</v>
      </c>
      <c r="H301" s="1" t="s">
        <v>211</v>
      </c>
      <c r="I301" s="1" t="s">
        <v>212</v>
      </c>
      <c r="J301" s="1" t="s">
        <v>99</v>
      </c>
      <c r="K301" s="1" t="s">
        <v>100</v>
      </c>
      <c r="L301" s="1" t="s">
        <v>1045</v>
      </c>
      <c r="M301" s="1" t="s">
        <v>83</v>
      </c>
      <c r="N301" s="1" t="s">
        <v>2906</v>
      </c>
      <c r="O301" s="1" t="s">
        <v>4615</v>
      </c>
      <c r="P301" s="1" t="s">
        <v>203</v>
      </c>
      <c r="Q301" s="1" t="s">
        <v>4616</v>
      </c>
      <c r="R301" s="1" t="s">
        <v>4617</v>
      </c>
      <c r="S301" s="1" t="s">
        <v>4618</v>
      </c>
      <c r="T301" s="1" t="s">
        <v>52</v>
      </c>
      <c r="U301" s="1" t="s">
        <v>53</v>
      </c>
    </row>
    <row r="302" customFormat="false" ht="15" hidden="false" customHeight="true" outlineLevel="0" collapsed="false">
      <c r="A302" s="1" t="s">
        <v>1046</v>
      </c>
      <c r="B302" s="1" t="s">
        <v>4619</v>
      </c>
      <c r="C302" s="1" t="s">
        <v>4620</v>
      </c>
      <c r="D302" s="1" t="s">
        <v>1047</v>
      </c>
      <c r="E302" s="1" t="s">
        <v>192</v>
      </c>
      <c r="F302" s="1" t="s">
        <v>58</v>
      </c>
      <c r="G302" s="1" t="s">
        <v>42</v>
      </c>
      <c r="H302" s="1" t="s">
        <v>149</v>
      </c>
      <c r="I302" s="1" t="s">
        <v>150</v>
      </c>
      <c r="J302" s="1" t="s">
        <v>99</v>
      </c>
      <c r="K302" s="1" t="s">
        <v>100</v>
      </c>
      <c r="L302" s="1" t="s">
        <v>1048</v>
      </c>
      <c r="M302" s="1" t="s">
        <v>49</v>
      </c>
      <c r="N302" s="1" t="s">
        <v>2899</v>
      </c>
      <c r="O302" s="1" t="s">
        <v>4621</v>
      </c>
      <c r="P302" s="1" t="s">
        <v>203</v>
      </c>
      <c r="Q302" s="1" t="s">
        <v>4622</v>
      </c>
      <c r="R302" s="1" t="s">
        <v>4623</v>
      </c>
      <c r="S302" s="1" t="s">
        <v>4624</v>
      </c>
      <c r="T302" s="1" t="s">
        <v>52</v>
      </c>
      <c r="U302" s="1" t="s">
        <v>53</v>
      </c>
    </row>
    <row r="303" customFormat="false" ht="15" hidden="false" customHeight="true" outlineLevel="0" collapsed="false">
      <c r="A303" s="1" t="s">
        <v>1049</v>
      </c>
      <c r="B303" s="1" t="s">
        <v>4009</v>
      </c>
      <c r="C303" s="1" t="s">
        <v>4625</v>
      </c>
      <c r="D303" s="1" t="s">
        <v>1050</v>
      </c>
      <c r="E303" s="1" t="s">
        <v>69</v>
      </c>
      <c r="F303" s="1" t="s">
        <v>121</v>
      </c>
      <c r="G303" s="1" t="s">
        <v>59</v>
      </c>
      <c r="H303" s="1" t="s">
        <v>174</v>
      </c>
      <c r="I303" s="1" t="s">
        <v>175</v>
      </c>
      <c r="J303" s="1" t="s">
        <v>99</v>
      </c>
      <c r="K303" s="1" t="s">
        <v>201</v>
      </c>
      <c r="L303" s="1" t="s">
        <v>1051</v>
      </c>
      <c r="M303" s="1" t="s">
        <v>65</v>
      </c>
      <c r="N303" s="1" t="s">
        <v>2937</v>
      </c>
      <c r="O303" s="1" t="s">
        <v>4626</v>
      </c>
      <c r="P303" s="1" t="s">
        <v>128</v>
      </c>
      <c r="Q303" s="1" t="s">
        <v>4627</v>
      </c>
      <c r="R303" s="1" t="s">
        <v>4628</v>
      </c>
      <c r="S303" s="1" t="s">
        <v>4629</v>
      </c>
      <c r="T303" s="1" t="s">
        <v>52</v>
      </c>
      <c r="U303" s="1" t="s">
        <v>53</v>
      </c>
    </row>
    <row r="304" customFormat="false" ht="15" hidden="false" customHeight="true" outlineLevel="0" collapsed="false">
      <c r="A304" s="1" t="s">
        <v>1052</v>
      </c>
      <c r="B304" s="1" t="s">
        <v>4449</v>
      </c>
      <c r="C304" s="1" t="s">
        <v>4630</v>
      </c>
      <c r="D304" s="1" t="s">
        <v>1053</v>
      </c>
      <c r="E304" s="1" t="s">
        <v>104</v>
      </c>
      <c r="F304" s="1" t="s">
        <v>41</v>
      </c>
      <c r="G304" s="1" t="s">
        <v>88</v>
      </c>
      <c r="H304" s="1" t="s">
        <v>221</v>
      </c>
      <c r="I304" s="1" t="s">
        <v>222</v>
      </c>
      <c r="J304" s="1" t="s">
        <v>3885</v>
      </c>
      <c r="K304" s="1" t="s">
        <v>151</v>
      </c>
      <c r="L304" s="1" t="s">
        <v>1054</v>
      </c>
      <c r="M304" s="1" t="s">
        <v>65</v>
      </c>
      <c r="N304" s="1" t="s">
        <v>2868</v>
      </c>
      <c r="O304" s="1" t="s">
        <v>4631</v>
      </c>
      <c r="P304" s="1" t="s">
        <v>84</v>
      </c>
      <c r="Q304" s="1" t="s">
        <v>4632</v>
      </c>
      <c r="R304" s="1" t="s">
        <v>4633</v>
      </c>
      <c r="S304" s="1" t="s">
        <v>4634</v>
      </c>
      <c r="T304" s="1" t="s">
        <v>52</v>
      </c>
      <c r="U304" s="1" t="s">
        <v>53</v>
      </c>
    </row>
    <row r="305" customFormat="false" ht="15" hidden="false" customHeight="true" outlineLevel="0" collapsed="false">
      <c r="A305" s="1" t="s">
        <v>1055</v>
      </c>
      <c r="B305" s="1" t="s">
        <v>4635</v>
      </c>
      <c r="C305" s="1" t="s">
        <v>4039</v>
      </c>
      <c r="D305" s="1" t="s">
        <v>1056</v>
      </c>
      <c r="E305" s="1" t="s">
        <v>192</v>
      </c>
      <c r="F305" s="1" t="s">
        <v>121</v>
      </c>
      <c r="G305" s="1" t="s">
        <v>88</v>
      </c>
      <c r="H305" s="1" t="s">
        <v>211</v>
      </c>
      <c r="I305" s="1" t="s">
        <v>212</v>
      </c>
      <c r="J305" s="1" t="s">
        <v>62</v>
      </c>
      <c r="K305" s="1" t="s">
        <v>91</v>
      </c>
      <c r="L305" s="1" t="s">
        <v>1057</v>
      </c>
      <c r="M305" s="1" t="s">
        <v>83</v>
      </c>
      <c r="N305" s="1" t="s">
        <v>2868</v>
      </c>
      <c r="O305" s="1" t="s">
        <v>4636</v>
      </c>
      <c r="P305" s="1" t="s">
        <v>203</v>
      </c>
      <c r="Q305" s="1" t="s">
        <v>4637</v>
      </c>
      <c r="R305" s="1" t="s">
        <v>4638</v>
      </c>
      <c r="S305" s="1" t="s">
        <v>4639</v>
      </c>
      <c r="T305" s="1" t="s">
        <v>138</v>
      </c>
      <c r="U305" s="1" t="s">
        <v>130</v>
      </c>
    </row>
    <row r="306" customFormat="false" ht="15" hidden="false" customHeight="true" outlineLevel="0" collapsed="false">
      <c r="A306" s="1" t="s">
        <v>1058</v>
      </c>
      <c r="B306" s="1" t="s">
        <v>4640</v>
      </c>
      <c r="C306" s="1" t="s">
        <v>2834</v>
      </c>
      <c r="D306" s="1" t="s">
        <v>1059</v>
      </c>
      <c r="E306" s="1" t="s">
        <v>40</v>
      </c>
      <c r="F306" s="1" t="s">
        <v>41</v>
      </c>
      <c r="G306" s="1" t="s">
        <v>42</v>
      </c>
      <c r="H306" s="1" t="s">
        <v>149</v>
      </c>
      <c r="I306" s="1" t="s">
        <v>150</v>
      </c>
      <c r="J306" s="1" t="s">
        <v>62</v>
      </c>
      <c r="K306" s="1" t="s">
        <v>81</v>
      </c>
      <c r="L306" s="1" t="s">
        <v>1060</v>
      </c>
      <c r="M306" s="1" t="s">
        <v>83</v>
      </c>
      <c r="N306" s="1" t="s">
        <v>2815</v>
      </c>
      <c r="O306" s="1" t="s">
        <v>4641</v>
      </c>
      <c r="P306" s="1" t="s">
        <v>203</v>
      </c>
      <c r="Q306" s="1" t="s">
        <v>4642</v>
      </c>
      <c r="R306" s="1" t="s">
        <v>4643</v>
      </c>
      <c r="S306" s="1" t="s">
        <v>4644</v>
      </c>
      <c r="T306" s="1" t="s">
        <v>52</v>
      </c>
      <c r="U306" s="1" t="s">
        <v>53</v>
      </c>
    </row>
    <row r="307" customFormat="false" ht="15" hidden="false" customHeight="true" outlineLevel="0" collapsed="false">
      <c r="A307" s="1" t="s">
        <v>1061</v>
      </c>
      <c r="B307" s="1" t="s">
        <v>4645</v>
      </c>
      <c r="C307" s="1" t="s">
        <v>4255</v>
      </c>
      <c r="D307" s="1" t="s">
        <v>1062</v>
      </c>
      <c r="E307" s="1" t="s">
        <v>87</v>
      </c>
      <c r="F307" s="1" t="s">
        <v>41</v>
      </c>
      <c r="G307" s="1" t="s">
        <v>59</v>
      </c>
      <c r="H307" s="1" t="s">
        <v>196</v>
      </c>
      <c r="I307" s="1" t="s">
        <v>197</v>
      </c>
      <c r="J307" s="1" t="s">
        <v>62</v>
      </c>
      <c r="K307" s="1" t="s">
        <v>91</v>
      </c>
      <c r="L307" s="1" t="s">
        <v>1063</v>
      </c>
      <c r="M307" s="1" t="s">
        <v>72</v>
      </c>
      <c r="N307" s="1" t="s">
        <v>2937</v>
      </c>
      <c r="O307" s="1" t="s">
        <v>4646</v>
      </c>
      <c r="P307" s="1" t="s">
        <v>73</v>
      </c>
      <c r="Q307" s="1" t="s">
        <v>4647</v>
      </c>
      <c r="R307" s="1" t="s">
        <v>4648</v>
      </c>
      <c r="S307" s="1" t="s">
        <v>4649</v>
      </c>
      <c r="T307" s="1" t="s">
        <v>52</v>
      </c>
      <c r="U307" s="1" t="s">
        <v>93</v>
      </c>
    </row>
    <row r="308" customFormat="false" ht="15" hidden="false" customHeight="true" outlineLevel="0" collapsed="false">
      <c r="A308" s="1" t="s">
        <v>1064</v>
      </c>
      <c r="B308" s="1" t="s">
        <v>4650</v>
      </c>
      <c r="C308" s="1" t="s">
        <v>2978</v>
      </c>
      <c r="D308" s="1" t="s">
        <v>1065</v>
      </c>
      <c r="E308" s="1" t="s">
        <v>155</v>
      </c>
      <c r="F308" s="1" t="s">
        <v>41</v>
      </c>
      <c r="G308" s="1" t="s">
        <v>42</v>
      </c>
      <c r="H308" s="1" t="s">
        <v>44</v>
      </c>
      <c r="I308" s="1" t="s">
        <v>45</v>
      </c>
      <c r="J308" s="1" t="s">
        <v>99</v>
      </c>
      <c r="K308" s="1" t="s">
        <v>201</v>
      </c>
      <c r="L308" s="1" t="s">
        <v>1066</v>
      </c>
      <c r="M308" s="1" t="s">
        <v>49</v>
      </c>
      <c r="N308" s="1" t="s">
        <v>2937</v>
      </c>
      <c r="O308" s="1" t="s">
        <v>4651</v>
      </c>
      <c r="P308" s="1" t="s">
        <v>66</v>
      </c>
      <c r="Q308" s="1" t="s">
        <v>4652</v>
      </c>
      <c r="R308" s="1" t="s">
        <v>4653</v>
      </c>
      <c r="S308" s="1" t="s">
        <v>4654</v>
      </c>
      <c r="T308" s="1" t="s">
        <v>52</v>
      </c>
      <c r="U308" s="1" t="s">
        <v>53</v>
      </c>
    </row>
    <row r="309" customFormat="false" ht="15" hidden="false" customHeight="true" outlineLevel="0" collapsed="false">
      <c r="A309" s="1" t="s">
        <v>1067</v>
      </c>
      <c r="B309" s="1" t="s">
        <v>4655</v>
      </c>
      <c r="C309" s="1" t="s">
        <v>4656</v>
      </c>
      <c r="D309" s="1" t="s">
        <v>1068</v>
      </c>
      <c r="E309" s="1" t="s">
        <v>87</v>
      </c>
      <c r="F309" s="1" t="s">
        <v>116</v>
      </c>
      <c r="G309" s="1" t="s">
        <v>42</v>
      </c>
      <c r="H309" s="1" t="s">
        <v>163</v>
      </c>
      <c r="I309" s="1" t="s">
        <v>164</v>
      </c>
      <c r="J309" s="1" t="s">
        <v>62</v>
      </c>
      <c r="K309" s="1" t="s">
        <v>63</v>
      </c>
      <c r="L309" s="1" t="s">
        <v>1069</v>
      </c>
      <c r="M309" s="1" t="s">
        <v>72</v>
      </c>
      <c r="N309" s="1" t="s">
        <v>2899</v>
      </c>
      <c r="O309" s="1" t="s">
        <v>4657</v>
      </c>
      <c r="P309" s="1" t="s">
        <v>50</v>
      </c>
      <c r="Q309" s="1" t="s">
        <v>4658</v>
      </c>
      <c r="R309" s="1" t="s">
        <v>4659</v>
      </c>
      <c r="S309" s="1" t="s">
        <v>4660</v>
      </c>
      <c r="T309" s="1" t="s">
        <v>4661</v>
      </c>
      <c r="U309" s="1" t="s">
        <v>93</v>
      </c>
    </row>
    <row r="310" customFormat="false" ht="15" hidden="false" customHeight="true" outlineLevel="0" collapsed="false">
      <c r="A310" s="1" t="s">
        <v>1070</v>
      </c>
      <c r="B310" s="1" t="s">
        <v>4662</v>
      </c>
      <c r="C310" s="1" t="s">
        <v>4663</v>
      </c>
      <c r="D310" s="1" t="s">
        <v>1071</v>
      </c>
      <c r="E310" s="1" t="s">
        <v>168</v>
      </c>
      <c r="F310" s="1" t="s">
        <v>41</v>
      </c>
      <c r="G310" s="1" t="s">
        <v>42</v>
      </c>
      <c r="H310" s="1" t="s">
        <v>44</v>
      </c>
      <c r="I310" s="1" t="s">
        <v>45</v>
      </c>
      <c r="J310" s="1" t="s">
        <v>62</v>
      </c>
      <c r="K310" s="1" t="s">
        <v>63</v>
      </c>
      <c r="L310" s="1" t="s">
        <v>1072</v>
      </c>
      <c r="M310" s="1" t="s">
        <v>72</v>
      </c>
      <c r="N310" s="1" t="s">
        <v>2937</v>
      </c>
      <c r="O310" s="1" t="s">
        <v>4664</v>
      </c>
      <c r="P310" s="1" t="s">
        <v>50</v>
      </c>
      <c r="Q310" s="1" t="s">
        <v>4665</v>
      </c>
      <c r="R310" s="1" t="s">
        <v>4666</v>
      </c>
      <c r="S310" s="1" t="s">
        <v>4667</v>
      </c>
      <c r="T310" s="1" t="s">
        <v>52</v>
      </c>
      <c r="U310" s="1" t="s">
        <v>53</v>
      </c>
    </row>
    <row r="311" customFormat="false" ht="15" hidden="false" customHeight="true" outlineLevel="0" collapsed="false">
      <c r="A311" s="1" t="s">
        <v>1073</v>
      </c>
      <c r="B311" s="1" t="s">
        <v>4668</v>
      </c>
      <c r="C311" s="1" t="s">
        <v>3001</v>
      </c>
      <c r="D311" s="1" t="s">
        <v>1074</v>
      </c>
      <c r="E311" s="1" t="s">
        <v>87</v>
      </c>
      <c r="F311" s="1" t="s">
        <v>41</v>
      </c>
      <c r="G311" s="1" t="s">
        <v>78</v>
      </c>
      <c r="H311" s="1" t="s">
        <v>281</v>
      </c>
      <c r="I311" s="1" t="s">
        <v>282</v>
      </c>
      <c r="J311" s="1" t="s">
        <v>62</v>
      </c>
      <c r="K311" s="1" t="s">
        <v>63</v>
      </c>
      <c r="L311" s="1" t="s">
        <v>1075</v>
      </c>
      <c r="M311" s="1" t="s">
        <v>72</v>
      </c>
      <c r="N311" s="1" t="s">
        <v>2906</v>
      </c>
      <c r="O311" s="1" t="s">
        <v>4669</v>
      </c>
      <c r="P311" s="1" t="s">
        <v>203</v>
      </c>
      <c r="Q311" s="1" t="s">
        <v>4670</v>
      </c>
      <c r="R311" s="1" t="s">
        <v>4671</v>
      </c>
      <c r="S311" s="1" t="s">
        <v>4672</v>
      </c>
      <c r="T311" s="1" t="s">
        <v>52</v>
      </c>
      <c r="U311" s="1" t="s">
        <v>93</v>
      </c>
    </row>
    <row r="312" customFormat="false" ht="15" hidden="false" customHeight="true" outlineLevel="0" collapsed="false">
      <c r="A312" s="1" t="s">
        <v>1076</v>
      </c>
      <c r="B312" s="1" t="s">
        <v>4673</v>
      </c>
      <c r="C312" s="1" t="s">
        <v>4674</v>
      </c>
      <c r="D312" s="1" t="s">
        <v>1077</v>
      </c>
      <c r="E312" s="1" t="s">
        <v>168</v>
      </c>
      <c r="F312" s="1" t="s">
        <v>58</v>
      </c>
      <c r="G312" s="1" t="s">
        <v>78</v>
      </c>
      <c r="H312" s="1" t="s">
        <v>281</v>
      </c>
      <c r="I312" s="1" t="s">
        <v>282</v>
      </c>
      <c r="J312" s="1" t="s">
        <v>99</v>
      </c>
      <c r="K312" s="1" t="s">
        <v>308</v>
      </c>
      <c r="L312" s="1" t="s">
        <v>1078</v>
      </c>
      <c r="M312" s="1" t="s">
        <v>72</v>
      </c>
      <c r="N312" s="1" t="s">
        <v>2861</v>
      </c>
      <c r="O312" s="1" t="s">
        <v>4675</v>
      </c>
      <c r="P312" s="1" t="s">
        <v>66</v>
      </c>
      <c r="Q312" s="1" t="s">
        <v>4676</v>
      </c>
      <c r="R312" s="1" t="s">
        <v>4677</v>
      </c>
      <c r="S312" s="1" t="s">
        <v>4678</v>
      </c>
      <c r="T312" s="1" t="s">
        <v>52</v>
      </c>
      <c r="U312" s="1" t="s">
        <v>53</v>
      </c>
    </row>
    <row r="313" customFormat="false" ht="15" hidden="false" customHeight="true" outlineLevel="0" collapsed="false">
      <c r="A313" s="1" t="s">
        <v>1079</v>
      </c>
      <c r="B313" s="1" t="s">
        <v>4679</v>
      </c>
      <c r="C313" s="1" t="s">
        <v>3923</v>
      </c>
      <c r="D313" s="1" t="s">
        <v>1080</v>
      </c>
      <c r="E313" s="1" t="s">
        <v>57</v>
      </c>
      <c r="F313" s="1" t="s">
        <v>116</v>
      </c>
      <c r="G313" s="1" t="s">
        <v>78</v>
      </c>
      <c r="H313" s="1" t="s">
        <v>206</v>
      </c>
      <c r="I313" s="1" t="s">
        <v>207</v>
      </c>
      <c r="J313" s="1" t="s">
        <v>46</v>
      </c>
      <c r="K313" s="1" t="s">
        <v>183</v>
      </c>
      <c r="L313" s="1" t="s">
        <v>1081</v>
      </c>
      <c r="M313" s="1" t="s">
        <v>49</v>
      </c>
      <c r="N313" s="1" t="s">
        <v>2829</v>
      </c>
      <c r="O313" s="1" t="s">
        <v>4680</v>
      </c>
      <c r="P313" s="1" t="s">
        <v>203</v>
      </c>
      <c r="Q313" s="1" t="s">
        <v>4681</v>
      </c>
      <c r="R313" s="1" t="s">
        <v>4682</v>
      </c>
      <c r="S313" s="1" t="s">
        <v>4683</v>
      </c>
      <c r="T313" s="1" t="s">
        <v>52</v>
      </c>
      <c r="U313" s="1" t="s">
        <v>53</v>
      </c>
    </row>
    <row r="314" customFormat="false" ht="15" hidden="false" customHeight="true" outlineLevel="0" collapsed="false">
      <c r="A314" s="1" t="s">
        <v>1082</v>
      </c>
      <c r="B314" s="1" t="s">
        <v>4684</v>
      </c>
      <c r="C314" s="1" t="s">
        <v>3420</v>
      </c>
      <c r="D314" s="1" t="s">
        <v>1083</v>
      </c>
      <c r="E314" s="1" t="s">
        <v>40</v>
      </c>
      <c r="F314" s="1" t="s">
        <v>58</v>
      </c>
      <c r="G314" s="1" t="s">
        <v>59</v>
      </c>
      <c r="H314" s="1" t="s">
        <v>196</v>
      </c>
      <c r="I314" s="1" t="s">
        <v>197</v>
      </c>
      <c r="J314" s="1" t="s">
        <v>99</v>
      </c>
      <c r="K314" s="1" t="s">
        <v>201</v>
      </c>
      <c r="L314" s="1" t="s">
        <v>1084</v>
      </c>
      <c r="M314" s="1" t="s">
        <v>83</v>
      </c>
      <c r="N314" s="1" t="s">
        <v>2861</v>
      </c>
      <c r="O314" s="1" t="s">
        <v>4685</v>
      </c>
      <c r="Q314" s="1" t="s">
        <v>4686</v>
      </c>
      <c r="R314" s="1" t="s">
        <v>4687</v>
      </c>
      <c r="S314" s="1" t="s">
        <v>4688</v>
      </c>
      <c r="T314" s="1" t="s">
        <v>52</v>
      </c>
      <c r="U314" s="1" t="s">
        <v>93</v>
      </c>
    </row>
    <row r="315" customFormat="false" ht="15" hidden="false" customHeight="true" outlineLevel="0" collapsed="false">
      <c r="A315" s="1" t="s">
        <v>1085</v>
      </c>
      <c r="B315" s="1" t="s">
        <v>4689</v>
      </c>
      <c r="C315" s="1" t="s">
        <v>4690</v>
      </c>
      <c r="D315" s="1" t="s">
        <v>1086</v>
      </c>
      <c r="E315" s="1" t="s">
        <v>145</v>
      </c>
      <c r="F315" s="1" t="s">
        <v>116</v>
      </c>
      <c r="G315" s="1" t="s">
        <v>42</v>
      </c>
      <c r="H315" s="1" t="s">
        <v>163</v>
      </c>
      <c r="I315" s="1" t="s">
        <v>164</v>
      </c>
      <c r="J315" s="1" t="s">
        <v>99</v>
      </c>
      <c r="K315" s="1" t="s">
        <v>201</v>
      </c>
      <c r="L315" s="1" t="s">
        <v>1087</v>
      </c>
      <c r="M315" s="1" t="s">
        <v>72</v>
      </c>
      <c r="N315" s="1" t="s">
        <v>2861</v>
      </c>
      <c r="O315" s="1" t="s">
        <v>4691</v>
      </c>
      <c r="P315" s="1" t="s">
        <v>84</v>
      </c>
      <c r="Q315" s="1" t="s">
        <v>4692</v>
      </c>
      <c r="R315" s="1" t="s">
        <v>4693</v>
      </c>
      <c r="S315" s="1" t="s">
        <v>4694</v>
      </c>
      <c r="T315" s="1" t="s">
        <v>129</v>
      </c>
      <c r="U315" s="1" t="s">
        <v>93</v>
      </c>
    </row>
    <row r="316" customFormat="false" ht="15" hidden="false" customHeight="true" outlineLevel="0" collapsed="false">
      <c r="A316" s="1" t="s">
        <v>1088</v>
      </c>
      <c r="B316" s="1" t="s">
        <v>4112</v>
      </c>
      <c r="C316" s="1" t="s">
        <v>2995</v>
      </c>
      <c r="D316" s="1" t="s">
        <v>1089</v>
      </c>
      <c r="E316" s="1" t="s">
        <v>69</v>
      </c>
      <c r="F316" s="1" t="s">
        <v>116</v>
      </c>
      <c r="G316" s="1" t="s">
        <v>88</v>
      </c>
      <c r="H316" s="1" t="s">
        <v>97</v>
      </c>
      <c r="I316" s="1" t="s">
        <v>98</v>
      </c>
      <c r="J316" s="1" t="s">
        <v>46</v>
      </c>
      <c r="K316" s="1" t="s">
        <v>117</v>
      </c>
      <c r="L316" s="1" t="s">
        <v>1090</v>
      </c>
      <c r="M316" s="1" t="s">
        <v>83</v>
      </c>
      <c r="N316" s="1" t="s">
        <v>2899</v>
      </c>
      <c r="O316" s="1" t="s">
        <v>4695</v>
      </c>
      <c r="P316" s="1" t="s">
        <v>107</v>
      </c>
      <c r="Q316" s="1" t="s">
        <v>4696</v>
      </c>
      <c r="R316" s="1" t="s">
        <v>4697</v>
      </c>
      <c r="S316" s="1" t="s">
        <v>4698</v>
      </c>
      <c r="T316" s="1" t="s">
        <v>185</v>
      </c>
      <c r="U316" s="1" t="s">
        <v>130</v>
      </c>
    </row>
    <row r="317" customFormat="false" ht="15" hidden="false" customHeight="true" outlineLevel="0" collapsed="false">
      <c r="A317" s="1" t="s">
        <v>1091</v>
      </c>
      <c r="B317" s="1" t="s">
        <v>4699</v>
      </c>
      <c r="C317" s="1" t="s">
        <v>4700</v>
      </c>
      <c r="D317" s="1" t="s">
        <v>1092</v>
      </c>
      <c r="E317" s="1" t="s">
        <v>168</v>
      </c>
      <c r="F317" s="1" t="s">
        <v>41</v>
      </c>
      <c r="G317" s="1" t="s">
        <v>42</v>
      </c>
      <c r="H317" s="1" t="s">
        <v>384</v>
      </c>
      <c r="I317" s="1" t="s">
        <v>385</v>
      </c>
      <c r="J317" s="1" t="s">
        <v>46</v>
      </c>
      <c r="K317" s="1" t="s">
        <v>47</v>
      </c>
      <c r="L317" s="1" t="s">
        <v>1093</v>
      </c>
      <c r="M317" s="1" t="s">
        <v>83</v>
      </c>
      <c r="N317" s="1" t="s">
        <v>2899</v>
      </c>
      <c r="O317" s="1" t="s">
        <v>4701</v>
      </c>
      <c r="P317" s="1" t="s">
        <v>128</v>
      </c>
      <c r="Q317" s="1" t="s">
        <v>4702</v>
      </c>
      <c r="R317" s="1" t="s">
        <v>4703</v>
      </c>
      <c r="S317" s="1" t="s">
        <v>4704</v>
      </c>
      <c r="T317" s="1" t="s">
        <v>138</v>
      </c>
      <c r="U317" s="1" t="s">
        <v>130</v>
      </c>
    </row>
    <row r="318" customFormat="false" ht="15" hidden="false" customHeight="true" outlineLevel="0" collapsed="false">
      <c r="A318" s="1" t="s">
        <v>1094</v>
      </c>
      <c r="B318" s="1" t="s">
        <v>4705</v>
      </c>
      <c r="C318" s="1" t="s">
        <v>4706</v>
      </c>
      <c r="D318" s="1" t="s">
        <v>1095</v>
      </c>
      <c r="E318" s="1" t="s">
        <v>40</v>
      </c>
      <c r="F318" s="1" t="s">
        <v>116</v>
      </c>
      <c r="G318" s="1" t="s">
        <v>42</v>
      </c>
      <c r="H318" s="1" t="s">
        <v>149</v>
      </c>
      <c r="I318" s="1" t="s">
        <v>150</v>
      </c>
      <c r="J318" s="1" t="s">
        <v>46</v>
      </c>
      <c r="K318" s="1" t="s">
        <v>117</v>
      </c>
      <c r="L318" s="1" t="s">
        <v>1096</v>
      </c>
      <c r="M318" s="1" t="s">
        <v>83</v>
      </c>
      <c r="N318" s="1" t="s">
        <v>2868</v>
      </c>
      <c r="O318" s="1" t="s">
        <v>4707</v>
      </c>
      <c r="P318" s="1" t="s">
        <v>50</v>
      </c>
      <c r="Q318" s="1" t="s">
        <v>4708</v>
      </c>
      <c r="R318" s="1" t="s">
        <v>4040</v>
      </c>
      <c r="S318" s="1" t="s">
        <v>4709</v>
      </c>
      <c r="T318" s="1" t="s">
        <v>52</v>
      </c>
      <c r="U318" s="1" t="s">
        <v>93</v>
      </c>
    </row>
    <row r="319" customFormat="false" ht="15" hidden="false" customHeight="true" outlineLevel="0" collapsed="false">
      <c r="A319" s="1" t="s">
        <v>1097</v>
      </c>
      <c r="B319" s="1" t="s">
        <v>4710</v>
      </c>
      <c r="C319" s="1" t="s">
        <v>4711</v>
      </c>
      <c r="D319" s="1" t="s">
        <v>1098</v>
      </c>
      <c r="E319" s="1" t="s">
        <v>104</v>
      </c>
      <c r="F319" s="1" t="s">
        <v>116</v>
      </c>
      <c r="G319" s="1" t="s">
        <v>78</v>
      </c>
      <c r="H319" s="1" t="s">
        <v>216</v>
      </c>
      <c r="I319" s="1" t="s">
        <v>217</v>
      </c>
      <c r="J319" s="1" t="s">
        <v>62</v>
      </c>
      <c r="K319" s="1" t="s">
        <v>63</v>
      </c>
      <c r="L319" s="1" t="s">
        <v>1099</v>
      </c>
      <c r="M319" s="1" t="s">
        <v>72</v>
      </c>
      <c r="N319" s="1" t="s">
        <v>2899</v>
      </c>
      <c r="O319" s="1" t="s">
        <v>4712</v>
      </c>
      <c r="P319" s="1" t="s">
        <v>107</v>
      </c>
      <c r="Q319" s="1" t="s">
        <v>4713</v>
      </c>
      <c r="R319" s="1" t="s">
        <v>4714</v>
      </c>
      <c r="S319" s="1" t="s">
        <v>4715</v>
      </c>
      <c r="T319" s="1" t="s">
        <v>52</v>
      </c>
      <c r="U319" s="1" t="s">
        <v>53</v>
      </c>
    </row>
    <row r="320" customFormat="false" ht="15" hidden="false" customHeight="true" outlineLevel="0" collapsed="false">
      <c r="A320" s="1" t="s">
        <v>1100</v>
      </c>
      <c r="B320" s="1" t="s">
        <v>4716</v>
      </c>
      <c r="C320" s="1" t="s">
        <v>4717</v>
      </c>
      <c r="D320" s="1" t="s">
        <v>1101</v>
      </c>
      <c r="E320" s="1" t="s">
        <v>57</v>
      </c>
      <c r="F320" s="1" t="s">
        <v>58</v>
      </c>
      <c r="G320" s="1" t="s">
        <v>78</v>
      </c>
      <c r="H320" s="1" t="s">
        <v>206</v>
      </c>
      <c r="I320" s="1" t="s">
        <v>207</v>
      </c>
      <c r="J320" s="1" t="s">
        <v>99</v>
      </c>
      <c r="K320" s="1" t="s">
        <v>201</v>
      </c>
      <c r="L320" s="1" t="s">
        <v>1102</v>
      </c>
      <c r="M320" s="1" t="s">
        <v>83</v>
      </c>
      <c r="N320" s="1" t="s">
        <v>2822</v>
      </c>
      <c r="O320" s="1" t="s">
        <v>4718</v>
      </c>
      <c r="P320" s="1" t="s">
        <v>203</v>
      </c>
      <c r="Q320" s="1" t="s">
        <v>4719</v>
      </c>
      <c r="R320" s="1" t="s">
        <v>4720</v>
      </c>
      <c r="S320" s="1" t="s">
        <v>4721</v>
      </c>
      <c r="T320" s="1" t="s">
        <v>52</v>
      </c>
      <c r="U320" s="1" t="s">
        <v>53</v>
      </c>
    </row>
    <row r="321" customFormat="false" ht="15" hidden="false" customHeight="true" outlineLevel="0" collapsed="false">
      <c r="A321" s="1" t="s">
        <v>1103</v>
      </c>
      <c r="B321" s="1" t="s">
        <v>4722</v>
      </c>
      <c r="C321" s="1" t="s">
        <v>4723</v>
      </c>
      <c r="D321" s="1" t="s">
        <v>1104</v>
      </c>
      <c r="E321" s="1" t="s">
        <v>192</v>
      </c>
      <c r="F321" s="1" t="s">
        <v>41</v>
      </c>
      <c r="G321" s="1" t="s">
        <v>88</v>
      </c>
      <c r="H321" s="1" t="s">
        <v>211</v>
      </c>
      <c r="I321" s="1" t="s">
        <v>212</v>
      </c>
      <c r="J321" s="1" t="s">
        <v>46</v>
      </c>
      <c r="K321" s="1" t="s">
        <v>183</v>
      </c>
      <c r="L321" s="1" t="s">
        <v>1105</v>
      </c>
      <c r="M321" s="1" t="s">
        <v>72</v>
      </c>
      <c r="N321" s="1" t="s">
        <v>2836</v>
      </c>
      <c r="O321" s="1" t="s">
        <v>4724</v>
      </c>
      <c r="P321" s="1" t="s">
        <v>66</v>
      </c>
      <c r="Q321" s="1" t="s">
        <v>4724</v>
      </c>
      <c r="R321" s="1" t="s">
        <v>4725</v>
      </c>
      <c r="S321" s="1" t="s">
        <v>4726</v>
      </c>
      <c r="T321" s="1" t="s">
        <v>52</v>
      </c>
      <c r="U321" s="1" t="s">
        <v>53</v>
      </c>
    </row>
    <row r="322" customFormat="false" ht="15" hidden="false" customHeight="true" outlineLevel="0" collapsed="false">
      <c r="A322" s="1" t="s">
        <v>1106</v>
      </c>
      <c r="B322" s="1" t="s">
        <v>4727</v>
      </c>
      <c r="C322" s="1" t="s">
        <v>4728</v>
      </c>
      <c r="D322" s="1" t="s">
        <v>1107</v>
      </c>
      <c r="E322" s="1" t="s">
        <v>155</v>
      </c>
      <c r="F322" s="1" t="s">
        <v>121</v>
      </c>
      <c r="G322" s="1" t="s">
        <v>59</v>
      </c>
      <c r="H322" s="1" t="s">
        <v>125</v>
      </c>
      <c r="I322" s="1" t="s">
        <v>126</v>
      </c>
      <c r="J322" s="1" t="s">
        <v>46</v>
      </c>
      <c r="K322" s="1" t="s">
        <v>70</v>
      </c>
      <c r="L322" s="1" t="s">
        <v>1108</v>
      </c>
      <c r="M322" s="1" t="s">
        <v>49</v>
      </c>
      <c r="N322" s="1" t="s">
        <v>2822</v>
      </c>
      <c r="O322" s="1" t="s">
        <v>4729</v>
      </c>
      <c r="P322" s="1" t="s">
        <v>499</v>
      </c>
      <c r="Q322" s="1" t="s">
        <v>4730</v>
      </c>
      <c r="R322" s="1" t="s">
        <v>4731</v>
      </c>
      <c r="S322" s="1" t="s">
        <v>4732</v>
      </c>
      <c r="T322" s="1" t="s">
        <v>138</v>
      </c>
      <c r="U322" s="1" t="s">
        <v>130</v>
      </c>
    </row>
    <row r="323" customFormat="false" ht="15" hidden="false" customHeight="true" outlineLevel="0" collapsed="false">
      <c r="A323" s="1" t="s">
        <v>1109</v>
      </c>
      <c r="B323" s="1" t="s">
        <v>4733</v>
      </c>
      <c r="C323" s="1" t="s">
        <v>4734</v>
      </c>
      <c r="D323" s="1" t="s">
        <v>1110</v>
      </c>
      <c r="E323" s="1" t="s">
        <v>104</v>
      </c>
      <c r="F323" s="1" t="s">
        <v>58</v>
      </c>
      <c r="G323" s="1" t="s">
        <v>88</v>
      </c>
      <c r="H323" s="1" t="s">
        <v>221</v>
      </c>
      <c r="I323" s="1" t="s">
        <v>222</v>
      </c>
      <c r="J323" s="1" t="s">
        <v>99</v>
      </c>
      <c r="K323" s="1" t="s">
        <v>100</v>
      </c>
      <c r="L323" s="1" t="s">
        <v>1111</v>
      </c>
      <c r="M323" s="1" t="s">
        <v>65</v>
      </c>
      <c r="N323" s="1" t="s">
        <v>2937</v>
      </c>
      <c r="O323" s="1" t="s">
        <v>4735</v>
      </c>
      <c r="P323" s="1" t="s">
        <v>66</v>
      </c>
      <c r="Q323" s="1" t="s">
        <v>4736</v>
      </c>
      <c r="R323" s="1" t="s">
        <v>4737</v>
      </c>
      <c r="S323" s="1" t="s">
        <v>4738</v>
      </c>
      <c r="T323" s="1" t="s">
        <v>185</v>
      </c>
      <c r="U323" s="1" t="s">
        <v>93</v>
      </c>
    </row>
    <row r="324" customFormat="false" ht="15" hidden="false" customHeight="true" outlineLevel="0" collapsed="false">
      <c r="A324" s="1" t="s">
        <v>1112</v>
      </c>
      <c r="B324" s="1" t="s">
        <v>4614</v>
      </c>
      <c r="C324" s="1" t="s">
        <v>4739</v>
      </c>
      <c r="D324" s="1" t="s">
        <v>1113</v>
      </c>
      <c r="E324" s="1" t="s">
        <v>69</v>
      </c>
      <c r="F324" s="1" t="s">
        <v>41</v>
      </c>
      <c r="G324" s="1" t="s">
        <v>42</v>
      </c>
      <c r="H324" s="1" t="s">
        <v>163</v>
      </c>
      <c r="I324" s="1" t="s">
        <v>164</v>
      </c>
      <c r="J324" s="1" t="s">
        <v>99</v>
      </c>
      <c r="K324" s="1" t="s">
        <v>201</v>
      </c>
      <c r="L324" s="1" t="s">
        <v>1114</v>
      </c>
      <c r="M324" s="1" t="s">
        <v>49</v>
      </c>
      <c r="N324" s="1" t="s">
        <v>2815</v>
      </c>
      <c r="O324" s="1" t="s">
        <v>4740</v>
      </c>
      <c r="P324" s="1" t="s">
        <v>107</v>
      </c>
      <c r="Q324" s="1" t="s">
        <v>4741</v>
      </c>
      <c r="R324" s="1" t="s">
        <v>4742</v>
      </c>
      <c r="S324" s="1" t="s">
        <v>4743</v>
      </c>
      <c r="T324" s="1" t="s">
        <v>52</v>
      </c>
      <c r="U324" s="1" t="s">
        <v>53</v>
      </c>
    </row>
    <row r="325" customFormat="false" ht="15" hidden="false" customHeight="true" outlineLevel="0" collapsed="false">
      <c r="A325" s="1" t="s">
        <v>1115</v>
      </c>
      <c r="B325" s="1" t="s">
        <v>4744</v>
      </c>
      <c r="C325" s="1" t="s">
        <v>4745</v>
      </c>
      <c r="D325" s="1" t="s">
        <v>1116</v>
      </c>
      <c r="E325" s="1" t="s">
        <v>69</v>
      </c>
      <c r="F325" s="1" t="s">
        <v>58</v>
      </c>
      <c r="G325" s="1" t="s">
        <v>88</v>
      </c>
      <c r="H325" s="1" t="s">
        <v>221</v>
      </c>
      <c r="I325" s="1" t="s">
        <v>222</v>
      </c>
      <c r="J325" s="1" t="s">
        <v>62</v>
      </c>
      <c r="K325" s="1" t="s">
        <v>81</v>
      </c>
      <c r="L325" s="1" t="s">
        <v>179</v>
      </c>
      <c r="M325" s="1" t="s">
        <v>83</v>
      </c>
      <c r="N325" s="1" t="s">
        <v>2899</v>
      </c>
      <c r="O325" s="1" t="s">
        <v>4746</v>
      </c>
      <c r="P325" s="1" t="s">
        <v>107</v>
      </c>
      <c r="Q325" s="1" t="s">
        <v>4747</v>
      </c>
      <c r="R325" s="1" t="s">
        <v>4748</v>
      </c>
      <c r="S325" s="1" t="s">
        <v>4749</v>
      </c>
      <c r="T325" s="1" t="s">
        <v>52</v>
      </c>
      <c r="U325" s="1" t="s">
        <v>53</v>
      </c>
    </row>
    <row r="326" customFormat="false" ht="15" hidden="false" customHeight="true" outlineLevel="0" collapsed="false">
      <c r="A326" s="1" t="s">
        <v>1117</v>
      </c>
      <c r="B326" s="1" t="s">
        <v>4750</v>
      </c>
      <c r="C326" s="1" t="s">
        <v>3917</v>
      </c>
      <c r="D326" s="1" t="s">
        <v>1118</v>
      </c>
      <c r="E326" s="1" t="s">
        <v>168</v>
      </c>
      <c r="F326" s="1" t="s">
        <v>121</v>
      </c>
      <c r="G326" s="1" t="s">
        <v>78</v>
      </c>
      <c r="H326" s="1" t="s">
        <v>110</v>
      </c>
      <c r="I326" s="1" t="s">
        <v>111</v>
      </c>
      <c r="J326" s="1" t="s">
        <v>46</v>
      </c>
      <c r="K326" s="1" t="s">
        <v>117</v>
      </c>
      <c r="L326" s="1" t="s">
        <v>1119</v>
      </c>
      <c r="M326" s="1" t="s">
        <v>65</v>
      </c>
      <c r="N326" s="1" t="s">
        <v>2836</v>
      </c>
      <c r="O326" s="1" t="s">
        <v>4751</v>
      </c>
      <c r="P326" s="1" t="s">
        <v>107</v>
      </c>
      <c r="Q326" s="1" t="s">
        <v>4752</v>
      </c>
      <c r="R326" s="1" t="s">
        <v>4753</v>
      </c>
      <c r="S326" s="1" t="s">
        <v>4754</v>
      </c>
      <c r="T326" s="1" t="s">
        <v>52</v>
      </c>
      <c r="U326" s="1" t="s">
        <v>130</v>
      </c>
    </row>
    <row r="327" customFormat="false" ht="15" hidden="false" customHeight="true" outlineLevel="0" collapsed="false">
      <c r="A327" s="1" t="s">
        <v>1120</v>
      </c>
      <c r="B327" s="1" t="s">
        <v>4755</v>
      </c>
      <c r="C327" s="1" t="s">
        <v>4756</v>
      </c>
      <c r="D327" s="1" t="s">
        <v>1121</v>
      </c>
      <c r="E327" s="1" t="s">
        <v>159</v>
      </c>
      <c r="F327" s="1" t="s">
        <v>121</v>
      </c>
      <c r="G327" s="1" t="s">
        <v>59</v>
      </c>
      <c r="H327" s="1" t="s">
        <v>125</v>
      </c>
      <c r="I327" s="1" t="s">
        <v>126</v>
      </c>
      <c r="J327" s="1" t="s">
        <v>99</v>
      </c>
      <c r="K327" s="1" t="s">
        <v>105</v>
      </c>
      <c r="L327" s="1" t="s">
        <v>1122</v>
      </c>
      <c r="M327" s="1" t="s">
        <v>49</v>
      </c>
      <c r="N327" s="1" t="s">
        <v>2829</v>
      </c>
      <c r="O327" s="1" t="s">
        <v>4757</v>
      </c>
      <c r="P327" s="1" t="s">
        <v>107</v>
      </c>
      <c r="Q327" s="1" t="s">
        <v>4758</v>
      </c>
      <c r="R327" s="1" t="s">
        <v>4759</v>
      </c>
      <c r="S327" s="1" t="s">
        <v>4760</v>
      </c>
      <c r="T327" s="1" t="s">
        <v>52</v>
      </c>
      <c r="U327" s="1" t="s">
        <v>53</v>
      </c>
    </row>
    <row r="328" customFormat="false" ht="15" hidden="false" customHeight="true" outlineLevel="0" collapsed="false">
      <c r="A328" s="1" t="s">
        <v>1123</v>
      </c>
      <c r="B328" s="1" t="s">
        <v>4761</v>
      </c>
      <c r="C328" s="1" t="s">
        <v>4586</v>
      </c>
      <c r="D328" s="1" t="s">
        <v>1124</v>
      </c>
      <c r="E328" s="1" t="s">
        <v>159</v>
      </c>
      <c r="F328" s="1" t="s">
        <v>116</v>
      </c>
      <c r="G328" s="1" t="s">
        <v>59</v>
      </c>
      <c r="H328" s="1" t="s">
        <v>262</v>
      </c>
      <c r="I328" s="1" t="s">
        <v>263</v>
      </c>
      <c r="J328" s="1" t="s">
        <v>62</v>
      </c>
      <c r="K328" s="1" t="s">
        <v>81</v>
      </c>
      <c r="L328" s="1" t="s">
        <v>1125</v>
      </c>
      <c r="M328" s="1" t="s">
        <v>65</v>
      </c>
      <c r="N328" s="1" t="s">
        <v>2829</v>
      </c>
      <c r="O328" s="1" t="s">
        <v>4762</v>
      </c>
      <c r="P328" s="1" t="s">
        <v>128</v>
      </c>
      <c r="Q328" s="1" t="s">
        <v>4763</v>
      </c>
      <c r="R328" s="1" t="s">
        <v>4764</v>
      </c>
      <c r="S328" s="1" t="s">
        <v>4765</v>
      </c>
      <c r="T328" s="1" t="s">
        <v>52</v>
      </c>
      <c r="U328" s="1" t="s">
        <v>53</v>
      </c>
    </row>
    <row r="329" customFormat="false" ht="15" hidden="false" customHeight="true" outlineLevel="0" collapsed="false">
      <c r="A329" s="1" t="s">
        <v>1126</v>
      </c>
      <c r="B329" s="1" t="s">
        <v>4766</v>
      </c>
      <c r="C329" s="1" t="s">
        <v>3130</v>
      </c>
      <c r="D329" s="1" t="s">
        <v>1127</v>
      </c>
      <c r="E329" s="1" t="s">
        <v>69</v>
      </c>
      <c r="F329" s="1" t="s">
        <v>41</v>
      </c>
      <c r="G329" s="1" t="s">
        <v>88</v>
      </c>
      <c r="H329" s="1" t="s">
        <v>44</v>
      </c>
      <c r="I329" s="1" t="s">
        <v>136</v>
      </c>
      <c r="J329" s="1" t="s">
        <v>99</v>
      </c>
      <c r="K329" s="1" t="s">
        <v>100</v>
      </c>
      <c r="L329" s="1" t="s">
        <v>1128</v>
      </c>
      <c r="M329" s="1" t="s">
        <v>49</v>
      </c>
      <c r="N329" s="1" t="s">
        <v>2822</v>
      </c>
      <c r="O329" s="1" t="s">
        <v>4767</v>
      </c>
      <c r="P329" s="1" t="s">
        <v>50</v>
      </c>
      <c r="Q329" s="1" t="s">
        <v>4768</v>
      </c>
      <c r="R329" s="1" t="s">
        <v>4769</v>
      </c>
      <c r="S329" s="1" t="s">
        <v>4770</v>
      </c>
      <c r="T329" s="1" t="s">
        <v>138</v>
      </c>
      <c r="U329" s="1" t="s">
        <v>93</v>
      </c>
    </row>
    <row r="330" customFormat="false" ht="15" hidden="false" customHeight="true" outlineLevel="0" collapsed="false">
      <c r="A330" s="1" t="s">
        <v>1129</v>
      </c>
      <c r="B330" s="1" t="s">
        <v>4771</v>
      </c>
      <c r="C330" s="1" t="s">
        <v>4495</v>
      </c>
      <c r="D330" s="1" t="s">
        <v>1130</v>
      </c>
      <c r="E330" s="1" t="s">
        <v>192</v>
      </c>
      <c r="F330" s="1" t="s">
        <v>41</v>
      </c>
      <c r="G330" s="1" t="s">
        <v>88</v>
      </c>
      <c r="H330" s="1" t="s">
        <v>89</v>
      </c>
      <c r="I330" s="1" t="s">
        <v>90</v>
      </c>
      <c r="J330" s="1" t="s">
        <v>46</v>
      </c>
      <c r="K330" s="1" t="s">
        <v>151</v>
      </c>
      <c r="L330" s="1" t="s">
        <v>1131</v>
      </c>
      <c r="M330" s="1" t="s">
        <v>72</v>
      </c>
      <c r="N330" s="1" t="s">
        <v>2815</v>
      </c>
      <c r="O330" s="1" t="s">
        <v>4772</v>
      </c>
      <c r="P330" s="1" t="s">
        <v>66</v>
      </c>
      <c r="Q330" s="1" t="s">
        <v>4773</v>
      </c>
      <c r="R330" s="1" t="s">
        <v>4774</v>
      </c>
      <c r="S330" s="1" t="s">
        <v>4775</v>
      </c>
      <c r="T330" s="1" t="s">
        <v>52</v>
      </c>
      <c r="U330" s="1" t="s">
        <v>53</v>
      </c>
    </row>
    <row r="331" customFormat="false" ht="15" hidden="false" customHeight="true" outlineLevel="0" collapsed="false">
      <c r="A331" s="1" t="s">
        <v>1132</v>
      </c>
      <c r="B331" s="1" t="s">
        <v>4776</v>
      </c>
      <c r="C331" s="1" t="s">
        <v>4777</v>
      </c>
      <c r="D331" s="1" t="s">
        <v>1133</v>
      </c>
      <c r="E331" s="1" t="s">
        <v>104</v>
      </c>
      <c r="F331" s="1" t="s">
        <v>58</v>
      </c>
      <c r="G331" s="1" t="s">
        <v>88</v>
      </c>
      <c r="H331" s="1" t="s">
        <v>89</v>
      </c>
      <c r="I331" s="1" t="s">
        <v>90</v>
      </c>
      <c r="J331" s="1" t="s">
        <v>46</v>
      </c>
      <c r="K331" s="1" t="s">
        <v>151</v>
      </c>
      <c r="L331" s="1" t="s">
        <v>1134</v>
      </c>
      <c r="M331" s="1" t="s">
        <v>83</v>
      </c>
      <c r="N331" s="1" t="s">
        <v>2937</v>
      </c>
      <c r="O331" s="1" t="s">
        <v>4778</v>
      </c>
      <c r="P331" s="1" t="s">
        <v>128</v>
      </c>
      <c r="Q331" s="1" t="s">
        <v>4779</v>
      </c>
      <c r="R331" s="1" t="s">
        <v>4780</v>
      </c>
      <c r="S331" s="1" t="s">
        <v>4781</v>
      </c>
      <c r="T331" s="1" t="s">
        <v>52</v>
      </c>
      <c r="U331" s="1" t="s">
        <v>53</v>
      </c>
    </row>
    <row r="332" customFormat="false" ht="15" hidden="false" customHeight="true" outlineLevel="0" collapsed="false">
      <c r="A332" s="1" t="s">
        <v>1135</v>
      </c>
      <c r="B332" s="1" t="s">
        <v>4139</v>
      </c>
      <c r="C332" s="1" t="s">
        <v>2879</v>
      </c>
      <c r="D332" s="1" t="s">
        <v>1136</v>
      </c>
      <c r="E332" s="1" t="s">
        <v>77</v>
      </c>
      <c r="F332" s="1" t="s">
        <v>121</v>
      </c>
      <c r="G332" s="1" t="s">
        <v>42</v>
      </c>
      <c r="H332" s="1" t="s">
        <v>149</v>
      </c>
      <c r="I332" s="1" t="s">
        <v>150</v>
      </c>
      <c r="J332" s="1" t="s">
        <v>99</v>
      </c>
      <c r="K332" s="1" t="s">
        <v>100</v>
      </c>
      <c r="L332" s="1" t="s">
        <v>1137</v>
      </c>
      <c r="M332" s="1" t="s">
        <v>65</v>
      </c>
      <c r="N332" s="1" t="s">
        <v>2836</v>
      </c>
      <c r="O332" s="1" t="s">
        <v>4782</v>
      </c>
      <c r="P332" s="1" t="s">
        <v>66</v>
      </c>
      <c r="Q332" s="1" t="s">
        <v>4782</v>
      </c>
      <c r="R332" s="1" t="s">
        <v>4783</v>
      </c>
      <c r="S332" s="1" t="s">
        <v>4784</v>
      </c>
      <c r="T332" s="1" t="s">
        <v>185</v>
      </c>
      <c r="U332" s="1" t="s">
        <v>93</v>
      </c>
    </row>
    <row r="333" customFormat="false" ht="15" hidden="false" customHeight="true" outlineLevel="0" collapsed="false">
      <c r="A333" s="1" t="s">
        <v>1138</v>
      </c>
      <c r="B333" s="1" t="s">
        <v>3648</v>
      </c>
      <c r="C333" s="1" t="s">
        <v>4785</v>
      </c>
      <c r="D333" s="1" t="s">
        <v>1139</v>
      </c>
      <c r="E333" s="1" t="s">
        <v>159</v>
      </c>
      <c r="F333" s="1" t="s">
        <v>121</v>
      </c>
      <c r="G333" s="1" t="s">
        <v>59</v>
      </c>
      <c r="H333" s="1" t="s">
        <v>60</v>
      </c>
      <c r="I333" s="1" t="s">
        <v>61</v>
      </c>
      <c r="J333" s="1" t="s">
        <v>46</v>
      </c>
      <c r="K333" s="1" t="s">
        <v>183</v>
      </c>
      <c r="L333" s="1" t="s">
        <v>1140</v>
      </c>
      <c r="M333" s="1" t="s">
        <v>49</v>
      </c>
      <c r="N333" s="1" t="s">
        <v>2937</v>
      </c>
      <c r="O333" s="1" t="s">
        <v>4786</v>
      </c>
      <c r="P333" s="1" t="s">
        <v>66</v>
      </c>
      <c r="Q333" s="1" t="s">
        <v>4787</v>
      </c>
      <c r="R333" s="1" t="s">
        <v>4788</v>
      </c>
      <c r="S333" s="1" t="s">
        <v>4789</v>
      </c>
      <c r="T333" s="1" t="s">
        <v>52</v>
      </c>
      <c r="U333" s="1" t="s">
        <v>130</v>
      </c>
    </row>
    <row r="334" customFormat="false" ht="15" hidden="false" customHeight="true" outlineLevel="0" collapsed="false">
      <c r="A334" s="1" t="s">
        <v>1141</v>
      </c>
      <c r="B334" s="1" t="s">
        <v>4790</v>
      </c>
      <c r="C334" s="1" t="s">
        <v>4791</v>
      </c>
      <c r="D334" s="1" t="s">
        <v>1142</v>
      </c>
      <c r="E334" s="1" t="s">
        <v>155</v>
      </c>
      <c r="F334" s="1" t="s">
        <v>41</v>
      </c>
      <c r="G334" s="1" t="s">
        <v>78</v>
      </c>
      <c r="H334" s="1" t="s">
        <v>110</v>
      </c>
      <c r="I334" s="1" t="s">
        <v>111</v>
      </c>
      <c r="J334" s="1" t="s">
        <v>99</v>
      </c>
      <c r="K334" s="1" t="s">
        <v>4792</v>
      </c>
      <c r="L334" s="1" t="s">
        <v>1143</v>
      </c>
      <c r="M334" s="1" t="s">
        <v>49</v>
      </c>
      <c r="N334" s="1" t="s">
        <v>2868</v>
      </c>
      <c r="O334" s="1" t="s">
        <v>4793</v>
      </c>
      <c r="P334" s="1" t="s">
        <v>66</v>
      </c>
      <c r="Q334" s="1" t="s">
        <v>4794</v>
      </c>
      <c r="R334" s="1" t="s">
        <v>4795</v>
      </c>
      <c r="S334" s="1" t="s">
        <v>4796</v>
      </c>
      <c r="T334" s="1" t="s">
        <v>52</v>
      </c>
      <c r="U334" s="1" t="s">
        <v>53</v>
      </c>
    </row>
    <row r="335" customFormat="false" ht="15" hidden="false" customHeight="true" outlineLevel="0" collapsed="false">
      <c r="A335" s="1" t="s">
        <v>1144</v>
      </c>
      <c r="B335" s="1" t="s">
        <v>4797</v>
      </c>
      <c r="C335" s="1" t="s">
        <v>4798</v>
      </c>
      <c r="D335" s="1" t="s">
        <v>1145</v>
      </c>
      <c r="E335" s="1" t="s">
        <v>168</v>
      </c>
      <c r="F335" s="1" t="s">
        <v>121</v>
      </c>
      <c r="H335" s="1" t="s">
        <v>384</v>
      </c>
      <c r="I335" s="1" t="s">
        <v>385</v>
      </c>
      <c r="J335" s="1" t="s">
        <v>99</v>
      </c>
      <c r="K335" s="1" t="s">
        <v>201</v>
      </c>
      <c r="L335" s="1" t="s">
        <v>1146</v>
      </c>
      <c r="M335" s="1" t="s">
        <v>72</v>
      </c>
      <c r="N335" s="1" t="s">
        <v>2868</v>
      </c>
      <c r="O335" s="1" t="s">
        <v>4799</v>
      </c>
      <c r="P335" s="1" t="s">
        <v>66</v>
      </c>
      <c r="Q335" s="1" t="s">
        <v>4800</v>
      </c>
      <c r="R335" s="1" t="s">
        <v>4801</v>
      </c>
      <c r="S335" s="1" t="s">
        <v>4802</v>
      </c>
      <c r="T335" s="1" t="s">
        <v>52</v>
      </c>
      <c r="U335" s="1" t="s">
        <v>53</v>
      </c>
    </row>
    <row r="336" customFormat="false" ht="15" hidden="false" customHeight="true" outlineLevel="0" collapsed="false">
      <c r="A336" s="1" t="s">
        <v>1147</v>
      </c>
      <c r="B336" s="1" t="s">
        <v>4803</v>
      </c>
      <c r="C336" s="1" t="s">
        <v>4804</v>
      </c>
      <c r="D336" s="1" t="s">
        <v>1148</v>
      </c>
      <c r="E336" s="1" t="s">
        <v>87</v>
      </c>
      <c r="F336" s="1" t="s">
        <v>41</v>
      </c>
      <c r="G336" s="1" t="s">
        <v>59</v>
      </c>
      <c r="H336" s="1" t="s">
        <v>262</v>
      </c>
      <c r="I336" s="1" t="s">
        <v>263</v>
      </c>
      <c r="J336" s="1" t="s">
        <v>46</v>
      </c>
      <c r="K336" s="1" t="s">
        <v>151</v>
      </c>
      <c r="L336" s="1" t="s">
        <v>1149</v>
      </c>
      <c r="M336" s="1" t="s">
        <v>72</v>
      </c>
      <c r="N336" s="1" t="s">
        <v>2899</v>
      </c>
      <c r="O336" s="1" t="s">
        <v>4805</v>
      </c>
      <c r="P336" s="1" t="s">
        <v>84</v>
      </c>
      <c r="Q336" s="1" t="s">
        <v>4806</v>
      </c>
      <c r="R336" s="1" t="s">
        <v>4807</v>
      </c>
      <c r="S336" s="1" t="s">
        <v>4808</v>
      </c>
      <c r="T336" s="1" t="s">
        <v>52</v>
      </c>
      <c r="U336" s="1" t="s">
        <v>53</v>
      </c>
    </row>
    <row r="337" customFormat="false" ht="15" hidden="false" customHeight="true" outlineLevel="0" collapsed="false">
      <c r="A337" s="1" t="s">
        <v>1150</v>
      </c>
      <c r="B337" s="1" t="s">
        <v>4809</v>
      </c>
      <c r="C337" s="1" t="s">
        <v>4810</v>
      </c>
      <c r="D337" s="1" t="s">
        <v>1151</v>
      </c>
      <c r="E337" s="1" t="s">
        <v>145</v>
      </c>
      <c r="F337" s="1" t="s">
        <v>121</v>
      </c>
      <c r="G337" s="1" t="s">
        <v>88</v>
      </c>
      <c r="H337" s="1" t="s">
        <v>97</v>
      </c>
      <c r="I337" s="1" t="s">
        <v>98</v>
      </c>
      <c r="J337" s="1" t="s">
        <v>46</v>
      </c>
      <c r="K337" s="1" t="s">
        <v>47</v>
      </c>
      <c r="L337" s="1" t="s">
        <v>1152</v>
      </c>
      <c r="M337" s="1" t="s">
        <v>72</v>
      </c>
      <c r="N337" s="1" t="s">
        <v>2822</v>
      </c>
      <c r="O337" s="1" t="s">
        <v>4811</v>
      </c>
      <c r="P337" s="1" t="s">
        <v>203</v>
      </c>
      <c r="Q337" s="1" t="s">
        <v>4812</v>
      </c>
      <c r="R337" s="1" t="s">
        <v>4813</v>
      </c>
      <c r="S337" s="1" t="s">
        <v>4814</v>
      </c>
      <c r="T337" s="1" t="s">
        <v>52</v>
      </c>
      <c r="U337" s="1" t="s">
        <v>53</v>
      </c>
    </row>
    <row r="338" customFormat="false" ht="15" hidden="false" customHeight="true" outlineLevel="0" collapsed="false">
      <c r="A338" s="1" t="s">
        <v>1153</v>
      </c>
      <c r="B338" s="1" t="s">
        <v>3178</v>
      </c>
      <c r="C338" s="1" t="s">
        <v>4815</v>
      </c>
      <c r="D338" s="1" t="s">
        <v>904</v>
      </c>
      <c r="E338" s="1" t="s">
        <v>155</v>
      </c>
      <c r="F338" s="1" t="s">
        <v>41</v>
      </c>
      <c r="G338" s="1" t="s">
        <v>42</v>
      </c>
      <c r="H338" s="1" t="s">
        <v>44</v>
      </c>
      <c r="I338" s="1" t="s">
        <v>45</v>
      </c>
      <c r="J338" s="1" t="s">
        <v>99</v>
      </c>
      <c r="K338" s="1" t="s">
        <v>105</v>
      </c>
      <c r="L338" s="1" t="s">
        <v>1154</v>
      </c>
      <c r="M338" s="1" t="s">
        <v>72</v>
      </c>
      <c r="N338" s="1" t="s">
        <v>2861</v>
      </c>
      <c r="O338" s="1" t="s">
        <v>4816</v>
      </c>
      <c r="P338" s="1" t="s">
        <v>66</v>
      </c>
      <c r="Q338" s="1" t="s">
        <v>4817</v>
      </c>
      <c r="R338" s="1" t="s">
        <v>4818</v>
      </c>
      <c r="S338" s="1" t="s">
        <v>4819</v>
      </c>
      <c r="T338" s="1" t="s">
        <v>52</v>
      </c>
      <c r="U338" s="1" t="s">
        <v>53</v>
      </c>
    </row>
    <row r="339" customFormat="false" ht="15" hidden="false" customHeight="true" outlineLevel="0" collapsed="false">
      <c r="A339" s="1" t="s">
        <v>1155</v>
      </c>
      <c r="B339" s="1" t="s">
        <v>4820</v>
      </c>
      <c r="C339" s="1" t="s">
        <v>4821</v>
      </c>
      <c r="D339" s="1" t="s">
        <v>1156</v>
      </c>
      <c r="E339" s="1" t="s">
        <v>87</v>
      </c>
      <c r="F339" s="1" t="s">
        <v>41</v>
      </c>
      <c r="G339" s="1" t="s">
        <v>59</v>
      </c>
      <c r="H339" s="1" t="s">
        <v>196</v>
      </c>
      <c r="I339" s="1" t="s">
        <v>197</v>
      </c>
      <c r="J339" s="1" t="s">
        <v>46</v>
      </c>
      <c r="K339" s="1" t="s">
        <v>117</v>
      </c>
      <c r="L339" s="1" t="s">
        <v>1157</v>
      </c>
      <c r="M339" s="1" t="s">
        <v>65</v>
      </c>
      <c r="N339" s="1" t="s">
        <v>2815</v>
      </c>
      <c r="O339" s="1" t="s">
        <v>4822</v>
      </c>
      <c r="P339" s="1" t="s">
        <v>66</v>
      </c>
      <c r="Q339" s="1" t="s">
        <v>4823</v>
      </c>
      <c r="R339" s="1" t="s">
        <v>4824</v>
      </c>
      <c r="S339" s="1" t="s">
        <v>4825</v>
      </c>
      <c r="T339" s="1" t="s">
        <v>52</v>
      </c>
      <c r="U339" s="1" t="s">
        <v>53</v>
      </c>
    </row>
    <row r="340" customFormat="false" ht="15" hidden="false" customHeight="true" outlineLevel="0" collapsed="false">
      <c r="A340" s="1" t="s">
        <v>1158</v>
      </c>
      <c r="B340" s="1" t="s">
        <v>4826</v>
      </c>
      <c r="C340" s="1" t="s">
        <v>4528</v>
      </c>
      <c r="D340" s="1" t="s">
        <v>1159</v>
      </c>
      <c r="E340" s="1" t="s">
        <v>77</v>
      </c>
      <c r="F340" s="1" t="s">
        <v>58</v>
      </c>
      <c r="G340" s="1" t="s">
        <v>78</v>
      </c>
      <c r="H340" s="1" t="s">
        <v>110</v>
      </c>
      <c r="I340" s="1" t="s">
        <v>111</v>
      </c>
      <c r="J340" s="1" t="s">
        <v>99</v>
      </c>
      <c r="K340" s="1" t="s">
        <v>100</v>
      </c>
      <c r="L340" s="1" t="s">
        <v>1160</v>
      </c>
      <c r="M340" s="1" t="s">
        <v>72</v>
      </c>
      <c r="N340" s="1" t="s">
        <v>2861</v>
      </c>
      <c r="O340" s="1" t="s">
        <v>4827</v>
      </c>
      <c r="P340" s="1" t="s">
        <v>84</v>
      </c>
      <c r="Q340" s="1" t="s">
        <v>4828</v>
      </c>
      <c r="R340" s="1" t="s">
        <v>4829</v>
      </c>
      <c r="S340" s="1" t="s">
        <v>4830</v>
      </c>
      <c r="T340" s="1" t="s">
        <v>52</v>
      </c>
      <c r="U340" s="1" t="s">
        <v>53</v>
      </c>
    </row>
    <row r="341" customFormat="false" ht="15" hidden="false" customHeight="true" outlineLevel="0" collapsed="false">
      <c r="A341" s="1" t="s">
        <v>1161</v>
      </c>
      <c r="B341" s="1" t="s">
        <v>3884</v>
      </c>
      <c r="C341" s="1" t="s">
        <v>4831</v>
      </c>
      <c r="D341" s="1" t="s">
        <v>1162</v>
      </c>
      <c r="E341" s="1" t="s">
        <v>104</v>
      </c>
      <c r="F341" s="1" t="s">
        <v>116</v>
      </c>
      <c r="G341" s="1" t="s">
        <v>59</v>
      </c>
      <c r="H341" s="1" t="s">
        <v>262</v>
      </c>
      <c r="I341" s="1" t="s">
        <v>263</v>
      </c>
      <c r="J341" s="1" t="s">
        <v>62</v>
      </c>
      <c r="K341" s="1" t="s">
        <v>188</v>
      </c>
      <c r="L341" s="1" t="s">
        <v>1163</v>
      </c>
      <c r="M341" s="1" t="s">
        <v>83</v>
      </c>
      <c r="N341" s="1" t="s">
        <v>2861</v>
      </c>
      <c r="O341" s="1" t="s">
        <v>4832</v>
      </c>
      <c r="P341" s="1" t="s">
        <v>50</v>
      </c>
      <c r="Q341" s="1" t="s">
        <v>4833</v>
      </c>
      <c r="R341" s="1" t="s">
        <v>4834</v>
      </c>
      <c r="S341" s="1" t="s">
        <v>4835</v>
      </c>
      <c r="T341" s="1" t="s">
        <v>52</v>
      </c>
      <c r="U341" s="1" t="s">
        <v>53</v>
      </c>
    </row>
    <row r="342" customFormat="false" ht="15" hidden="false" customHeight="true" outlineLevel="0" collapsed="false">
      <c r="A342" s="1" t="s">
        <v>1164</v>
      </c>
      <c r="B342" s="1" t="s">
        <v>4836</v>
      </c>
      <c r="C342" s="1" t="s">
        <v>4837</v>
      </c>
      <c r="D342" s="1" t="s">
        <v>1165</v>
      </c>
      <c r="E342" s="1" t="s">
        <v>104</v>
      </c>
      <c r="F342" s="1" t="s">
        <v>41</v>
      </c>
      <c r="G342" s="1" t="s">
        <v>78</v>
      </c>
      <c r="H342" s="1" t="s">
        <v>206</v>
      </c>
      <c r="I342" s="1" t="s">
        <v>207</v>
      </c>
      <c r="J342" s="1" t="s">
        <v>46</v>
      </c>
      <c r="K342" s="1" t="s">
        <v>183</v>
      </c>
      <c r="L342" s="1" t="s">
        <v>1166</v>
      </c>
      <c r="M342" s="1" t="s">
        <v>83</v>
      </c>
      <c r="N342" s="1" t="s">
        <v>2829</v>
      </c>
      <c r="O342" s="1" t="s">
        <v>4838</v>
      </c>
      <c r="P342" s="1" t="s">
        <v>203</v>
      </c>
      <c r="Q342" s="1" t="s">
        <v>4839</v>
      </c>
      <c r="R342" s="1" t="s">
        <v>4840</v>
      </c>
      <c r="S342" s="1" t="s">
        <v>4841</v>
      </c>
      <c r="T342" s="1" t="s">
        <v>52</v>
      </c>
      <c r="U342" s="1" t="s">
        <v>53</v>
      </c>
    </row>
    <row r="343" customFormat="false" ht="15" hidden="false" customHeight="true" outlineLevel="0" collapsed="false">
      <c r="A343" s="1" t="s">
        <v>1167</v>
      </c>
      <c r="B343" s="1" t="s">
        <v>2866</v>
      </c>
      <c r="C343" s="1" t="s">
        <v>2867</v>
      </c>
      <c r="D343" s="1" t="s">
        <v>1168</v>
      </c>
      <c r="E343" s="1" t="s">
        <v>168</v>
      </c>
      <c r="F343" s="1" t="s">
        <v>121</v>
      </c>
      <c r="G343" s="1" t="s">
        <v>88</v>
      </c>
      <c r="H343" s="1" t="s">
        <v>211</v>
      </c>
      <c r="I343" s="1" t="s">
        <v>212</v>
      </c>
      <c r="J343" s="1" t="s">
        <v>62</v>
      </c>
      <c r="K343" s="1" t="s">
        <v>91</v>
      </c>
      <c r="L343" s="1" t="s">
        <v>1169</v>
      </c>
      <c r="M343" s="1" t="s">
        <v>49</v>
      </c>
      <c r="N343" s="1" t="s">
        <v>2868</v>
      </c>
      <c r="O343" s="1" t="s">
        <v>4842</v>
      </c>
      <c r="P343" s="1" t="s">
        <v>128</v>
      </c>
      <c r="Q343" s="1" t="s">
        <v>4843</v>
      </c>
      <c r="R343" s="1" t="s">
        <v>4844</v>
      </c>
      <c r="S343" s="1" t="s">
        <v>4845</v>
      </c>
      <c r="T343" s="1" t="s">
        <v>52</v>
      </c>
      <c r="U343" s="1" t="s">
        <v>53</v>
      </c>
    </row>
    <row r="344" customFormat="false" ht="15" hidden="false" customHeight="true" outlineLevel="0" collapsed="false">
      <c r="A344" s="1" t="s">
        <v>1170</v>
      </c>
      <c r="B344" s="1" t="s">
        <v>4846</v>
      </c>
      <c r="C344" s="1" t="s">
        <v>2827</v>
      </c>
      <c r="D344" s="1" t="s">
        <v>1171</v>
      </c>
      <c r="E344" s="1" t="s">
        <v>298</v>
      </c>
      <c r="F344" s="1" t="s">
        <v>58</v>
      </c>
      <c r="G344" s="1" t="s">
        <v>59</v>
      </c>
      <c r="H344" s="1" t="s">
        <v>262</v>
      </c>
      <c r="I344" s="1" t="s">
        <v>263</v>
      </c>
      <c r="J344" s="1" t="s">
        <v>46</v>
      </c>
      <c r="K344" s="1" t="s">
        <v>183</v>
      </c>
      <c r="L344" s="1" t="s">
        <v>1172</v>
      </c>
      <c r="M344" s="1" t="s">
        <v>72</v>
      </c>
      <c r="N344" s="1" t="s">
        <v>2861</v>
      </c>
      <c r="O344" s="1" t="s">
        <v>4847</v>
      </c>
      <c r="P344" s="1" t="s">
        <v>66</v>
      </c>
      <c r="Q344" s="1" t="s">
        <v>4848</v>
      </c>
      <c r="R344" s="1" t="s">
        <v>4849</v>
      </c>
      <c r="S344" s="1" t="s">
        <v>4850</v>
      </c>
      <c r="T344" s="1" t="s">
        <v>52</v>
      </c>
      <c r="U344" s="1" t="s">
        <v>53</v>
      </c>
    </row>
    <row r="345" customFormat="false" ht="15" hidden="false" customHeight="true" outlineLevel="0" collapsed="false">
      <c r="A345" s="1" t="s">
        <v>1173</v>
      </c>
      <c r="B345" s="1" t="s">
        <v>4851</v>
      </c>
      <c r="C345" s="1" t="s">
        <v>4214</v>
      </c>
      <c r="D345" s="1" t="s">
        <v>1174</v>
      </c>
      <c r="E345" s="1" t="s">
        <v>155</v>
      </c>
      <c r="F345" s="1" t="s">
        <v>116</v>
      </c>
      <c r="G345" s="1" t="s">
        <v>88</v>
      </c>
      <c r="H345" s="1" t="s">
        <v>97</v>
      </c>
      <c r="I345" s="1" t="s">
        <v>98</v>
      </c>
      <c r="J345" s="1" t="s">
        <v>99</v>
      </c>
      <c r="K345" s="1" t="s">
        <v>308</v>
      </c>
      <c r="L345" s="1" t="s">
        <v>1175</v>
      </c>
      <c r="M345" s="1" t="s">
        <v>65</v>
      </c>
      <c r="N345" s="1" t="s">
        <v>2899</v>
      </c>
      <c r="O345" s="1" t="s">
        <v>4852</v>
      </c>
      <c r="P345" s="1" t="s">
        <v>203</v>
      </c>
      <c r="Q345" s="1" t="s">
        <v>4853</v>
      </c>
      <c r="R345" s="1" t="s">
        <v>4854</v>
      </c>
      <c r="S345" s="1" t="s">
        <v>4855</v>
      </c>
      <c r="T345" s="1" t="s">
        <v>52</v>
      </c>
      <c r="U345" s="1" t="s">
        <v>53</v>
      </c>
    </row>
    <row r="346" customFormat="false" ht="15" hidden="false" customHeight="true" outlineLevel="0" collapsed="false">
      <c r="A346" s="1" t="s">
        <v>1176</v>
      </c>
      <c r="B346" s="1" t="s">
        <v>4580</v>
      </c>
      <c r="C346" s="1" t="s">
        <v>4580</v>
      </c>
      <c r="D346" s="1" t="s">
        <v>1177</v>
      </c>
      <c r="E346" s="1" t="s">
        <v>141</v>
      </c>
      <c r="F346" s="1" t="s">
        <v>41</v>
      </c>
      <c r="G346" s="1" t="s">
        <v>42</v>
      </c>
      <c r="H346" s="1" t="s">
        <v>149</v>
      </c>
      <c r="I346" s="1" t="s">
        <v>150</v>
      </c>
      <c r="J346" s="1" t="s">
        <v>62</v>
      </c>
      <c r="K346" s="1" t="s">
        <v>188</v>
      </c>
      <c r="L346" s="1" t="s">
        <v>1178</v>
      </c>
      <c r="M346" s="1" t="s">
        <v>65</v>
      </c>
      <c r="N346" s="1" t="s">
        <v>2899</v>
      </c>
      <c r="O346" s="1" t="s">
        <v>4856</v>
      </c>
      <c r="P346" s="1" t="s">
        <v>66</v>
      </c>
      <c r="Q346" s="1" t="s">
        <v>4857</v>
      </c>
      <c r="R346" s="1" t="s">
        <v>4858</v>
      </c>
      <c r="S346" s="1" t="s">
        <v>4859</v>
      </c>
      <c r="T346" s="1" t="s">
        <v>138</v>
      </c>
      <c r="U346" s="1" t="s">
        <v>130</v>
      </c>
    </row>
    <row r="347" customFormat="false" ht="15" hidden="false" customHeight="true" outlineLevel="0" collapsed="false">
      <c r="A347" s="1" t="s">
        <v>1179</v>
      </c>
      <c r="B347" s="1" t="s">
        <v>4860</v>
      </c>
      <c r="C347" s="1" t="s">
        <v>4861</v>
      </c>
      <c r="D347" s="1" t="s">
        <v>1180</v>
      </c>
      <c r="E347" s="1" t="s">
        <v>40</v>
      </c>
      <c r="F347" s="1" t="s">
        <v>41</v>
      </c>
      <c r="G347" s="1" t="s">
        <v>88</v>
      </c>
      <c r="H347" s="1" t="s">
        <v>97</v>
      </c>
      <c r="I347" s="1" t="s">
        <v>98</v>
      </c>
      <c r="J347" s="1" t="s">
        <v>62</v>
      </c>
      <c r="K347" s="1" t="s">
        <v>81</v>
      </c>
      <c r="L347" s="1" t="s">
        <v>1181</v>
      </c>
      <c r="M347" s="1" t="s">
        <v>49</v>
      </c>
      <c r="N347" s="1" t="s">
        <v>2868</v>
      </c>
      <c r="O347" s="1" t="s">
        <v>4862</v>
      </c>
      <c r="P347" s="1" t="s">
        <v>66</v>
      </c>
      <c r="Q347" s="1" t="s">
        <v>4863</v>
      </c>
      <c r="R347" s="1" t="s">
        <v>4864</v>
      </c>
      <c r="S347" s="1" t="s">
        <v>4865</v>
      </c>
      <c r="T347" s="1" t="s">
        <v>52</v>
      </c>
      <c r="U347" s="1" t="s">
        <v>53</v>
      </c>
    </row>
    <row r="348" customFormat="false" ht="15" hidden="false" customHeight="true" outlineLevel="0" collapsed="false">
      <c r="A348" s="1" t="s">
        <v>1182</v>
      </c>
      <c r="B348" s="1" t="s">
        <v>4761</v>
      </c>
      <c r="C348" s="1" t="s">
        <v>4866</v>
      </c>
      <c r="D348" s="1" t="s">
        <v>1183</v>
      </c>
      <c r="E348" s="1" t="s">
        <v>145</v>
      </c>
      <c r="F348" s="1" t="s">
        <v>116</v>
      </c>
      <c r="G348" s="1" t="s">
        <v>78</v>
      </c>
      <c r="H348" s="1" t="s">
        <v>216</v>
      </c>
      <c r="I348" s="1" t="s">
        <v>217</v>
      </c>
      <c r="J348" s="1" t="s">
        <v>62</v>
      </c>
      <c r="K348" s="1" t="s">
        <v>91</v>
      </c>
      <c r="L348" s="1" t="s">
        <v>1184</v>
      </c>
      <c r="M348" s="1" t="s">
        <v>49</v>
      </c>
      <c r="N348" s="1" t="s">
        <v>2815</v>
      </c>
      <c r="O348" s="1" t="s">
        <v>4867</v>
      </c>
      <c r="P348" s="1" t="s">
        <v>50</v>
      </c>
      <c r="Q348" s="1" t="s">
        <v>4868</v>
      </c>
      <c r="R348" s="1" t="s">
        <v>4869</v>
      </c>
      <c r="S348" s="1" t="s">
        <v>4870</v>
      </c>
      <c r="T348" s="1" t="s">
        <v>52</v>
      </c>
      <c r="U348" s="1" t="s">
        <v>53</v>
      </c>
    </row>
    <row r="349" customFormat="false" ht="15" hidden="false" customHeight="true" outlineLevel="0" collapsed="false">
      <c r="A349" s="1" t="s">
        <v>1185</v>
      </c>
      <c r="B349" s="1" t="s">
        <v>4871</v>
      </c>
      <c r="C349" s="1" t="s">
        <v>4528</v>
      </c>
      <c r="D349" s="1" t="s">
        <v>1186</v>
      </c>
      <c r="E349" s="1" t="s">
        <v>155</v>
      </c>
      <c r="F349" s="1" t="s">
        <v>58</v>
      </c>
      <c r="G349" s="1" t="s">
        <v>88</v>
      </c>
      <c r="H349" s="1" t="s">
        <v>221</v>
      </c>
      <c r="I349" s="1" t="s">
        <v>222</v>
      </c>
      <c r="J349" s="1" t="s">
        <v>62</v>
      </c>
      <c r="K349" s="1" t="s">
        <v>91</v>
      </c>
      <c r="L349" s="1" t="s">
        <v>1187</v>
      </c>
      <c r="M349" s="1" t="s">
        <v>49</v>
      </c>
      <c r="N349" s="1" t="s">
        <v>2829</v>
      </c>
      <c r="O349" s="1" t="s">
        <v>4872</v>
      </c>
      <c r="P349" s="1" t="s">
        <v>50</v>
      </c>
      <c r="Q349" s="1" t="s">
        <v>4873</v>
      </c>
      <c r="R349" s="1" t="s">
        <v>4874</v>
      </c>
      <c r="S349" s="1" t="s">
        <v>4875</v>
      </c>
      <c r="T349" s="1" t="s">
        <v>129</v>
      </c>
      <c r="U349" s="1" t="s">
        <v>130</v>
      </c>
    </row>
    <row r="350" customFormat="false" ht="15" hidden="false" customHeight="true" outlineLevel="0" collapsed="false">
      <c r="A350" s="1" t="s">
        <v>1188</v>
      </c>
      <c r="B350" s="1" t="s">
        <v>4350</v>
      </c>
      <c r="C350" s="1" t="s">
        <v>4876</v>
      </c>
      <c r="D350" s="1" t="s">
        <v>1189</v>
      </c>
      <c r="E350" s="1" t="s">
        <v>155</v>
      </c>
      <c r="F350" s="1" t="s">
        <v>116</v>
      </c>
      <c r="G350" s="1" t="s">
        <v>78</v>
      </c>
      <c r="H350" s="1" t="s">
        <v>206</v>
      </c>
      <c r="I350" s="1" t="s">
        <v>207</v>
      </c>
      <c r="J350" s="1" t="s">
        <v>99</v>
      </c>
      <c r="K350" s="1" t="s">
        <v>201</v>
      </c>
      <c r="L350" s="1" t="s">
        <v>1190</v>
      </c>
      <c r="M350" s="1" t="s">
        <v>65</v>
      </c>
      <c r="N350" s="1" t="s">
        <v>2899</v>
      </c>
      <c r="O350" s="1" t="s">
        <v>4877</v>
      </c>
      <c r="P350" s="1" t="s">
        <v>84</v>
      </c>
      <c r="Q350" s="1" t="s">
        <v>4878</v>
      </c>
      <c r="R350" s="1" t="s">
        <v>4879</v>
      </c>
      <c r="S350" s="1" t="s">
        <v>4880</v>
      </c>
      <c r="T350" s="1" t="s">
        <v>52</v>
      </c>
      <c r="U350" s="1" t="s">
        <v>53</v>
      </c>
    </row>
    <row r="351" customFormat="false" ht="15" hidden="false" customHeight="true" outlineLevel="0" collapsed="false">
      <c r="A351" s="1" t="s">
        <v>1191</v>
      </c>
      <c r="B351" s="1" t="s">
        <v>4881</v>
      </c>
      <c r="C351" s="1" t="s">
        <v>3687</v>
      </c>
      <c r="D351" s="1" t="s">
        <v>1192</v>
      </c>
      <c r="E351" s="1" t="s">
        <v>298</v>
      </c>
      <c r="F351" s="1" t="s">
        <v>121</v>
      </c>
      <c r="G351" s="1" t="s">
        <v>59</v>
      </c>
      <c r="H351" s="1" t="s">
        <v>262</v>
      </c>
      <c r="I351" s="1" t="s">
        <v>263</v>
      </c>
      <c r="J351" s="1" t="s">
        <v>62</v>
      </c>
      <c r="K351" s="1" t="s">
        <v>81</v>
      </c>
      <c r="L351" s="1" t="s">
        <v>1193</v>
      </c>
      <c r="M351" s="1" t="s">
        <v>49</v>
      </c>
      <c r="N351" s="1" t="s">
        <v>2899</v>
      </c>
      <c r="O351" s="1" t="s">
        <v>4882</v>
      </c>
      <c r="P351" s="1" t="s">
        <v>84</v>
      </c>
      <c r="Q351" s="1" t="s">
        <v>4883</v>
      </c>
      <c r="R351" s="1" t="s">
        <v>4884</v>
      </c>
      <c r="S351" s="1" t="s">
        <v>4885</v>
      </c>
      <c r="T351" s="1" t="s">
        <v>52</v>
      </c>
      <c r="U351" s="1" t="s">
        <v>53</v>
      </c>
    </row>
    <row r="352" customFormat="false" ht="15" hidden="false" customHeight="true" outlineLevel="0" collapsed="false">
      <c r="A352" s="1" t="s">
        <v>1194</v>
      </c>
      <c r="B352" s="1" t="s">
        <v>4886</v>
      </c>
      <c r="C352" s="1" t="s">
        <v>4887</v>
      </c>
      <c r="D352" s="1" t="s">
        <v>1195</v>
      </c>
      <c r="E352" s="1" t="s">
        <v>159</v>
      </c>
      <c r="F352" s="1" t="s">
        <v>58</v>
      </c>
      <c r="G352" s="1" t="s">
        <v>59</v>
      </c>
      <c r="H352" s="1" t="s">
        <v>262</v>
      </c>
      <c r="I352" s="1" t="s">
        <v>263</v>
      </c>
      <c r="J352" s="1" t="s">
        <v>62</v>
      </c>
      <c r="K352" s="1" t="s">
        <v>81</v>
      </c>
      <c r="L352" s="1" t="s">
        <v>1196</v>
      </c>
      <c r="M352" s="1" t="s">
        <v>49</v>
      </c>
      <c r="N352" s="1" t="s">
        <v>2937</v>
      </c>
      <c r="O352" s="1" t="s">
        <v>4888</v>
      </c>
      <c r="P352" s="1" t="s">
        <v>203</v>
      </c>
      <c r="Q352" s="1" t="s">
        <v>4889</v>
      </c>
      <c r="R352" s="1" t="s">
        <v>4890</v>
      </c>
      <c r="S352" s="1" t="s">
        <v>4891</v>
      </c>
      <c r="T352" s="1" t="s">
        <v>129</v>
      </c>
      <c r="U352" s="1" t="s">
        <v>130</v>
      </c>
    </row>
    <row r="353" customFormat="false" ht="15" hidden="false" customHeight="true" outlineLevel="0" collapsed="false">
      <c r="A353" s="1" t="s">
        <v>1197</v>
      </c>
      <c r="B353" s="1" t="s">
        <v>4892</v>
      </c>
      <c r="C353" s="1" t="s">
        <v>4790</v>
      </c>
      <c r="D353" s="1" t="s">
        <v>1198</v>
      </c>
      <c r="E353" s="1" t="s">
        <v>96</v>
      </c>
      <c r="F353" s="1" t="s">
        <v>58</v>
      </c>
      <c r="G353" s="1" t="s">
        <v>78</v>
      </c>
      <c r="H353" s="1" t="s">
        <v>79</v>
      </c>
      <c r="I353" s="1" t="s">
        <v>80</v>
      </c>
      <c r="J353" s="1" t="s">
        <v>46</v>
      </c>
      <c r="K353" s="1" t="s">
        <v>151</v>
      </c>
      <c r="L353" s="1" t="s">
        <v>1199</v>
      </c>
      <c r="M353" s="1" t="s">
        <v>72</v>
      </c>
      <c r="N353" s="1" t="s">
        <v>2815</v>
      </c>
      <c r="O353" s="1" t="s">
        <v>4893</v>
      </c>
      <c r="P353" s="1" t="s">
        <v>84</v>
      </c>
      <c r="Q353" s="1" t="s">
        <v>4894</v>
      </c>
      <c r="R353" s="1" t="s">
        <v>4895</v>
      </c>
      <c r="S353" s="1" t="s">
        <v>4896</v>
      </c>
      <c r="T353" s="1" t="s">
        <v>138</v>
      </c>
      <c r="U353" s="1" t="s">
        <v>93</v>
      </c>
    </row>
    <row r="354" customFormat="false" ht="15" hidden="false" customHeight="true" outlineLevel="0" collapsed="false">
      <c r="A354" s="1" t="s">
        <v>1200</v>
      </c>
      <c r="B354" s="1" t="s">
        <v>4897</v>
      </c>
      <c r="C354" s="1" t="s">
        <v>4454</v>
      </c>
      <c r="D354" s="1" t="s">
        <v>1201</v>
      </c>
      <c r="E354" s="1" t="s">
        <v>192</v>
      </c>
      <c r="F354" s="1" t="s">
        <v>58</v>
      </c>
      <c r="G354" s="1" t="s">
        <v>59</v>
      </c>
      <c r="H354" s="1" t="s">
        <v>196</v>
      </c>
      <c r="I354" s="1" t="s">
        <v>197</v>
      </c>
      <c r="J354" s="1" t="s">
        <v>99</v>
      </c>
      <c r="K354" s="1" t="s">
        <v>105</v>
      </c>
      <c r="L354" s="1" t="s">
        <v>1202</v>
      </c>
      <c r="M354" s="1" t="s">
        <v>72</v>
      </c>
      <c r="N354" s="1" t="s">
        <v>2829</v>
      </c>
      <c r="O354" s="1" t="s">
        <v>4898</v>
      </c>
      <c r="P354" s="1" t="s">
        <v>84</v>
      </c>
      <c r="Q354" s="1" t="s">
        <v>4899</v>
      </c>
      <c r="R354" s="1" t="s">
        <v>4900</v>
      </c>
      <c r="S354" s="1" t="s">
        <v>4901</v>
      </c>
      <c r="T354" s="1" t="s">
        <v>52</v>
      </c>
      <c r="U354" s="1" t="s">
        <v>53</v>
      </c>
    </row>
    <row r="355" customFormat="false" ht="15" hidden="false" customHeight="true" outlineLevel="0" collapsed="false">
      <c r="A355" s="1" t="s">
        <v>1203</v>
      </c>
      <c r="B355" s="1" t="s">
        <v>4902</v>
      </c>
      <c r="C355" s="1" t="s">
        <v>4181</v>
      </c>
      <c r="D355" s="1" t="s">
        <v>1204</v>
      </c>
      <c r="E355" s="1" t="s">
        <v>87</v>
      </c>
      <c r="F355" s="1" t="s">
        <v>41</v>
      </c>
      <c r="G355" s="1" t="s">
        <v>42</v>
      </c>
      <c r="H355" s="1" t="s">
        <v>44</v>
      </c>
      <c r="I355" s="1" t="s">
        <v>45</v>
      </c>
      <c r="J355" s="1" t="s">
        <v>46</v>
      </c>
      <c r="K355" s="1" t="s">
        <v>70</v>
      </c>
      <c r="L355" s="1" t="s">
        <v>1205</v>
      </c>
      <c r="M355" s="1" t="s">
        <v>65</v>
      </c>
      <c r="N355" s="1" t="s">
        <v>2899</v>
      </c>
      <c r="O355" s="1" t="s">
        <v>4903</v>
      </c>
      <c r="P355" s="1" t="s">
        <v>50</v>
      </c>
      <c r="Q355" s="1" t="s">
        <v>4904</v>
      </c>
      <c r="R355" s="1" t="s">
        <v>4905</v>
      </c>
      <c r="S355" s="1" t="s">
        <v>4906</v>
      </c>
      <c r="T355" s="1" t="s">
        <v>52</v>
      </c>
      <c r="U355" s="1" t="s">
        <v>53</v>
      </c>
    </row>
    <row r="356" customFormat="false" ht="15" hidden="false" customHeight="true" outlineLevel="0" collapsed="false">
      <c r="A356" s="1" t="s">
        <v>1206</v>
      </c>
      <c r="B356" s="1" t="s">
        <v>3019</v>
      </c>
      <c r="C356" s="1" t="s">
        <v>4907</v>
      </c>
      <c r="D356" s="1" t="s">
        <v>1207</v>
      </c>
      <c r="E356" s="1" t="s">
        <v>298</v>
      </c>
      <c r="F356" s="1" t="s">
        <v>4908</v>
      </c>
      <c r="G356" s="1" t="s">
        <v>42</v>
      </c>
      <c r="H356" s="1" t="s">
        <v>149</v>
      </c>
      <c r="I356" s="1" t="s">
        <v>150</v>
      </c>
      <c r="J356" s="1" t="s">
        <v>62</v>
      </c>
      <c r="K356" s="1" t="s">
        <v>81</v>
      </c>
      <c r="L356" s="1" t="s">
        <v>1208</v>
      </c>
      <c r="M356" s="1" t="s">
        <v>83</v>
      </c>
      <c r="N356" s="1" t="s">
        <v>2815</v>
      </c>
      <c r="O356" s="1" t="s">
        <v>4909</v>
      </c>
      <c r="P356" s="1" t="s">
        <v>1209</v>
      </c>
      <c r="Q356" s="1" t="s">
        <v>4910</v>
      </c>
      <c r="R356" s="1" t="s">
        <v>4911</v>
      </c>
      <c r="S356" s="1" t="s">
        <v>4912</v>
      </c>
      <c r="T356" s="1" t="s">
        <v>138</v>
      </c>
      <c r="U356" s="1" t="s">
        <v>93</v>
      </c>
    </row>
    <row r="357" customFormat="false" ht="15" hidden="false" customHeight="true" outlineLevel="0" collapsed="false">
      <c r="A357" s="1" t="s">
        <v>1210</v>
      </c>
      <c r="B357" s="1" t="s">
        <v>4913</v>
      </c>
      <c r="C357" s="1" t="s">
        <v>4914</v>
      </c>
      <c r="D357" s="1" t="s">
        <v>1211</v>
      </c>
      <c r="E357" s="1" t="s">
        <v>141</v>
      </c>
      <c r="F357" s="1" t="s">
        <v>116</v>
      </c>
      <c r="G357" s="1" t="s">
        <v>88</v>
      </c>
      <c r="H357" s="1" t="s">
        <v>44</v>
      </c>
      <c r="I357" s="1" t="s">
        <v>136</v>
      </c>
      <c r="J357" s="1" t="s">
        <v>62</v>
      </c>
      <c r="K357" s="1" t="s">
        <v>63</v>
      </c>
      <c r="L357" s="1" t="s">
        <v>1212</v>
      </c>
      <c r="M357" s="1" t="s">
        <v>83</v>
      </c>
      <c r="N357" s="1" t="s">
        <v>2829</v>
      </c>
      <c r="O357" s="1" t="s">
        <v>4915</v>
      </c>
      <c r="P357" s="1" t="s">
        <v>66</v>
      </c>
      <c r="Q357" s="1" t="s">
        <v>4916</v>
      </c>
      <c r="R357" s="1" t="s">
        <v>4917</v>
      </c>
      <c r="S357" s="1" t="s">
        <v>4918</v>
      </c>
      <c r="T357" s="1" t="s">
        <v>138</v>
      </c>
      <c r="U357" s="1" t="s">
        <v>93</v>
      </c>
    </row>
    <row r="358" customFormat="false" ht="15" hidden="false" customHeight="true" outlineLevel="0" collapsed="false">
      <c r="A358" s="1" t="s">
        <v>1213</v>
      </c>
      <c r="B358" s="1" t="s">
        <v>4919</v>
      </c>
      <c r="C358" s="1" t="s">
        <v>4920</v>
      </c>
      <c r="D358" s="1" t="s">
        <v>1214</v>
      </c>
      <c r="E358" s="1" t="s">
        <v>168</v>
      </c>
      <c r="F358" s="1" t="s">
        <v>121</v>
      </c>
      <c r="G358" s="1" t="s">
        <v>78</v>
      </c>
      <c r="H358" s="1" t="s">
        <v>79</v>
      </c>
      <c r="I358" s="1" t="s">
        <v>80</v>
      </c>
      <c r="J358" s="1" t="s">
        <v>62</v>
      </c>
      <c r="K358" s="1" t="s">
        <v>91</v>
      </c>
      <c r="L358" s="1" t="s">
        <v>1215</v>
      </c>
      <c r="M358" s="1" t="s">
        <v>72</v>
      </c>
      <c r="N358" s="1" t="s">
        <v>2829</v>
      </c>
      <c r="O358" s="1" t="s">
        <v>4921</v>
      </c>
      <c r="P358" s="1" t="s">
        <v>50</v>
      </c>
      <c r="Q358" s="1" t="s">
        <v>4922</v>
      </c>
      <c r="R358" s="1" t="s">
        <v>4923</v>
      </c>
      <c r="S358" s="1" t="s">
        <v>4924</v>
      </c>
      <c r="T358" s="1" t="s">
        <v>138</v>
      </c>
      <c r="U358" s="1" t="s">
        <v>130</v>
      </c>
    </row>
    <row r="359" customFormat="false" ht="15" hidden="false" customHeight="true" outlineLevel="0" collapsed="false">
      <c r="A359" s="1" t="s">
        <v>1216</v>
      </c>
      <c r="B359" s="1" t="s">
        <v>3066</v>
      </c>
      <c r="C359" s="1" t="s">
        <v>4925</v>
      </c>
      <c r="D359" s="1" t="s">
        <v>1217</v>
      </c>
      <c r="E359" s="1" t="s">
        <v>57</v>
      </c>
      <c r="F359" s="1" t="s">
        <v>121</v>
      </c>
      <c r="G359" s="1" t="s">
        <v>78</v>
      </c>
      <c r="H359" s="1" t="s">
        <v>110</v>
      </c>
      <c r="I359" s="1" t="s">
        <v>111</v>
      </c>
      <c r="J359" s="1" t="s">
        <v>99</v>
      </c>
      <c r="K359" s="1" t="s">
        <v>308</v>
      </c>
      <c r="L359" s="1" t="s">
        <v>1218</v>
      </c>
      <c r="M359" s="1" t="s">
        <v>49</v>
      </c>
      <c r="N359" s="1" t="s">
        <v>2861</v>
      </c>
      <c r="O359" s="1" t="s">
        <v>4926</v>
      </c>
      <c r="P359" s="1" t="s">
        <v>66</v>
      </c>
      <c r="Q359" s="1" t="s">
        <v>4927</v>
      </c>
      <c r="R359" s="1" t="s">
        <v>4928</v>
      </c>
      <c r="S359" s="1" t="s">
        <v>4929</v>
      </c>
      <c r="T359" s="1" t="s">
        <v>52</v>
      </c>
      <c r="U359" s="1" t="s">
        <v>93</v>
      </c>
    </row>
    <row r="360" customFormat="false" ht="15" hidden="false" customHeight="true" outlineLevel="0" collapsed="false">
      <c r="A360" s="1" t="s">
        <v>1219</v>
      </c>
      <c r="B360" s="1" t="s">
        <v>4930</v>
      </c>
      <c r="C360" s="1" t="s">
        <v>4931</v>
      </c>
      <c r="D360" s="1" t="s">
        <v>1220</v>
      </c>
      <c r="E360" s="1" t="s">
        <v>96</v>
      </c>
      <c r="F360" s="1" t="s">
        <v>121</v>
      </c>
      <c r="G360" s="1" t="s">
        <v>88</v>
      </c>
      <c r="H360" s="1" t="s">
        <v>211</v>
      </c>
      <c r="I360" s="1" t="s">
        <v>212</v>
      </c>
      <c r="J360" s="1" t="s">
        <v>62</v>
      </c>
      <c r="K360" s="1" t="s">
        <v>188</v>
      </c>
      <c r="L360" s="1" t="s">
        <v>1221</v>
      </c>
      <c r="M360" s="1" t="s">
        <v>49</v>
      </c>
      <c r="N360" s="1" t="s">
        <v>2829</v>
      </c>
      <c r="O360" s="1" t="s">
        <v>4932</v>
      </c>
      <c r="P360" s="1" t="s">
        <v>128</v>
      </c>
      <c r="Q360" s="1" t="s">
        <v>4933</v>
      </c>
      <c r="R360" s="1" t="s">
        <v>4934</v>
      </c>
      <c r="S360" s="1" t="s">
        <v>4935</v>
      </c>
      <c r="T360" s="1" t="s">
        <v>138</v>
      </c>
      <c r="U360" s="1" t="s">
        <v>130</v>
      </c>
    </row>
    <row r="361" customFormat="false" ht="15" hidden="false" customHeight="true" outlineLevel="0" collapsed="false">
      <c r="A361" s="1" t="s">
        <v>1222</v>
      </c>
      <c r="B361" s="1" t="s">
        <v>4722</v>
      </c>
      <c r="C361" s="1" t="s">
        <v>4936</v>
      </c>
      <c r="D361" s="1" t="s">
        <v>1223</v>
      </c>
      <c r="E361" s="1" t="s">
        <v>69</v>
      </c>
      <c r="F361" s="1" t="s">
        <v>41</v>
      </c>
      <c r="G361" s="1" t="s">
        <v>78</v>
      </c>
      <c r="H361" s="1" t="s">
        <v>281</v>
      </c>
      <c r="I361" s="1" t="s">
        <v>282</v>
      </c>
      <c r="J361" s="1" t="s">
        <v>99</v>
      </c>
      <c r="K361" s="1" t="s">
        <v>201</v>
      </c>
      <c r="L361" s="1" t="s">
        <v>1224</v>
      </c>
      <c r="M361" s="1" t="s">
        <v>65</v>
      </c>
      <c r="N361" s="1" t="s">
        <v>2899</v>
      </c>
      <c r="O361" s="1" t="s">
        <v>4937</v>
      </c>
      <c r="P361" s="1" t="s">
        <v>203</v>
      </c>
      <c r="Q361" s="1" t="s">
        <v>4938</v>
      </c>
      <c r="R361" s="1" t="s">
        <v>4939</v>
      </c>
      <c r="S361" s="1" t="s">
        <v>4940</v>
      </c>
      <c r="T361" s="1" t="s">
        <v>52</v>
      </c>
      <c r="U361" s="1" t="s">
        <v>53</v>
      </c>
    </row>
    <row r="362" customFormat="false" ht="15" hidden="false" customHeight="true" outlineLevel="0" collapsed="false">
      <c r="A362" s="1" t="s">
        <v>1225</v>
      </c>
      <c r="B362" s="1" t="s">
        <v>4941</v>
      </c>
      <c r="C362" s="1" t="s">
        <v>4942</v>
      </c>
      <c r="D362" s="1" t="s">
        <v>1226</v>
      </c>
      <c r="E362" s="1" t="s">
        <v>159</v>
      </c>
      <c r="F362" s="1" t="s">
        <v>58</v>
      </c>
      <c r="G362" s="1" t="s">
        <v>88</v>
      </c>
      <c r="H362" s="1" t="s">
        <v>211</v>
      </c>
      <c r="I362" s="1" t="s">
        <v>212</v>
      </c>
      <c r="J362" s="1" t="s">
        <v>62</v>
      </c>
      <c r="K362" s="1" t="s">
        <v>81</v>
      </c>
      <c r="L362" s="1" t="s">
        <v>1227</v>
      </c>
      <c r="M362" s="1" t="s">
        <v>83</v>
      </c>
      <c r="N362" s="1" t="s">
        <v>2906</v>
      </c>
      <c r="O362" s="1" t="s">
        <v>4943</v>
      </c>
      <c r="P362" s="1" t="s">
        <v>50</v>
      </c>
      <c r="Q362" s="1" t="s">
        <v>4944</v>
      </c>
      <c r="R362" s="1" t="s">
        <v>4945</v>
      </c>
      <c r="S362" s="1" t="s">
        <v>4946</v>
      </c>
      <c r="T362" s="1" t="s">
        <v>129</v>
      </c>
      <c r="U362" s="1" t="s">
        <v>93</v>
      </c>
    </row>
    <row r="363" customFormat="false" ht="15" hidden="false" customHeight="true" outlineLevel="0" collapsed="false">
      <c r="A363" s="1" t="s">
        <v>1228</v>
      </c>
      <c r="B363" s="1" t="s">
        <v>4174</v>
      </c>
      <c r="C363" s="1" t="s">
        <v>4947</v>
      </c>
      <c r="D363" s="1" t="s">
        <v>1229</v>
      </c>
      <c r="E363" s="1" t="s">
        <v>168</v>
      </c>
      <c r="F363" s="1" t="s">
        <v>116</v>
      </c>
      <c r="G363" s="1" t="s">
        <v>59</v>
      </c>
      <c r="H363" s="1" t="s">
        <v>60</v>
      </c>
      <c r="I363" s="1" t="s">
        <v>61</v>
      </c>
      <c r="J363" s="1" t="s">
        <v>62</v>
      </c>
      <c r="K363" s="1" t="s">
        <v>91</v>
      </c>
      <c r="L363" s="1" t="s">
        <v>1230</v>
      </c>
      <c r="M363" s="1" t="s">
        <v>49</v>
      </c>
      <c r="N363" s="1" t="s">
        <v>2899</v>
      </c>
      <c r="O363" s="1" t="s">
        <v>4948</v>
      </c>
      <c r="P363" s="1" t="s">
        <v>128</v>
      </c>
      <c r="Q363" s="1" t="s">
        <v>4949</v>
      </c>
      <c r="R363" s="1" t="s">
        <v>4950</v>
      </c>
      <c r="S363" s="1" t="s">
        <v>4951</v>
      </c>
      <c r="T363" s="1" t="s">
        <v>138</v>
      </c>
      <c r="U363" s="1" t="s">
        <v>130</v>
      </c>
    </row>
    <row r="364" customFormat="false" ht="15" hidden="false" customHeight="true" outlineLevel="0" collapsed="false">
      <c r="A364" s="1" t="s">
        <v>1231</v>
      </c>
      <c r="B364" s="1" t="s">
        <v>4952</v>
      </c>
      <c r="C364" s="1" t="s">
        <v>4953</v>
      </c>
      <c r="D364" s="1" t="s">
        <v>1232</v>
      </c>
      <c r="E364" s="1" t="s">
        <v>96</v>
      </c>
      <c r="F364" s="1" t="s">
        <v>41</v>
      </c>
      <c r="G364" s="1" t="s">
        <v>88</v>
      </c>
      <c r="H364" s="1" t="s">
        <v>221</v>
      </c>
      <c r="I364" s="1" t="s">
        <v>222</v>
      </c>
      <c r="J364" s="1" t="s">
        <v>99</v>
      </c>
      <c r="K364" s="1" t="s">
        <v>308</v>
      </c>
      <c r="L364" s="1" t="s">
        <v>1233</v>
      </c>
      <c r="M364" s="1" t="s">
        <v>65</v>
      </c>
      <c r="N364" s="1" t="s">
        <v>2937</v>
      </c>
      <c r="O364" s="1" t="s">
        <v>4954</v>
      </c>
      <c r="P364" s="1" t="s">
        <v>128</v>
      </c>
      <c r="Q364" s="1" t="s">
        <v>4955</v>
      </c>
      <c r="R364" s="1" t="s">
        <v>4956</v>
      </c>
      <c r="S364" s="1" t="s">
        <v>4957</v>
      </c>
      <c r="T364" s="1" t="s">
        <v>52</v>
      </c>
      <c r="U364" s="1" t="s">
        <v>53</v>
      </c>
    </row>
    <row r="365" customFormat="false" ht="15" hidden="false" customHeight="true" outlineLevel="0" collapsed="false">
      <c r="A365" s="1" t="s">
        <v>1234</v>
      </c>
      <c r="B365" s="1" t="s">
        <v>4958</v>
      </c>
      <c r="C365" s="1" t="s">
        <v>4959</v>
      </c>
      <c r="D365" s="1" t="s">
        <v>1235</v>
      </c>
      <c r="E365" s="1" t="s">
        <v>192</v>
      </c>
      <c r="F365" s="1" t="s">
        <v>116</v>
      </c>
      <c r="G365" s="1" t="s">
        <v>59</v>
      </c>
      <c r="H365" s="1" t="s">
        <v>125</v>
      </c>
      <c r="I365" s="1" t="s">
        <v>126</v>
      </c>
      <c r="J365" s="1" t="s">
        <v>62</v>
      </c>
      <c r="K365" s="1" t="s">
        <v>63</v>
      </c>
      <c r="L365" s="1" t="s">
        <v>1236</v>
      </c>
      <c r="M365" s="1" t="s">
        <v>49</v>
      </c>
      <c r="N365" s="1" t="s">
        <v>2829</v>
      </c>
      <c r="O365" s="1" t="s">
        <v>4960</v>
      </c>
      <c r="P365" s="1" t="s">
        <v>84</v>
      </c>
      <c r="Q365" s="1" t="s">
        <v>4961</v>
      </c>
      <c r="R365" s="1" t="s">
        <v>4962</v>
      </c>
      <c r="S365" s="1" t="s">
        <v>4963</v>
      </c>
      <c r="T365" s="1" t="s">
        <v>52</v>
      </c>
      <c r="U365" s="1" t="s">
        <v>53</v>
      </c>
    </row>
    <row r="366" customFormat="false" ht="15" hidden="false" customHeight="true" outlineLevel="0" collapsed="false">
      <c r="A366" s="1" t="s">
        <v>1237</v>
      </c>
      <c r="B366" s="1" t="s">
        <v>4964</v>
      </c>
      <c r="C366" s="1" t="s">
        <v>4965</v>
      </c>
      <c r="D366" s="1" t="s">
        <v>1238</v>
      </c>
      <c r="E366" s="1" t="s">
        <v>155</v>
      </c>
      <c r="F366" s="1" t="s">
        <v>58</v>
      </c>
      <c r="G366" s="1" t="s">
        <v>78</v>
      </c>
      <c r="H366" s="1" t="s">
        <v>110</v>
      </c>
      <c r="I366" s="1" t="s">
        <v>111</v>
      </c>
      <c r="J366" s="1" t="s">
        <v>62</v>
      </c>
      <c r="K366" s="1" t="s">
        <v>91</v>
      </c>
      <c r="L366" s="1" t="s">
        <v>1239</v>
      </c>
      <c r="M366" s="1" t="s">
        <v>49</v>
      </c>
      <c r="N366" s="1" t="s">
        <v>2829</v>
      </c>
      <c r="O366" s="1" t="s">
        <v>4966</v>
      </c>
      <c r="P366" s="1" t="s">
        <v>66</v>
      </c>
      <c r="Q366" s="1" t="s">
        <v>4967</v>
      </c>
      <c r="R366" s="1" t="s">
        <v>4968</v>
      </c>
      <c r="S366" s="1" t="s">
        <v>4969</v>
      </c>
      <c r="T366" s="1" t="s">
        <v>52</v>
      </c>
      <c r="U366" s="1" t="s">
        <v>53</v>
      </c>
    </row>
    <row r="367" customFormat="false" ht="15" hidden="false" customHeight="true" outlineLevel="0" collapsed="false">
      <c r="A367" s="1" t="s">
        <v>1240</v>
      </c>
      <c r="B367" s="1" t="s">
        <v>4970</v>
      </c>
      <c r="C367" s="1" t="s">
        <v>4971</v>
      </c>
      <c r="D367" s="1" t="s">
        <v>1241</v>
      </c>
      <c r="E367" s="1" t="s">
        <v>115</v>
      </c>
      <c r="F367" s="1" t="s">
        <v>116</v>
      </c>
      <c r="G367" s="1" t="s">
        <v>88</v>
      </c>
      <c r="H367" s="1" t="s">
        <v>221</v>
      </c>
      <c r="I367" s="1" t="s">
        <v>222</v>
      </c>
      <c r="J367" s="1" t="s">
        <v>99</v>
      </c>
      <c r="K367" s="1" t="s">
        <v>100</v>
      </c>
      <c r="L367" s="1" t="s">
        <v>1242</v>
      </c>
      <c r="M367" s="1" t="s">
        <v>72</v>
      </c>
      <c r="N367" s="1" t="s">
        <v>2861</v>
      </c>
      <c r="O367" s="1" t="s">
        <v>4972</v>
      </c>
      <c r="Q367" s="1" t="s">
        <v>4973</v>
      </c>
      <c r="R367" s="1" t="s">
        <v>4974</v>
      </c>
      <c r="S367" s="1" t="s">
        <v>4975</v>
      </c>
      <c r="T367" s="1" t="s">
        <v>52</v>
      </c>
      <c r="U367" s="1" t="s">
        <v>53</v>
      </c>
    </row>
    <row r="368" customFormat="false" ht="15" hidden="false" customHeight="true" outlineLevel="0" collapsed="false">
      <c r="A368" s="1" t="s">
        <v>1243</v>
      </c>
      <c r="B368" s="1" t="s">
        <v>4976</v>
      </c>
      <c r="C368" s="1" t="s">
        <v>4977</v>
      </c>
      <c r="D368" s="1" t="s">
        <v>1244</v>
      </c>
      <c r="E368" s="1" t="s">
        <v>159</v>
      </c>
      <c r="F368" s="1" t="s">
        <v>116</v>
      </c>
      <c r="G368" s="1" t="s">
        <v>42</v>
      </c>
      <c r="H368" s="1" t="s">
        <v>44</v>
      </c>
      <c r="I368" s="1" t="s">
        <v>45</v>
      </c>
      <c r="J368" s="1" t="s">
        <v>62</v>
      </c>
      <c r="K368" s="1" t="s">
        <v>63</v>
      </c>
      <c r="L368" s="1" t="s">
        <v>1245</v>
      </c>
      <c r="M368" s="1" t="s">
        <v>65</v>
      </c>
      <c r="N368" s="1" t="s">
        <v>2868</v>
      </c>
      <c r="O368" s="1" t="s">
        <v>4978</v>
      </c>
      <c r="P368" s="1" t="s">
        <v>66</v>
      </c>
      <c r="Q368" s="1" t="s">
        <v>4979</v>
      </c>
      <c r="R368" s="1" t="s">
        <v>4980</v>
      </c>
      <c r="S368" s="1" t="s">
        <v>4981</v>
      </c>
      <c r="T368" s="1" t="s">
        <v>52</v>
      </c>
      <c r="U368" s="1" t="s">
        <v>53</v>
      </c>
    </row>
    <row r="369" customFormat="false" ht="15" hidden="false" customHeight="true" outlineLevel="0" collapsed="false">
      <c r="A369" s="1" t="s">
        <v>1246</v>
      </c>
      <c r="B369" s="1" t="s">
        <v>3959</v>
      </c>
      <c r="C369" s="1" t="s">
        <v>4982</v>
      </c>
      <c r="D369" s="1" t="s">
        <v>1247</v>
      </c>
      <c r="E369" s="1" t="s">
        <v>168</v>
      </c>
      <c r="F369" s="1" t="s">
        <v>41</v>
      </c>
      <c r="G369" s="1" t="s">
        <v>42</v>
      </c>
      <c r="H369" s="1" t="s">
        <v>384</v>
      </c>
      <c r="I369" s="1" t="s">
        <v>385</v>
      </c>
      <c r="J369" s="1" t="s">
        <v>46</v>
      </c>
      <c r="K369" s="1" t="s">
        <v>70</v>
      </c>
      <c r="L369" s="1" t="s">
        <v>1248</v>
      </c>
      <c r="M369" s="1" t="s">
        <v>83</v>
      </c>
      <c r="N369" s="1" t="s">
        <v>2815</v>
      </c>
      <c r="O369" s="1" t="s">
        <v>4983</v>
      </c>
      <c r="P369" s="1" t="s">
        <v>107</v>
      </c>
      <c r="Q369" s="1" t="s">
        <v>4984</v>
      </c>
      <c r="R369" s="1" t="s">
        <v>4985</v>
      </c>
      <c r="S369" s="1" t="s">
        <v>4986</v>
      </c>
      <c r="T369" s="1" t="s">
        <v>185</v>
      </c>
      <c r="U369" s="1" t="s">
        <v>93</v>
      </c>
    </row>
    <row r="370" customFormat="false" ht="15" hidden="false" customHeight="true" outlineLevel="0" collapsed="false">
      <c r="A370" s="1" t="s">
        <v>1249</v>
      </c>
      <c r="B370" s="1" t="s">
        <v>4312</v>
      </c>
      <c r="C370" s="1" t="s">
        <v>4312</v>
      </c>
      <c r="D370" s="1" t="s">
        <v>1250</v>
      </c>
      <c r="E370" s="1" t="s">
        <v>155</v>
      </c>
      <c r="F370" s="1" t="s">
        <v>121</v>
      </c>
      <c r="G370" s="1" t="s">
        <v>42</v>
      </c>
      <c r="H370" s="1" t="s">
        <v>44</v>
      </c>
      <c r="I370" s="1" t="s">
        <v>45</v>
      </c>
      <c r="J370" s="1" t="s">
        <v>99</v>
      </c>
      <c r="K370" s="1" t="s">
        <v>100</v>
      </c>
      <c r="L370" s="1" t="s">
        <v>1251</v>
      </c>
      <c r="M370" s="1" t="s">
        <v>65</v>
      </c>
      <c r="N370" s="1" t="s">
        <v>2899</v>
      </c>
      <c r="O370" s="1" t="s">
        <v>4987</v>
      </c>
      <c r="P370" s="1" t="s">
        <v>128</v>
      </c>
      <c r="Q370" s="1" t="s">
        <v>4988</v>
      </c>
      <c r="R370" s="1" t="s">
        <v>4989</v>
      </c>
      <c r="S370" s="1" t="s">
        <v>4990</v>
      </c>
      <c r="T370" s="1" t="s">
        <v>129</v>
      </c>
      <c r="U370" s="1" t="s">
        <v>130</v>
      </c>
    </row>
    <row r="371" customFormat="false" ht="15" hidden="false" customHeight="true" outlineLevel="0" collapsed="false">
      <c r="A371" s="1" t="s">
        <v>1252</v>
      </c>
      <c r="B371" s="1" t="s">
        <v>4608</v>
      </c>
      <c r="C371" s="1" t="s">
        <v>2923</v>
      </c>
      <c r="D371" s="1" t="s">
        <v>1253</v>
      </c>
      <c r="E371" s="1" t="s">
        <v>141</v>
      </c>
      <c r="F371" s="1" t="s">
        <v>41</v>
      </c>
      <c r="G371" s="1" t="s">
        <v>42</v>
      </c>
      <c r="H371" s="1" t="s">
        <v>384</v>
      </c>
      <c r="I371" s="1" t="s">
        <v>385</v>
      </c>
      <c r="J371" s="1" t="s">
        <v>46</v>
      </c>
      <c r="K371" s="1" t="s">
        <v>117</v>
      </c>
      <c r="L371" s="1" t="s">
        <v>1254</v>
      </c>
      <c r="M371" s="1" t="s">
        <v>83</v>
      </c>
      <c r="N371" s="1" t="s">
        <v>2899</v>
      </c>
      <c r="O371" s="1" t="s">
        <v>4991</v>
      </c>
      <c r="P371" s="1" t="s">
        <v>107</v>
      </c>
      <c r="Q371" s="1" t="s">
        <v>4992</v>
      </c>
      <c r="R371" s="1" t="s">
        <v>4993</v>
      </c>
      <c r="S371" s="1" t="s">
        <v>4994</v>
      </c>
      <c r="T371" s="1" t="s">
        <v>52</v>
      </c>
      <c r="U371" s="1" t="s">
        <v>53</v>
      </c>
    </row>
    <row r="372" customFormat="false" ht="15" hidden="false" customHeight="true" outlineLevel="0" collapsed="false">
      <c r="A372" s="1" t="s">
        <v>1255</v>
      </c>
      <c r="B372" s="1" t="s">
        <v>4995</v>
      </c>
      <c r="C372" s="1" t="s">
        <v>4722</v>
      </c>
      <c r="D372" s="1" t="s">
        <v>1256</v>
      </c>
      <c r="E372" s="1" t="s">
        <v>87</v>
      </c>
      <c r="F372" s="1" t="s">
        <v>58</v>
      </c>
      <c r="G372" s="1" t="s">
        <v>88</v>
      </c>
      <c r="H372" s="1" t="s">
        <v>44</v>
      </c>
      <c r="I372" s="1" t="s">
        <v>136</v>
      </c>
      <c r="J372" s="1" t="s">
        <v>99</v>
      </c>
      <c r="K372" s="1" t="s">
        <v>105</v>
      </c>
      <c r="L372" s="1" t="s">
        <v>1257</v>
      </c>
      <c r="M372" s="1" t="s">
        <v>72</v>
      </c>
      <c r="N372" s="1" t="s">
        <v>2906</v>
      </c>
      <c r="O372" s="1" t="s">
        <v>4996</v>
      </c>
      <c r="P372" s="1" t="s">
        <v>50</v>
      </c>
      <c r="Q372" s="1" t="s">
        <v>4997</v>
      </c>
      <c r="R372" s="1" t="s">
        <v>4998</v>
      </c>
      <c r="S372" s="1" t="s">
        <v>4999</v>
      </c>
      <c r="T372" s="1" t="s">
        <v>52</v>
      </c>
      <c r="U372" s="1" t="s">
        <v>53</v>
      </c>
    </row>
    <row r="373" customFormat="false" ht="15" hidden="false" customHeight="true" outlineLevel="0" collapsed="false">
      <c r="A373" s="1" t="s">
        <v>1258</v>
      </c>
      <c r="B373" s="1" t="s">
        <v>2841</v>
      </c>
      <c r="C373" s="1" t="s">
        <v>5000</v>
      </c>
      <c r="D373" s="1" t="s">
        <v>1259</v>
      </c>
      <c r="E373" s="1" t="s">
        <v>192</v>
      </c>
      <c r="F373" s="1" t="s">
        <v>121</v>
      </c>
      <c r="G373" s="1" t="s">
        <v>88</v>
      </c>
      <c r="H373" s="1" t="s">
        <v>89</v>
      </c>
      <c r="I373" s="1" t="s">
        <v>90</v>
      </c>
      <c r="J373" s="1" t="s">
        <v>46</v>
      </c>
      <c r="K373" s="1" t="s">
        <v>70</v>
      </c>
      <c r="L373" s="1" t="s">
        <v>1260</v>
      </c>
      <c r="M373" s="1" t="s">
        <v>83</v>
      </c>
      <c r="N373" s="1" t="s">
        <v>2815</v>
      </c>
      <c r="O373" s="1" t="s">
        <v>5001</v>
      </c>
      <c r="Q373" s="1" t="s">
        <v>5002</v>
      </c>
      <c r="R373" s="1" t="s">
        <v>5003</v>
      </c>
      <c r="S373" s="1" t="s">
        <v>5004</v>
      </c>
      <c r="T373" s="1" t="s">
        <v>129</v>
      </c>
      <c r="U373" s="1" t="s">
        <v>93</v>
      </c>
    </row>
    <row r="374" customFormat="false" ht="15" hidden="false" customHeight="true" outlineLevel="0" collapsed="false">
      <c r="A374" s="1" t="s">
        <v>1261</v>
      </c>
      <c r="B374" s="1" t="s">
        <v>5005</v>
      </c>
      <c r="C374" s="1" t="s">
        <v>3890</v>
      </c>
      <c r="D374" s="1" t="s">
        <v>678</v>
      </c>
      <c r="E374" s="1" t="s">
        <v>298</v>
      </c>
      <c r="F374" s="1" t="s">
        <v>41</v>
      </c>
      <c r="G374" s="1" t="s">
        <v>59</v>
      </c>
      <c r="H374" s="1" t="s">
        <v>262</v>
      </c>
      <c r="I374" s="1" t="s">
        <v>263</v>
      </c>
      <c r="J374" s="1" t="s">
        <v>62</v>
      </c>
      <c r="K374" s="1" t="s">
        <v>91</v>
      </c>
      <c r="L374" s="1" t="s">
        <v>1262</v>
      </c>
      <c r="M374" s="1" t="s">
        <v>65</v>
      </c>
      <c r="N374" s="1" t="s">
        <v>2829</v>
      </c>
      <c r="O374" s="1" t="s">
        <v>5006</v>
      </c>
      <c r="P374" s="1" t="s">
        <v>66</v>
      </c>
      <c r="Q374" s="1" t="s">
        <v>5007</v>
      </c>
      <c r="R374" s="1" t="s">
        <v>5008</v>
      </c>
      <c r="S374" s="1" t="s">
        <v>5009</v>
      </c>
      <c r="T374" s="1" t="s">
        <v>52</v>
      </c>
      <c r="U374" s="1" t="s">
        <v>53</v>
      </c>
    </row>
    <row r="375" customFormat="false" ht="15" hidden="false" customHeight="true" outlineLevel="0" collapsed="false">
      <c r="A375" s="1" t="s">
        <v>1263</v>
      </c>
      <c r="B375" s="1" t="s">
        <v>5010</v>
      </c>
      <c r="C375" s="1" t="s">
        <v>5010</v>
      </c>
      <c r="D375" s="1" t="s">
        <v>1264</v>
      </c>
      <c r="E375" s="1" t="s">
        <v>159</v>
      </c>
      <c r="F375" s="1" t="s">
        <v>58</v>
      </c>
      <c r="G375" s="1" t="s">
        <v>42</v>
      </c>
      <c r="H375" s="1" t="s">
        <v>163</v>
      </c>
      <c r="I375" s="1" t="s">
        <v>164</v>
      </c>
      <c r="J375" s="1" t="s">
        <v>46</v>
      </c>
      <c r="K375" s="1" t="s">
        <v>151</v>
      </c>
      <c r="L375" s="1" t="s">
        <v>1265</v>
      </c>
      <c r="M375" s="1" t="s">
        <v>49</v>
      </c>
      <c r="N375" s="1" t="s">
        <v>2899</v>
      </c>
      <c r="O375" s="1" t="s">
        <v>5011</v>
      </c>
      <c r="P375" s="1" t="s">
        <v>66</v>
      </c>
      <c r="Q375" s="1" t="s">
        <v>5012</v>
      </c>
      <c r="R375" s="1" t="s">
        <v>5013</v>
      </c>
      <c r="S375" s="1" t="s">
        <v>5014</v>
      </c>
      <c r="T375" s="1" t="s">
        <v>52</v>
      </c>
      <c r="U375" s="1" t="s">
        <v>53</v>
      </c>
    </row>
    <row r="376" customFormat="false" ht="15" hidden="false" customHeight="true" outlineLevel="0" collapsed="false">
      <c r="A376" s="1" t="s">
        <v>1266</v>
      </c>
      <c r="B376" s="1" t="s">
        <v>5015</v>
      </c>
      <c r="C376" s="1" t="s">
        <v>5016</v>
      </c>
      <c r="D376" s="1" t="s">
        <v>1267</v>
      </c>
      <c r="E376" s="1" t="s">
        <v>115</v>
      </c>
      <c r="F376" s="1" t="s">
        <v>58</v>
      </c>
      <c r="G376" s="1" t="s">
        <v>42</v>
      </c>
      <c r="H376" s="1" t="s">
        <v>163</v>
      </c>
      <c r="I376" s="1" t="s">
        <v>164</v>
      </c>
      <c r="J376" s="1" t="s">
        <v>46</v>
      </c>
      <c r="K376" s="1" t="s">
        <v>117</v>
      </c>
      <c r="L376" s="1" t="s">
        <v>1268</v>
      </c>
      <c r="M376" s="1" t="s">
        <v>83</v>
      </c>
      <c r="N376" s="1" t="s">
        <v>2815</v>
      </c>
      <c r="O376" s="1" t="s">
        <v>5017</v>
      </c>
      <c r="P376" s="1" t="s">
        <v>66</v>
      </c>
      <c r="Q376" s="1" t="s">
        <v>5018</v>
      </c>
      <c r="R376" s="1" t="s">
        <v>5019</v>
      </c>
      <c r="S376" s="1" t="s">
        <v>5020</v>
      </c>
      <c r="T376" s="1" t="s">
        <v>52</v>
      </c>
      <c r="U376" s="1" t="s">
        <v>53</v>
      </c>
    </row>
    <row r="377" customFormat="false" ht="15" hidden="false" customHeight="true" outlineLevel="0" collapsed="false">
      <c r="A377" s="1" t="s">
        <v>1269</v>
      </c>
      <c r="B377" s="1" t="s">
        <v>5021</v>
      </c>
      <c r="C377" s="1" t="s">
        <v>5022</v>
      </c>
      <c r="D377" s="1" t="s">
        <v>1270</v>
      </c>
      <c r="E377" s="1" t="s">
        <v>96</v>
      </c>
      <c r="F377" s="1" t="s">
        <v>41</v>
      </c>
      <c r="G377" s="1" t="s">
        <v>42</v>
      </c>
      <c r="H377" s="1" t="s">
        <v>384</v>
      </c>
      <c r="I377" s="1" t="s">
        <v>385</v>
      </c>
      <c r="J377" s="1" t="s">
        <v>62</v>
      </c>
      <c r="K377" s="1" t="s">
        <v>91</v>
      </c>
      <c r="L377" s="1" t="s">
        <v>1271</v>
      </c>
      <c r="M377" s="1" t="s">
        <v>65</v>
      </c>
      <c r="N377" s="1" t="s">
        <v>2822</v>
      </c>
      <c r="O377" s="1" t="s">
        <v>5023</v>
      </c>
      <c r="P377" s="1" t="s">
        <v>84</v>
      </c>
      <c r="Q377" s="1" t="s">
        <v>5024</v>
      </c>
      <c r="R377" s="1" t="s">
        <v>5025</v>
      </c>
      <c r="S377" s="1" t="s">
        <v>5026</v>
      </c>
      <c r="T377" s="1" t="s">
        <v>52</v>
      </c>
      <c r="U377" s="1" t="s">
        <v>53</v>
      </c>
    </row>
    <row r="378" customFormat="false" ht="15" hidden="false" customHeight="true" outlineLevel="0" collapsed="false">
      <c r="A378" s="1" t="s">
        <v>1272</v>
      </c>
      <c r="B378" s="1" t="s">
        <v>5027</v>
      </c>
      <c r="C378" s="1" t="s">
        <v>4907</v>
      </c>
      <c r="D378" s="1" t="s">
        <v>1273</v>
      </c>
      <c r="E378" s="1" t="s">
        <v>69</v>
      </c>
      <c r="F378" s="1" t="s">
        <v>58</v>
      </c>
      <c r="G378" s="1" t="s">
        <v>59</v>
      </c>
      <c r="H378" s="1" t="s">
        <v>174</v>
      </c>
      <c r="I378" s="1" t="s">
        <v>175</v>
      </c>
      <c r="J378" s="1" t="s">
        <v>62</v>
      </c>
      <c r="K378" s="1" t="s">
        <v>91</v>
      </c>
      <c r="L378" s="1" t="s">
        <v>1274</v>
      </c>
      <c r="M378" s="1" t="s">
        <v>72</v>
      </c>
      <c r="N378" s="1" t="s">
        <v>2815</v>
      </c>
      <c r="O378" s="1" t="s">
        <v>5028</v>
      </c>
      <c r="P378" s="1" t="s">
        <v>50</v>
      </c>
      <c r="Q378" s="1" t="s">
        <v>5029</v>
      </c>
      <c r="R378" s="1" t="s">
        <v>5030</v>
      </c>
      <c r="S378" s="1" t="s">
        <v>5031</v>
      </c>
      <c r="T378" s="1" t="s">
        <v>52</v>
      </c>
      <c r="U378" s="1" t="s">
        <v>53</v>
      </c>
    </row>
    <row r="379" customFormat="false" ht="15" hidden="false" customHeight="true" outlineLevel="0" collapsed="false">
      <c r="A379" s="1" t="s">
        <v>1275</v>
      </c>
      <c r="B379" s="1" t="s">
        <v>2891</v>
      </c>
      <c r="C379" s="1" t="s">
        <v>2892</v>
      </c>
      <c r="D379" s="1" t="s">
        <v>1276</v>
      </c>
      <c r="E379" s="1" t="s">
        <v>298</v>
      </c>
      <c r="F379" s="1" t="s">
        <v>58</v>
      </c>
      <c r="G379" s="1" t="s">
        <v>59</v>
      </c>
      <c r="H379" s="1" t="s">
        <v>60</v>
      </c>
      <c r="I379" s="1" t="s">
        <v>61</v>
      </c>
      <c r="J379" s="1" t="s">
        <v>46</v>
      </c>
      <c r="K379" s="1" t="s">
        <v>2893</v>
      </c>
      <c r="L379" s="1" t="s">
        <v>1277</v>
      </c>
      <c r="M379" s="1" t="s">
        <v>65</v>
      </c>
      <c r="N379" s="1" t="s">
        <v>2836</v>
      </c>
      <c r="O379" s="1" t="s">
        <v>2894</v>
      </c>
      <c r="P379" s="1" t="s">
        <v>66</v>
      </c>
      <c r="Q379" s="1" t="s">
        <v>2894</v>
      </c>
      <c r="R379" s="1" t="s">
        <v>2895</v>
      </c>
      <c r="S379" s="1" t="s">
        <v>2896</v>
      </c>
      <c r="T379" s="1" t="s">
        <v>52</v>
      </c>
      <c r="U379" s="1" t="s">
        <v>53</v>
      </c>
    </row>
    <row r="380" customFormat="false" ht="15" hidden="false" customHeight="true" outlineLevel="0" collapsed="false">
      <c r="A380" s="1" t="s">
        <v>1278</v>
      </c>
      <c r="B380" s="1" t="s">
        <v>5032</v>
      </c>
      <c r="C380" s="1" t="s">
        <v>5032</v>
      </c>
      <c r="D380" s="1" t="s">
        <v>1279</v>
      </c>
      <c r="E380" s="1" t="s">
        <v>57</v>
      </c>
      <c r="F380" s="1" t="s">
        <v>41</v>
      </c>
      <c r="G380" s="1" t="s">
        <v>88</v>
      </c>
      <c r="H380" s="1" t="s">
        <v>221</v>
      </c>
      <c r="I380" s="1" t="s">
        <v>222</v>
      </c>
      <c r="J380" s="1" t="s">
        <v>99</v>
      </c>
      <c r="K380" s="1" t="s">
        <v>100</v>
      </c>
      <c r="L380" s="1" t="s">
        <v>1280</v>
      </c>
      <c r="M380" s="1" t="s">
        <v>83</v>
      </c>
      <c r="N380" s="1" t="s">
        <v>2868</v>
      </c>
      <c r="O380" s="1" t="s">
        <v>5033</v>
      </c>
      <c r="P380" s="1" t="s">
        <v>66</v>
      </c>
      <c r="Q380" s="1" t="s">
        <v>5034</v>
      </c>
      <c r="R380" s="1" t="s">
        <v>5035</v>
      </c>
      <c r="S380" s="1" t="s">
        <v>5036</v>
      </c>
      <c r="T380" s="1" t="s">
        <v>52</v>
      </c>
      <c r="U380" s="1" t="s">
        <v>53</v>
      </c>
    </row>
    <row r="381" customFormat="false" ht="15" hidden="false" customHeight="true" outlineLevel="0" collapsed="false">
      <c r="A381" s="1" t="s">
        <v>1281</v>
      </c>
      <c r="B381" s="1" t="s">
        <v>5037</v>
      </c>
      <c r="C381" s="1" t="s">
        <v>5038</v>
      </c>
      <c r="D381" s="1" t="s">
        <v>1282</v>
      </c>
      <c r="E381" s="1" t="s">
        <v>57</v>
      </c>
      <c r="F381" s="1" t="s">
        <v>58</v>
      </c>
      <c r="G381" s="1" t="s">
        <v>78</v>
      </c>
      <c r="H381" s="1" t="s">
        <v>216</v>
      </c>
      <c r="I381" s="1" t="s">
        <v>217</v>
      </c>
      <c r="J381" s="1" t="s">
        <v>46</v>
      </c>
      <c r="K381" s="1" t="s">
        <v>47</v>
      </c>
      <c r="L381" s="1" t="s">
        <v>1283</v>
      </c>
      <c r="M381" s="1" t="s">
        <v>83</v>
      </c>
      <c r="N381" s="1" t="s">
        <v>2906</v>
      </c>
      <c r="O381" s="1" t="s">
        <v>5039</v>
      </c>
      <c r="Q381" s="1" t="s">
        <v>5040</v>
      </c>
      <c r="R381" s="1" t="s">
        <v>5041</v>
      </c>
      <c r="S381" s="1" t="s">
        <v>5042</v>
      </c>
      <c r="T381" s="1" t="s">
        <v>52</v>
      </c>
      <c r="U381" s="1" t="s">
        <v>53</v>
      </c>
    </row>
    <row r="382" customFormat="false" ht="15" hidden="false" customHeight="true" outlineLevel="0" collapsed="false">
      <c r="A382" s="1" t="s">
        <v>1284</v>
      </c>
      <c r="B382" s="1" t="s">
        <v>5043</v>
      </c>
      <c r="C382" s="1" t="s">
        <v>4486</v>
      </c>
      <c r="D382" s="1" t="s">
        <v>1285</v>
      </c>
      <c r="E382" s="1" t="s">
        <v>96</v>
      </c>
      <c r="F382" s="1" t="s">
        <v>41</v>
      </c>
      <c r="G382" s="1" t="s">
        <v>88</v>
      </c>
      <c r="H382" s="1" t="s">
        <v>89</v>
      </c>
      <c r="I382" s="1" t="s">
        <v>90</v>
      </c>
      <c r="J382" s="1" t="s">
        <v>62</v>
      </c>
      <c r="K382" s="1" t="s">
        <v>188</v>
      </c>
      <c r="L382" s="1" t="s">
        <v>1286</v>
      </c>
      <c r="M382" s="1" t="s">
        <v>65</v>
      </c>
      <c r="N382" s="1" t="s">
        <v>2829</v>
      </c>
      <c r="O382" s="1" t="s">
        <v>5044</v>
      </c>
      <c r="P382" s="1" t="s">
        <v>84</v>
      </c>
      <c r="Q382" s="1" t="s">
        <v>5045</v>
      </c>
      <c r="R382" s="1" t="s">
        <v>5046</v>
      </c>
      <c r="S382" s="1" t="s">
        <v>5047</v>
      </c>
      <c r="T382" s="1" t="s">
        <v>52</v>
      </c>
      <c r="U382" s="1" t="s">
        <v>130</v>
      </c>
    </row>
    <row r="383" customFormat="false" ht="15" hidden="false" customHeight="true" outlineLevel="0" collapsed="false">
      <c r="A383" s="1" t="s">
        <v>1287</v>
      </c>
      <c r="B383" s="1" t="s">
        <v>5048</v>
      </c>
      <c r="C383" s="1" t="s">
        <v>5049</v>
      </c>
      <c r="D383" s="1" t="s">
        <v>1288</v>
      </c>
      <c r="E383" s="1" t="s">
        <v>77</v>
      </c>
      <c r="F383" s="1" t="s">
        <v>5050</v>
      </c>
      <c r="G383" s="1" t="s">
        <v>42</v>
      </c>
      <c r="H383" s="1" t="s">
        <v>384</v>
      </c>
      <c r="I383" s="1" t="s">
        <v>385</v>
      </c>
      <c r="J383" s="1" t="s">
        <v>46</v>
      </c>
      <c r="K383" s="1" t="s">
        <v>183</v>
      </c>
      <c r="L383" s="1" t="s">
        <v>1289</v>
      </c>
      <c r="M383" s="1" t="s">
        <v>83</v>
      </c>
      <c r="N383" s="1" t="s">
        <v>2937</v>
      </c>
      <c r="O383" s="1" t="s">
        <v>5051</v>
      </c>
      <c r="P383" s="1" t="s">
        <v>128</v>
      </c>
      <c r="Q383" s="1" t="s">
        <v>5052</v>
      </c>
      <c r="R383" s="1" t="s">
        <v>5053</v>
      </c>
      <c r="S383" s="1" t="s">
        <v>5054</v>
      </c>
      <c r="T383" s="1" t="s">
        <v>185</v>
      </c>
      <c r="U383" s="1" t="s">
        <v>93</v>
      </c>
    </row>
    <row r="384" customFormat="false" ht="15" hidden="false" customHeight="true" outlineLevel="0" collapsed="false">
      <c r="A384" s="1" t="s">
        <v>1290</v>
      </c>
      <c r="B384" s="1" t="s">
        <v>5055</v>
      </c>
      <c r="C384" s="1" t="s">
        <v>3467</v>
      </c>
      <c r="D384" s="1" t="s">
        <v>187</v>
      </c>
      <c r="E384" s="1" t="s">
        <v>77</v>
      </c>
      <c r="F384" s="1" t="s">
        <v>58</v>
      </c>
      <c r="G384" s="1" t="s">
        <v>59</v>
      </c>
      <c r="H384" s="1" t="s">
        <v>174</v>
      </c>
      <c r="I384" s="1" t="s">
        <v>175</v>
      </c>
      <c r="J384" s="1" t="s">
        <v>5056</v>
      </c>
      <c r="K384" s="1" t="s">
        <v>201</v>
      </c>
      <c r="L384" s="1" t="s">
        <v>1291</v>
      </c>
      <c r="M384" s="1" t="s">
        <v>72</v>
      </c>
      <c r="N384" s="1" t="s">
        <v>2822</v>
      </c>
      <c r="O384" s="1" t="s">
        <v>5057</v>
      </c>
      <c r="P384" s="1" t="s">
        <v>50</v>
      </c>
      <c r="Q384" s="1" t="s">
        <v>5058</v>
      </c>
      <c r="R384" s="1" t="s">
        <v>5059</v>
      </c>
      <c r="S384" s="1" t="s">
        <v>5060</v>
      </c>
      <c r="T384" s="1" t="s">
        <v>52</v>
      </c>
      <c r="U384" s="1" t="s">
        <v>53</v>
      </c>
    </row>
    <row r="385" customFormat="false" ht="15" hidden="false" customHeight="true" outlineLevel="0" collapsed="false">
      <c r="A385" s="1" t="s">
        <v>1292</v>
      </c>
      <c r="B385" s="1" t="s">
        <v>4592</v>
      </c>
      <c r="C385" s="1" t="s">
        <v>4077</v>
      </c>
      <c r="D385" s="1" t="s">
        <v>1293</v>
      </c>
      <c r="E385" s="1" t="s">
        <v>96</v>
      </c>
      <c r="F385" s="1" t="s">
        <v>116</v>
      </c>
      <c r="G385" s="1" t="s">
        <v>59</v>
      </c>
      <c r="H385" s="1" t="s">
        <v>125</v>
      </c>
      <c r="I385" s="1" t="s">
        <v>126</v>
      </c>
      <c r="J385" s="1" t="s">
        <v>46</v>
      </c>
      <c r="K385" s="1" t="s">
        <v>70</v>
      </c>
      <c r="L385" s="1" t="s">
        <v>1294</v>
      </c>
      <c r="M385" s="1" t="s">
        <v>72</v>
      </c>
      <c r="N385" s="1" t="s">
        <v>2868</v>
      </c>
      <c r="O385" s="1" t="s">
        <v>5061</v>
      </c>
      <c r="P385" s="1" t="s">
        <v>66</v>
      </c>
      <c r="Q385" s="1" t="s">
        <v>5062</v>
      </c>
      <c r="R385" s="1" t="s">
        <v>5063</v>
      </c>
      <c r="S385" s="1" t="s">
        <v>5064</v>
      </c>
      <c r="T385" s="1" t="s">
        <v>52</v>
      </c>
      <c r="U385" s="1" t="s">
        <v>93</v>
      </c>
    </row>
    <row r="386" customFormat="false" ht="15" hidden="false" customHeight="true" outlineLevel="0" collapsed="false">
      <c r="A386" s="1" t="s">
        <v>1295</v>
      </c>
      <c r="B386" s="1" t="s">
        <v>5065</v>
      </c>
      <c r="C386" s="1" t="s">
        <v>5066</v>
      </c>
      <c r="D386" s="1" t="s">
        <v>1296</v>
      </c>
      <c r="E386" s="1" t="s">
        <v>168</v>
      </c>
      <c r="F386" s="1" t="s">
        <v>41</v>
      </c>
      <c r="G386" s="1" t="s">
        <v>59</v>
      </c>
      <c r="H386" s="1" t="s">
        <v>262</v>
      </c>
      <c r="I386" s="1" t="s">
        <v>263</v>
      </c>
      <c r="J386" s="1" t="s">
        <v>99</v>
      </c>
      <c r="K386" s="1" t="s">
        <v>105</v>
      </c>
      <c r="L386" s="1" t="s">
        <v>1297</v>
      </c>
      <c r="M386" s="1" t="s">
        <v>83</v>
      </c>
      <c r="N386" s="1" t="s">
        <v>2868</v>
      </c>
      <c r="O386" s="1" t="s">
        <v>5067</v>
      </c>
      <c r="P386" s="1" t="s">
        <v>84</v>
      </c>
      <c r="Q386" s="1" t="s">
        <v>5068</v>
      </c>
      <c r="R386" s="1" t="s">
        <v>5069</v>
      </c>
      <c r="S386" s="1" t="s">
        <v>5070</v>
      </c>
      <c r="T386" s="1" t="s">
        <v>52</v>
      </c>
      <c r="U386" s="1" t="s">
        <v>130</v>
      </c>
    </row>
    <row r="387" customFormat="false" ht="15" hidden="false" customHeight="true" outlineLevel="0" collapsed="false">
      <c r="A387" s="1" t="s">
        <v>1298</v>
      </c>
      <c r="B387" s="1" t="s">
        <v>3981</v>
      </c>
      <c r="C387" s="1" t="s">
        <v>5071</v>
      </c>
      <c r="D387" s="1" t="s">
        <v>1299</v>
      </c>
      <c r="E387" s="1" t="s">
        <v>77</v>
      </c>
      <c r="F387" s="1" t="s">
        <v>41</v>
      </c>
      <c r="G387" s="1" t="s">
        <v>42</v>
      </c>
      <c r="H387" s="1" t="s">
        <v>270</v>
      </c>
      <c r="I387" s="1" t="s">
        <v>271</v>
      </c>
      <c r="J387" s="1" t="s">
        <v>46</v>
      </c>
      <c r="K387" s="1" t="s">
        <v>117</v>
      </c>
      <c r="L387" s="1" t="s">
        <v>1300</v>
      </c>
      <c r="M387" s="1" t="s">
        <v>83</v>
      </c>
      <c r="N387" s="1" t="s">
        <v>2815</v>
      </c>
      <c r="O387" s="1" t="s">
        <v>5072</v>
      </c>
      <c r="P387" s="1" t="s">
        <v>203</v>
      </c>
      <c r="Q387" s="1" t="s">
        <v>5073</v>
      </c>
      <c r="R387" s="1" t="s">
        <v>5074</v>
      </c>
      <c r="S387" s="1" t="s">
        <v>5075</v>
      </c>
      <c r="T387" s="1" t="s">
        <v>52</v>
      </c>
      <c r="U387" s="1" t="s">
        <v>53</v>
      </c>
    </row>
    <row r="388" customFormat="false" ht="15" hidden="false" customHeight="true" outlineLevel="0" collapsed="false">
      <c r="A388" s="1" t="s">
        <v>1301</v>
      </c>
      <c r="B388" s="1" t="s">
        <v>4459</v>
      </c>
      <c r="C388" s="1" t="s">
        <v>5076</v>
      </c>
      <c r="D388" s="1" t="s">
        <v>1302</v>
      </c>
      <c r="E388" s="1" t="s">
        <v>159</v>
      </c>
      <c r="F388" s="1" t="s">
        <v>41</v>
      </c>
      <c r="G388" s="1" t="s">
        <v>88</v>
      </c>
      <c r="H388" s="1" t="s">
        <v>89</v>
      </c>
      <c r="I388" s="1" t="s">
        <v>90</v>
      </c>
      <c r="J388" s="1" t="s">
        <v>62</v>
      </c>
      <c r="K388" s="1" t="s">
        <v>81</v>
      </c>
      <c r="L388" s="1" t="s">
        <v>1303</v>
      </c>
      <c r="M388" s="1" t="s">
        <v>49</v>
      </c>
      <c r="N388" s="1" t="s">
        <v>2861</v>
      </c>
      <c r="O388" s="1" t="s">
        <v>5077</v>
      </c>
      <c r="P388" s="1" t="s">
        <v>203</v>
      </c>
      <c r="Q388" s="1" t="s">
        <v>5078</v>
      </c>
      <c r="R388" s="1" t="s">
        <v>5079</v>
      </c>
      <c r="S388" s="1" t="s">
        <v>5080</v>
      </c>
      <c r="T388" s="1" t="s">
        <v>52</v>
      </c>
      <c r="U388" s="1" t="s">
        <v>53</v>
      </c>
    </row>
    <row r="389" customFormat="false" ht="15" hidden="false" customHeight="true" outlineLevel="0" collapsed="false">
      <c r="A389" s="1" t="s">
        <v>1304</v>
      </c>
      <c r="B389" s="1" t="s">
        <v>3918</v>
      </c>
      <c r="C389" s="1" t="s">
        <v>4128</v>
      </c>
      <c r="D389" s="1" t="s">
        <v>1305</v>
      </c>
      <c r="E389" s="1" t="s">
        <v>141</v>
      </c>
      <c r="F389" s="1" t="s">
        <v>58</v>
      </c>
      <c r="G389" s="1" t="s">
        <v>88</v>
      </c>
      <c r="H389" s="1" t="s">
        <v>97</v>
      </c>
      <c r="I389" s="1" t="s">
        <v>98</v>
      </c>
      <c r="J389" s="1" t="s">
        <v>62</v>
      </c>
      <c r="K389" s="1" t="s">
        <v>91</v>
      </c>
      <c r="L389" s="1" t="s">
        <v>1306</v>
      </c>
      <c r="M389" s="1" t="s">
        <v>83</v>
      </c>
      <c r="N389" s="1" t="s">
        <v>2829</v>
      </c>
      <c r="O389" s="1" t="s">
        <v>5081</v>
      </c>
      <c r="P389" s="1" t="s">
        <v>66</v>
      </c>
      <c r="Q389" s="1" t="s">
        <v>5082</v>
      </c>
      <c r="R389" s="1" t="s">
        <v>5083</v>
      </c>
      <c r="S389" s="1" t="s">
        <v>5084</v>
      </c>
      <c r="T389" s="1" t="s">
        <v>138</v>
      </c>
      <c r="U389" s="1" t="s">
        <v>93</v>
      </c>
    </row>
    <row r="390" customFormat="false" ht="15" hidden="false" customHeight="true" outlineLevel="0" collapsed="false">
      <c r="A390" s="1" t="s">
        <v>1307</v>
      </c>
      <c r="B390" s="1" t="s">
        <v>5085</v>
      </c>
      <c r="C390" s="1" t="s">
        <v>5086</v>
      </c>
      <c r="D390" s="1" t="s">
        <v>1308</v>
      </c>
      <c r="E390" s="1" t="s">
        <v>69</v>
      </c>
      <c r="F390" s="1" t="s">
        <v>58</v>
      </c>
      <c r="G390" s="1" t="s">
        <v>88</v>
      </c>
      <c r="H390" s="1" t="s">
        <v>211</v>
      </c>
      <c r="I390" s="1" t="s">
        <v>212</v>
      </c>
      <c r="J390" s="1" t="s">
        <v>62</v>
      </c>
      <c r="K390" s="1" t="s">
        <v>91</v>
      </c>
      <c r="L390" s="1" t="s">
        <v>1309</v>
      </c>
      <c r="M390" s="1" t="s">
        <v>83</v>
      </c>
      <c r="N390" s="1" t="s">
        <v>2822</v>
      </c>
      <c r="O390" s="1" t="s">
        <v>5087</v>
      </c>
      <c r="P390" s="1" t="s">
        <v>66</v>
      </c>
      <c r="Q390" s="1" t="s">
        <v>5088</v>
      </c>
      <c r="R390" s="1" t="s">
        <v>5089</v>
      </c>
      <c r="S390" s="1" t="s">
        <v>5090</v>
      </c>
      <c r="T390" s="1" t="s">
        <v>52</v>
      </c>
      <c r="U390" s="1" t="s">
        <v>53</v>
      </c>
    </row>
    <row r="391" customFormat="false" ht="15" hidden="false" customHeight="true" outlineLevel="0" collapsed="false">
      <c r="A391" s="1" t="s">
        <v>1310</v>
      </c>
      <c r="B391" s="1" t="s">
        <v>5091</v>
      </c>
      <c r="C391" s="1" t="s">
        <v>3225</v>
      </c>
      <c r="D391" s="1" t="s">
        <v>1311</v>
      </c>
      <c r="E391" s="1" t="s">
        <v>192</v>
      </c>
      <c r="F391" s="1" t="s">
        <v>116</v>
      </c>
      <c r="G391" s="1" t="s">
        <v>88</v>
      </c>
      <c r="H391" s="1" t="s">
        <v>211</v>
      </c>
      <c r="I391" s="1" t="s">
        <v>212</v>
      </c>
      <c r="J391" s="1" t="s">
        <v>99</v>
      </c>
      <c r="K391" s="1" t="s">
        <v>308</v>
      </c>
      <c r="L391" s="1" t="s">
        <v>1312</v>
      </c>
      <c r="M391" s="1" t="s">
        <v>49</v>
      </c>
      <c r="N391" s="1" t="s">
        <v>2829</v>
      </c>
      <c r="O391" s="1" t="s">
        <v>5092</v>
      </c>
      <c r="P391" s="1" t="s">
        <v>50</v>
      </c>
      <c r="Q391" s="1" t="s">
        <v>5093</v>
      </c>
      <c r="R391" s="1" t="s">
        <v>5094</v>
      </c>
      <c r="S391" s="1" t="s">
        <v>5095</v>
      </c>
      <c r="T391" s="1" t="s">
        <v>138</v>
      </c>
      <c r="U391" s="1" t="s">
        <v>93</v>
      </c>
    </row>
    <row r="392" customFormat="false" ht="15" hidden="false" customHeight="true" outlineLevel="0" collapsed="false">
      <c r="A392" s="1" t="s">
        <v>1313</v>
      </c>
      <c r="B392" s="1" t="s">
        <v>5096</v>
      </c>
      <c r="C392" s="1" t="s">
        <v>3384</v>
      </c>
      <c r="D392" s="1" t="s">
        <v>1314</v>
      </c>
      <c r="E392" s="1" t="s">
        <v>69</v>
      </c>
      <c r="F392" s="1" t="s">
        <v>41</v>
      </c>
      <c r="G392" s="1" t="s">
        <v>88</v>
      </c>
      <c r="H392" s="1" t="s">
        <v>211</v>
      </c>
      <c r="I392" s="1" t="s">
        <v>212</v>
      </c>
      <c r="J392" s="1" t="s">
        <v>62</v>
      </c>
      <c r="K392" s="1" t="s">
        <v>81</v>
      </c>
      <c r="L392" s="1" t="s">
        <v>1315</v>
      </c>
      <c r="M392" s="1" t="s">
        <v>83</v>
      </c>
      <c r="N392" s="1" t="s">
        <v>2937</v>
      </c>
      <c r="O392" s="1" t="s">
        <v>5097</v>
      </c>
      <c r="P392" s="1" t="s">
        <v>50</v>
      </c>
      <c r="Q392" s="1" t="s">
        <v>5098</v>
      </c>
      <c r="R392" s="1" t="s">
        <v>5099</v>
      </c>
      <c r="S392" s="1" t="s">
        <v>5100</v>
      </c>
      <c r="T392" s="1" t="s">
        <v>52</v>
      </c>
      <c r="U392" s="1" t="s">
        <v>53</v>
      </c>
    </row>
    <row r="393" customFormat="false" ht="15" hidden="false" customHeight="true" outlineLevel="0" collapsed="false">
      <c r="A393" s="1" t="s">
        <v>1316</v>
      </c>
      <c r="B393" s="1" t="s">
        <v>5076</v>
      </c>
      <c r="C393" s="1" t="s">
        <v>5101</v>
      </c>
      <c r="D393" s="1" t="s">
        <v>1317</v>
      </c>
      <c r="E393" s="1" t="s">
        <v>192</v>
      </c>
      <c r="F393" s="1" t="s">
        <v>41</v>
      </c>
      <c r="G393" s="1" t="s">
        <v>78</v>
      </c>
      <c r="H393" s="1" t="s">
        <v>206</v>
      </c>
      <c r="I393" s="1" t="s">
        <v>207</v>
      </c>
      <c r="J393" s="1" t="s">
        <v>46</v>
      </c>
      <c r="K393" s="1" t="s">
        <v>151</v>
      </c>
      <c r="L393" s="1" t="s">
        <v>1318</v>
      </c>
      <c r="M393" s="1" t="s">
        <v>72</v>
      </c>
      <c r="N393" s="1" t="s">
        <v>2836</v>
      </c>
      <c r="O393" s="1" t="s">
        <v>5102</v>
      </c>
      <c r="P393" s="1" t="s">
        <v>66</v>
      </c>
      <c r="Q393" s="1" t="s">
        <v>5102</v>
      </c>
      <c r="R393" s="1" t="s">
        <v>5103</v>
      </c>
      <c r="S393" s="1" t="s">
        <v>5104</v>
      </c>
      <c r="T393" s="1" t="s">
        <v>52</v>
      </c>
      <c r="U393" s="1" t="s">
        <v>53</v>
      </c>
    </row>
    <row r="394" customFormat="false" ht="15" hidden="false" customHeight="true" outlineLevel="0" collapsed="false">
      <c r="A394" s="1" t="s">
        <v>1319</v>
      </c>
      <c r="B394" s="1" t="s">
        <v>5105</v>
      </c>
      <c r="C394" s="1" t="s">
        <v>5106</v>
      </c>
      <c r="D394" s="1" t="s">
        <v>1320</v>
      </c>
      <c r="E394" s="1" t="s">
        <v>115</v>
      </c>
      <c r="F394" s="1" t="s">
        <v>58</v>
      </c>
      <c r="G394" s="1" t="s">
        <v>78</v>
      </c>
      <c r="H394" s="1" t="s">
        <v>216</v>
      </c>
      <c r="I394" s="1" t="s">
        <v>217</v>
      </c>
      <c r="J394" s="1" t="s">
        <v>62</v>
      </c>
      <c r="K394" s="1" t="s">
        <v>81</v>
      </c>
      <c r="L394" s="1" t="s">
        <v>1321</v>
      </c>
      <c r="M394" s="1" t="s">
        <v>65</v>
      </c>
      <c r="N394" s="1" t="s">
        <v>2899</v>
      </c>
      <c r="O394" s="1" t="s">
        <v>5107</v>
      </c>
      <c r="P394" s="1" t="s">
        <v>66</v>
      </c>
      <c r="Q394" s="1" t="s">
        <v>5108</v>
      </c>
      <c r="R394" s="1" t="s">
        <v>5109</v>
      </c>
      <c r="S394" s="1" t="s">
        <v>5110</v>
      </c>
      <c r="T394" s="1" t="s">
        <v>52</v>
      </c>
      <c r="U394" s="1" t="s">
        <v>53</v>
      </c>
    </row>
    <row r="395" customFormat="false" ht="15" hidden="false" customHeight="true" outlineLevel="0" collapsed="false">
      <c r="A395" s="1" t="s">
        <v>1322</v>
      </c>
      <c r="B395" s="1" t="s">
        <v>5111</v>
      </c>
      <c r="C395" s="1" t="s">
        <v>5112</v>
      </c>
      <c r="D395" s="1" t="s">
        <v>1323</v>
      </c>
      <c r="E395" s="1" t="s">
        <v>57</v>
      </c>
      <c r="F395" s="1" t="s">
        <v>116</v>
      </c>
      <c r="G395" s="1" t="s">
        <v>42</v>
      </c>
      <c r="H395" s="1" t="s">
        <v>163</v>
      </c>
      <c r="I395" s="1" t="s">
        <v>164</v>
      </c>
      <c r="J395" s="1" t="s">
        <v>46</v>
      </c>
      <c r="K395" s="1" t="s">
        <v>117</v>
      </c>
      <c r="L395" s="1" t="s">
        <v>1324</v>
      </c>
      <c r="M395" s="1" t="s">
        <v>65</v>
      </c>
      <c r="N395" s="1" t="s">
        <v>2868</v>
      </c>
      <c r="O395" s="1" t="s">
        <v>5113</v>
      </c>
      <c r="P395" s="1" t="s">
        <v>128</v>
      </c>
      <c r="Q395" s="1" t="s">
        <v>5114</v>
      </c>
      <c r="R395" s="1" t="s">
        <v>5115</v>
      </c>
      <c r="S395" s="1" t="s">
        <v>5116</v>
      </c>
      <c r="T395" s="1" t="s">
        <v>52</v>
      </c>
      <c r="U395" s="1" t="s">
        <v>53</v>
      </c>
    </row>
    <row r="396" customFormat="false" ht="15" hidden="false" customHeight="true" outlineLevel="0" collapsed="false">
      <c r="A396" s="1" t="s">
        <v>1325</v>
      </c>
      <c r="B396" s="1" t="s">
        <v>5117</v>
      </c>
      <c r="C396" s="1" t="s">
        <v>5118</v>
      </c>
      <c r="D396" s="1" t="s">
        <v>1326</v>
      </c>
      <c r="E396" s="1" t="s">
        <v>298</v>
      </c>
      <c r="F396" s="1" t="s">
        <v>41</v>
      </c>
      <c r="G396" s="1" t="s">
        <v>88</v>
      </c>
      <c r="H396" s="1" t="s">
        <v>89</v>
      </c>
      <c r="I396" s="1" t="s">
        <v>90</v>
      </c>
      <c r="J396" s="1" t="s">
        <v>62</v>
      </c>
      <c r="K396" s="1" t="s">
        <v>81</v>
      </c>
      <c r="L396" s="1" t="s">
        <v>1327</v>
      </c>
      <c r="M396" s="1" t="s">
        <v>72</v>
      </c>
      <c r="N396" s="1" t="s">
        <v>2906</v>
      </c>
      <c r="O396" s="1" t="s">
        <v>5119</v>
      </c>
      <c r="P396" s="1" t="s">
        <v>66</v>
      </c>
      <c r="Q396" s="1" t="s">
        <v>5120</v>
      </c>
      <c r="R396" s="1" t="s">
        <v>5121</v>
      </c>
      <c r="S396" s="1" t="s">
        <v>5122</v>
      </c>
      <c r="T396" s="1" t="s">
        <v>52</v>
      </c>
      <c r="U396" s="1" t="s">
        <v>53</v>
      </c>
    </row>
    <row r="397" customFormat="false" ht="15" hidden="false" customHeight="true" outlineLevel="0" collapsed="false">
      <c r="A397" s="1" t="s">
        <v>1328</v>
      </c>
      <c r="B397" s="1" t="s">
        <v>4068</v>
      </c>
      <c r="C397" s="1" t="s">
        <v>4876</v>
      </c>
      <c r="D397" s="1" t="s">
        <v>1329</v>
      </c>
      <c r="E397" s="1" t="s">
        <v>145</v>
      </c>
      <c r="F397" s="1" t="s">
        <v>121</v>
      </c>
      <c r="G397" s="1" t="s">
        <v>78</v>
      </c>
      <c r="H397" s="1" t="s">
        <v>281</v>
      </c>
      <c r="I397" s="1" t="s">
        <v>282</v>
      </c>
      <c r="J397" s="1" t="s">
        <v>62</v>
      </c>
      <c r="K397" s="1" t="s">
        <v>63</v>
      </c>
      <c r="L397" s="1" t="s">
        <v>1330</v>
      </c>
      <c r="M397" s="1" t="s">
        <v>65</v>
      </c>
      <c r="N397" s="1" t="s">
        <v>2906</v>
      </c>
      <c r="O397" s="1" t="s">
        <v>5123</v>
      </c>
      <c r="P397" s="1" t="s">
        <v>128</v>
      </c>
      <c r="Q397" s="1" t="s">
        <v>5124</v>
      </c>
      <c r="R397" s="1" t="s">
        <v>5125</v>
      </c>
      <c r="S397" s="1" t="s">
        <v>5126</v>
      </c>
      <c r="T397" s="1" t="s">
        <v>52</v>
      </c>
      <c r="U397" s="1" t="s">
        <v>53</v>
      </c>
    </row>
    <row r="398" customFormat="false" ht="15" hidden="false" customHeight="true" outlineLevel="0" collapsed="false">
      <c r="A398" s="1" t="s">
        <v>1331</v>
      </c>
      <c r="B398" s="1" t="s">
        <v>5127</v>
      </c>
      <c r="C398" s="1" t="s">
        <v>5128</v>
      </c>
      <c r="D398" s="1" t="s">
        <v>1332</v>
      </c>
      <c r="E398" s="1" t="s">
        <v>115</v>
      </c>
      <c r="F398" s="1" t="s">
        <v>58</v>
      </c>
      <c r="G398" s="1" t="s">
        <v>78</v>
      </c>
      <c r="H398" s="1" t="s">
        <v>206</v>
      </c>
      <c r="I398" s="1" t="s">
        <v>207</v>
      </c>
      <c r="J398" s="1" t="s">
        <v>99</v>
      </c>
      <c r="K398" s="1" t="s">
        <v>308</v>
      </c>
      <c r="L398" s="1" t="s">
        <v>1333</v>
      </c>
      <c r="M398" s="1" t="s">
        <v>83</v>
      </c>
      <c r="N398" s="1" t="s">
        <v>2868</v>
      </c>
      <c r="O398" s="1" t="s">
        <v>5129</v>
      </c>
      <c r="P398" s="1" t="s">
        <v>128</v>
      </c>
      <c r="Q398" s="1" t="s">
        <v>5130</v>
      </c>
      <c r="R398" s="1" t="s">
        <v>5131</v>
      </c>
      <c r="S398" s="1" t="s">
        <v>5132</v>
      </c>
      <c r="T398" s="1" t="s">
        <v>52</v>
      </c>
      <c r="U398" s="1" t="s">
        <v>53</v>
      </c>
    </row>
    <row r="399" customFormat="false" ht="15" hidden="false" customHeight="true" outlineLevel="0" collapsed="false">
      <c r="A399" s="1" t="s">
        <v>1334</v>
      </c>
      <c r="B399" s="1" t="s">
        <v>5133</v>
      </c>
      <c r="C399" s="1" t="s">
        <v>5134</v>
      </c>
      <c r="D399" s="1" t="s">
        <v>1335</v>
      </c>
      <c r="E399" s="1" t="s">
        <v>159</v>
      </c>
      <c r="F399" s="1" t="s">
        <v>58</v>
      </c>
      <c r="G399" s="1" t="s">
        <v>42</v>
      </c>
      <c r="H399" s="1" t="s">
        <v>163</v>
      </c>
      <c r="I399" s="1" t="s">
        <v>164</v>
      </c>
      <c r="J399" s="1" t="s">
        <v>62</v>
      </c>
      <c r="K399" s="1" t="s">
        <v>63</v>
      </c>
      <c r="L399" s="1" t="s">
        <v>1336</v>
      </c>
      <c r="M399" s="1" t="s">
        <v>49</v>
      </c>
      <c r="N399" s="1" t="s">
        <v>2868</v>
      </c>
      <c r="O399" s="1" t="s">
        <v>5135</v>
      </c>
      <c r="P399" s="1" t="s">
        <v>66</v>
      </c>
      <c r="Q399" s="1" t="s">
        <v>5136</v>
      </c>
      <c r="R399" s="1" t="s">
        <v>5137</v>
      </c>
      <c r="S399" s="1" t="s">
        <v>5138</v>
      </c>
      <c r="T399" s="1" t="s">
        <v>52</v>
      </c>
      <c r="U399" s="1" t="s">
        <v>53</v>
      </c>
    </row>
    <row r="400" customFormat="false" ht="15" hidden="false" customHeight="true" outlineLevel="0" collapsed="false">
      <c r="A400" s="1" t="s">
        <v>1337</v>
      </c>
      <c r="B400" s="1" t="s">
        <v>5139</v>
      </c>
      <c r="C400" s="1" t="s">
        <v>5140</v>
      </c>
      <c r="D400" s="1" t="s">
        <v>1338</v>
      </c>
      <c r="E400" s="1" t="s">
        <v>96</v>
      </c>
      <c r="F400" s="1" t="s">
        <v>116</v>
      </c>
      <c r="G400" s="1" t="s">
        <v>42</v>
      </c>
      <c r="H400" s="1" t="s">
        <v>149</v>
      </c>
      <c r="I400" s="1" t="s">
        <v>150</v>
      </c>
      <c r="J400" s="1" t="s">
        <v>99</v>
      </c>
      <c r="K400" s="1" t="s">
        <v>308</v>
      </c>
      <c r="L400" s="1" t="s">
        <v>1339</v>
      </c>
      <c r="M400" s="1" t="s">
        <v>65</v>
      </c>
      <c r="N400" s="1" t="s">
        <v>2868</v>
      </c>
      <c r="O400" s="1" t="s">
        <v>5141</v>
      </c>
      <c r="P400" s="1" t="s">
        <v>50</v>
      </c>
      <c r="Q400" s="1" t="s">
        <v>5142</v>
      </c>
      <c r="R400" s="1" t="s">
        <v>5143</v>
      </c>
      <c r="S400" s="1" t="s">
        <v>5144</v>
      </c>
      <c r="T400" s="1" t="s">
        <v>52</v>
      </c>
      <c r="U400" s="1" t="s">
        <v>53</v>
      </c>
    </row>
    <row r="401" customFormat="false" ht="15" hidden="false" customHeight="true" outlineLevel="0" collapsed="false">
      <c r="A401" s="1" t="s">
        <v>1340</v>
      </c>
      <c r="B401" s="1" t="s">
        <v>2873</v>
      </c>
      <c r="C401" s="1" t="s">
        <v>2874</v>
      </c>
      <c r="D401" s="1" t="s">
        <v>1341</v>
      </c>
      <c r="E401" s="1" t="s">
        <v>192</v>
      </c>
      <c r="F401" s="1" t="s">
        <v>58</v>
      </c>
      <c r="G401" s="1" t="s">
        <v>78</v>
      </c>
      <c r="H401" s="1" t="s">
        <v>110</v>
      </c>
      <c r="I401" s="1" t="s">
        <v>111</v>
      </c>
      <c r="J401" s="1" t="s">
        <v>46</v>
      </c>
      <c r="K401" s="1" t="s">
        <v>47</v>
      </c>
      <c r="L401" s="1" t="s">
        <v>1342</v>
      </c>
      <c r="M401" s="1" t="s">
        <v>65</v>
      </c>
      <c r="N401" s="1" t="s">
        <v>2836</v>
      </c>
      <c r="O401" s="1" t="s">
        <v>2875</v>
      </c>
      <c r="P401" s="1" t="s">
        <v>84</v>
      </c>
      <c r="Q401" s="1" t="s">
        <v>2876</v>
      </c>
      <c r="R401" s="1" t="s">
        <v>2877</v>
      </c>
      <c r="S401" s="1" t="s">
        <v>2878</v>
      </c>
      <c r="T401" s="1" t="s">
        <v>52</v>
      </c>
      <c r="U401" s="1" t="s">
        <v>53</v>
      </c>
    </row>
    <row r="402" customFormat="false" ht="15" hidden="false" customHeight="true" outlineLevel="0" collapsed="false">
      <c r="A402" s="1" t="s">
        <v>1343</v>
      </c>
      <c r="B402" s="1" t="s">
        <v>5145</v>
      </c>
      <c r="C402" s="1" t="s">
        <v>5146</v>
      </c>
      <c r="D402" s="1" t="s">
        <v>1344</v>
      </c>
      <c r="E402" s="1" t="s">
        <v>159</v>
      </c>
      <c r="F402" s="1" t="s">
        <v>58</v>
      </c>
      <c r="G402" s="1" t="s">
        <v>42</v>
      </c>
      <c r="H402" s="1" t="s">
        <v>163</v>
      </c>
      <c r="I402" s="1" t="s">
        <v>164</v>
      </c>
      <c r="J402" s="1" t="s">
        <v>46</v>
      </c>
      <c r="K402" s="1" t="s">
        <v>47</v>
      </c>
      <c r="L402" s="1" t="s">
        <v>1345</v>
      </c>
      <c r="M402" s="1" t="s">
        <v>65</v>
      </c>
      <c r="N402" s="1" t="s">
        <v>2906</v>
      </c>
      <c r="O402" s="1" t="s">
        <v>5147</v>
      </c>
      <c r="P402" s="1" t="s">
        <v>1346</v>
      </c>
      <c r="Q402" s="1" t="s">
        <v>5148</v>
      </c>
      <c r="R402" s="1" t="s">
        <v>5149</v>
      </c>
      <c r="S402" s="1" t="s">
        <v>5150</v>
      </c>
      <c r="T402" s="1" t="s">
        <v>52</v>
      </c>
      <c r="U402" s="1" t="s">
        <v>53</v>
      </c>
    </row>
    <row r="403" customFormat="false" ht="15" hidden="false" customHeight="true" outlineLevel="0" collapsed="false">
      <c r="A403" s="1" t="s">
        <v>1347</v>
      </c>
      <c r="B403" s="1" t="s">
        <v>5151</v>
      </c>
      <c r="C403" s="1" t="s">
        <v>5152</v>
      </c>
      <c r="D403" s="1" t="s">
        <v>1348</v>
      </c>
      <c r="E403" s="1" t="s">
        <v>77</v>
      </c>
      <c r="F403" s="1" t="s">
        <v>58</v>
      </c>
      <c r="G403" s="1" t="s">
        <v>59</v>
      </c>
      <c r="H403" s="1" t="s">
        <v>262</v>
      </c>
      <c r="I403" s="1" t="s">
        <v>263</v>
      </c>
      <c r="J403" s="1" t="s">
        <v>62</v>
      </c>
      <c r="K403" s="1" t="s">
        <v>63</v>
      </c>
      <c r="L403" s="1" t="s">
        <v>1349</v>
      </c>
      <c r="M403" s="1" t="s">
        <v>65</v>
      </c>
      <c r="N403" s="1" t="s">
        <v>2822</v>
      </c>
      <c r="O403" s="1" t="s">
        <v>5153</v>
      </c>
      <c r="P403" s="1" t="s">
        <v>66</v>
      </c>
      <c r="Q403" s="1" t="s">
        <v>5154</v>
      </c>
      <c r="R403" s="1" t="s">
        <v>5155</v>
      </c>
      <c r="S403" s="1" t="s">
        <v>5156</v>
      </c>
      <c r="T403" s="1" t="s">
        <v>52</v>
      </c>
      <c r="U403" s="1" t="s">
        <v>53</v>
      </c>
    </row>
    <row r="404" customFormat="false" ht="15" hidden="false" customHeight="true" outlineLevel="0" collapsed="false">
      <c r="A404" s="1" t="s">
        <v>1350</v>
      </c>
      <c r="B404" s="1" t="s">
        <v>5157</v>
      </c>
      <c r="C404" s="1" t="s">
        <v>5158</v>
      </c>
      <c r="D404" s="1" t="s">
        <v>1351</v>
      </c>
      <c r="E404" s="1" t="s">
        <v>141</v>
      </c>
      <c r="F404" s="1" t="s">
        <v>58</v>
      </c>
      <c r="G404" s="1" t="s">
        <v>78</v>
      </c>
      <c r="H404" s="1" t="s">
        <v>206</v>
      </c>
      <c r="I404" s="1" t="s">
        <v>207</v>
      </c>
      <c r="J404" s="1" t="s">
        <v>62</v>
      </c>
      <c r="K404" s="1" t="s">
        <v>63</v>
      </c>
      <c r="L404" s="1" t="s">
        <v>1352</v>
      </c>
      <c r="N404" s="1" t="s">
        <v>2822</v>
      </c>
      <c r="O404" s="1" t="s">
        <v>5159</v>
      </c>
      <c r="P404" s="1" t="s">
        <v>66</v>
      </c>
      <c r="Q404" s="1" t="s">
        <v>5160</v>
      </c>
      <c r="R404" s="1" t="s">
        <v>5161</v>
      </c>
      <c r="S404" s="1" t="s">
        <v>5162</v>
      </c>
      <c r="T404" s="1" t="s">
        <v>52</v>
      </c>
      <c r="U404" s="1" t="s">
        <v>53</v>
      </c>
    </row>
    <row r="405" customFormat="false" ht="15" hidden="false" customHeight="true" outlineLevel="0" collapsed="false">
      <c r="A405" s="1" t="s">
        <v>1353</v>
      </c>
      <c r="B405" s="1" t="s">
        <v>5163</v>
      </c>
      <c r="C405" s="1" t="s">
        <v>5164</v>
      </c>
      <c r="D405" s="1" t="s">
        <v>1354</v>
      </c>
      <c r="E405" s="1" t="s">
        <v>77</v>
      </c>
      <c r="F405" s="1" t="s">
        <v>58</v>
      </c>
      <c r="G405" s="1" t="s">
        <v>78</v>
      </c>
      <c r="H405" s="1" t="s">
        <v>216</v>
      </c>
      <c r="I405" s="1" t="s">
        <v>217</v>
      </c>
      <c r="J405" s="1" t="s">
        <v>46</v>
      </c>
      <c r="K405" s="1" t="s">
        <v>5165</v>
      </c>
      <c r="L405" s="1" t="s">
        <v>1355</v>
      </c>
      <c r="M405" s="1" t="s">
        <v>65</v>
      </c>
      <c r="N405" s="1" t="s">
        <v>2829</v>
      </c>
      <c r="O405" s="1" t="s">
        <v>5166</v>
      </c>
      <c r="P405" s="1" t="s">
        <v>128</v>
      </c>
      <c r="Q405" s="1" t="s">
        <v>5167</v>
      </c>
      <c r="R405" s="1" t="s">
        <v>5168</v>
      </c>
      <c r="S405" s="1" t="s">
        <v>5169</v>
      </c>
      <c r="T405" s="1" t="s">
        <v>52</v>
      </c>
      <c r="U405" s="1" t="s">
        <v>130</v>
      </c>
    </row>
    <row r="406" customFormat="false" ht="15" hidden="false" customHeight="true" outlineLevel="0" collapsed="false">
      <c r="A406" s="1" t="s">
        <v>1356</v>
      </c>
      <c r="B406" s="1" t="s">
        <v>5170</v>
      </c>
      <c r="C406" s="1" t="s">
        <v>5171</v>
      </c>
      <c r="D406" s="1" t="s">
        <v>1357</v>
      </c>
      <c r="E406" s="1" t="s">
        <v>115</v>
      </c>
      <c r="F406" s="1" t="s">
        <v>116</v>
      </c>
      <c r="G406" s="1" t="s">
        <v>88</v>
      </c>
      <c r="H406" s="1" t="s">
        <v>44</v>
      </c>
      <c r="I406" s="1" t="s">
        <v>136</v>
      </c>
      <c r="J406" s="1" t="s">
        <v>62</v>
      </c>
      <c r="K406" s="1" t="s">
        <v>91</v>
      </c>
      <c r="L406" s="1" t="s">
        <v>1358</v>
      </c>
      <c r="M406" s="1" t="s">
        <v>65</v>
      </c>
      <c r="N406" s="1" t="s">
        <v>2822</v>
      </c>
      <c r="O406" s="1" t="s">
        <v>5172</v>
      </c>
      <c r="P406" s="1" t="s">
        <v>66</v>
      </c>
      <c r="Q406" s="1" t="s">
        <v>5173</v>
      </c>
      <c r="R406" s="1" t="s">
        <v>5174</v>
      </c>
      <c r="S406" s="1" t="s">
        <v>5175</v>
      </c>
      <c r="T406" s="1" t="s">
        <v>52</v>
      </c>
      <c r="U406" s="1" t="s">
        <v>53</v>
      </c>
    </row>
    <row r="407" customFormat="false" ht="15" hidden="false" customHeight="true" outlineLevel="0" collapsed="false">
      <c r="A407" s="1" t="s">
        <v>1359</v>
      </c>
      <c r="B407" s="1" t="s">
        <v>5176</v>
      </c>
      <c r="C407" s="1" t="s">
        <v>5177</v>
      </c>
      <c r="D407" s="1" t="s">
        <v>1360</v>
      </c>
      <c r="E407" s="1" t="s">
        <v>115</v>
      </c>
      <c r="F407" s="1" t="s">
        <v>121</v>
      </c>
      <c r="G407" s="1" t="s">
        <v>88</v>
      </c>
      <c r="H407" s="1" t="s">
        <v>211</v>
      </c>
      <c r="I407" s="1" t="s">
        <v>212</v>
      </c>
      <c r="J407" s="1" t="s">
        <v>62</v>
      </c>
      <c r="K407" s="1" t="s">
        <v>188</v>
      </c>
      <c r="L407" s="1" t="s">
        <v>1361</v>
      </c>
      <c r="N407" s="1" t="s">
        <v>2906</v>
      </c>
      <c r="O407" s="1" t="s">
        <v>5178</v>
      </c>
      <c r="P407" s="1" t="s">
        <v>203</v>
      </c>
      <c r="Q407" s="1" t="s">
        <v>5179</v>
      </c>
      <c r="R407" s="1" t="s">
        <v>5180</v>
      </c>
      <c r="S407" s="1" t="s">
        <v>5181</v>
      </c>
      <c r="T407" s="1" t="s">
        <v>52</v>
      </c>
      <c r="U407" s="1" t="s">
        <v>53</v>
      </c>
    </row>
    <row r="408" customFormat="false" ht="15" hidden="false" customHeight="true" outlineLevel="0" collapsed="false">
      <c r="A408" s="1" t="s">
        <v>1362</v>
      </c>
      <c r="B408" s="1" t="s">
        <v>5182</v>
      </c>
      <c r="C408" s="1" t="s">
        <v>5182</v>
      </c>
      <c r="D408" s="1" t="s">
        <v>1363</v>
      </c>
      <c r="E408" s="1" t="s">
        <v>298</v>
      </c>
      <c r="F408" s="1" t="s">
        <v>58</v>
      </c>
      <c r="G408" s="1" t="s">
        <v>88</v>
      </c>
      <c r="H408" s="1" t="s">
        <v>221</v>
      </c>
      <c r="I408" s="1" t="s">
        <v>222</v>
      </c>
      <c r="J408" s="1" t="s">
        <v>62</v>
      </c>
      <c r="K408" s="1" t="s">
        <v>81</v>
      </c>
      <c r="L408" s="1" t="s">
        <v>1364</v>
      </c>
      <c r="M408" s="1" t="s">
        <v>83</v>
      </c>
      <c r="N408" s="1" t="s">
        <v>2868</v>
      </c>
      <c r="O408" s="1" t="s">
        <v>5183</v>
      </c>
      <c r="P408" s="1" t="s">
        <v>84</v>
      </c>
      <c r="Q408" s="1" t="s">
        <v>5184</v>
      </c>
      <c r="R408" s="1" t="s">
        <v>5185</v>
      </c>
      <c r="S408" s="1" t="s">
        <v>5186</v>
      </c>
      <c r="T408" s="1" t="s">
        <v>138</v>
      </c>
      <c r="U408" s="1" t="s">
        <v>130</v>
      </c>
    </row>
    <row r="409" customFormat="false" ht="15" hidden="false" customHeight="true" outlineLevel="0" collapsed="false">
      <c r="A409" s="1" t="s">
        <v>1365</v>
      </c>
      <c r="B409" s="1" t="s">
        <v>5187</v>
      </c>
      <c r="C409" s="1" t="s">
        <v>5188</v>
      </c>
      <c r="D409" s="1" t="s">
        <v>1366</v>
      </c>
      <c r="E409" s="1" t="s">
        <v>145</v>
      </c>
      <c r="F409" s="1" t="s">
        <v>116</v>
      </c>
      <c r="G409" s="1" t="s">
        <v>88</v>
      </c>
      <c r="H409" s="1" t="s">
        <v>221</v>
      </c>
      <c r="I409" s="1" t="s">
        <v>222</v>
      </c>
      <c r="J409" s="1" t="s">
        <v>46</v>
      </c>
      <c r="K409" s="1" t="s">
        <v>117</v>
      </c>
      <c r="L409" s="1" t="s">
        <v>1367</v>
      </c>
      <c r="M409" s="1" t="s">
        <v>49</v>
      </c>
      <c r="N409" s="1" t="s">
        <v>2822</v>
      </c>
      <c r="O409" s="1" t="s">
        <v>5189</v>
      </c>
      <c r="P409" s="1" t="s">
        <v>66</v>
      </c>
      <c r="Q409" s="1" t="s">
        <v>5190</v>
      </c>
      <c r="R409" s="1" t="s">
        <v>5191</v>
      </c>
      <c r="S409" s="1" t="s">
        <v>5192</v>
      </c>
      <c r="T409" s="1" t="s">
        <v>52</v>
      </c>
      <c r="U409" s="1" t="s">
        <v>53</v>
      </c>
    </row>
    <row r="410" customFormat="false" ht="15" hidden="false" customHeight="true" outlineLevel="0" collapsed="false">
      <c r="A410" s="1" t="s">
        <v>1368</v>
      </c>
      <c r="B410" s="1" t="s">
        <v>3768</v>
      </c>
      <c r="C410" s="1" t="s">
        <v>4083</v>
      </c>
      <c r="D410" s="1" t="s">
        <v>1369</v>
      </c>
      <c r="E410" s="1" t="s">
        <v>159</v>
      </c>
      <c r="F410" s="1" t="s">
        <v>41</v>
      </c>
      <c r="G410" s="1" t="s">
        <v>88</v>
      </c>
      <c r="H410" s="1" t="s">
        <v>89</v>
      </c>
      <c r="I410" s="1" t="s">
        <v>90</v>
      </c>
      <c r="J410" s="1" t="s">
        <v>62</v>
      </c>
      <c r="K410" s="1" t="s">
        <v>91</v>
      </c>
      <c r="L410" s="1" t="s">
        <v>1370</v>
      </c>
      <c r="M410" s="1" t="s">
        <v>72</v>
      </c>
      <c r="N410" s="1" t="s">
        <v>2937</v>
      </c>
      <c r="O410" s="1" t="s">
        <v>5193</v>
      </c>
      <c r="P410" s="1" t="s">
        <v>66</v>
      </c>
      <c r="Q410" s="1" t="s">
        <v>5194</v>
      </c>
      <c r="R410" s="1" t="s">
        <v>5195</v>
      </c>
      <c r="S410" s="1" t="s">
        <v>5196</v>
      </c>
      <c r="T410" s="1" t="s">
        <v>185</v>
      </c>
      <c r="U410" s="1" t="s">
        <v>130</v>
      </c>
    </row>
    <row r="411" customFormat="false" ht="15" hidden="false" customHeight="true" outlineLevel="0" collapsed="false">
      <c r="A411" s="1" t="s">
        <v>1371</v>
      </c>
      <c r="B411" s="1" t="s">
        <v>3780</v>
      </c>
      <c r="C411" s="1" t="s">
        <v>3709</v>
      </c>
      <c r="D411" s="1" t="s">
        <v>1372</v>
      </c>
      <c r="E411" s="1" t="s">
        <v>40</v>
      </c>
      <c r="F411" s="1" t="s">
        <v>41</v>
      </c>
      <c r="G411" s="1" t="s">
        <v>59</v>
      </c>
      <c r="H411" s="1" t="s">
        <v>196</v>
      </c>
      <c r="I411" s="1" t="s">
        <v>197</v>
      </c>
      <c r="J411" s="1" t="s">
        <v>99</v>
      </c>
      <c r="K411" s="1" t="s">
        <v>100</v>
      </c>
      <c r="L411" s="1" t="s">
        <v>1373</v>
      </c>
      <c r="M411" s="1" t="s">
        <v>65</v>
      </c>
      <c r="N411" s="1" t="s">
        <v>2836</v>
      </c>
      <c r="O411" s="1" t="s">
        <v>5197</v>
      </c>
      <c r="P411" s="1" t="s">
        <v>84</v>
      </c>
      <c r="Q411" s="1" t="s">
        <v>5198</v>
      </c>
      <c r="R411" s="1" t="s">
        <v>5199</v>
      </c>
      <c r="S411" s="1" t="s">
        <v>5200</v>
      </c>
      <c r="T411" s="1" t="s">
        <v>129</v>
      </c>
      <c r="U411" s="1" t="s">
        <v>130</v>
      </c>
    </row>
    <row r="412" customFormat="false" ht="15" hidden="false" customHeight="true" outlineLevel="0" collapsed="false">
      <c r="A412" s="1" t="s">
        <v>1374</v>
      </c>
      <c r="B412" s="1" t="s">
        <v>5201</v>
      </c>
      <c r="C412" s="1" t="s">
        <v>5202</v>
      </c>
      <c r="D412" s="1" t="s">
        <v>1375</v>
      </c>
      <c r="E412" s="1" t="s">
        <v>192</v>
      </c>
      <c r="F412" s="1" t="s">
        <v>41</v>
      </c>
      <c r="G412" s="1" t="s">
        <v>88</v>
      </c>
      <c r="H412" s="1" t="s">
        <v>221</v>
      </c>
      <c r="I412" s="1" t="s">
        <v>222</v>
      </c>
      <c r="J412" s="1" t="s">
        <v>62</v>
      </c>
      <c r="K412" s="1" t="s">
        <v>63</v>
      </c>
      <c r="L412" s="1" t="s">
        <v>1376</v>
      </c>
      <c r="M412" s="1" t="s">
        <v>72</v>
      </c>
      <c r="N412" s="1" t="s">
        <v>2899</v>
      </c>
      <c r="O412" s="1" t="s">
        <v>5203</v>
      </c>
      <c r="P412" s="1" t="s">
        <v>50</v>
      </c>
      <c r="Q412" s="1" t="s">
        <v>5204</v>
      </c>
      <c r="R412" s="1" t="s">
        <v>5205</v>
      </c>
      <c r="S412" s="1" t="s">
        <v>5206</v>
      </c>
      <c r="T412" s="1" t="s">
        <v>52</v>
      </c>
      <c r="U412" s="1" t="s">
        <v>53</v>
      </c>
    </row>
    <row r="413" customFormat="false" ht="15" hidden="false" customHeight="true" outlineLevel="0" collapsed="false">
      <c r="A413" s="1" t="s">
        <v>1377</v>
      </c>
      <c r="B413" s="1" t="s">
        <v>5207</v>
      </c>
      <c r="C413" s="1" t="s">
        <v>5208</v>
      </c>
      <c r="D413" s="1" t="s">
        <v>1378</v>
      </c>
      <c r="E413" s="1" t="s">
        <v>77</v>
      </c>
      <c r="F413" s="1" t="s">
        <v>121</v>
      </c>
      <c r="G413" s="1" t="s">
        <v>88</v>
      </c>
      <c r="H413" s="1" t="s">
        <v>44</v>
      </c>
      <c r="I413" s="1" t="s">
        <v>136</v>
      </c>
      <c r="J413" s="1" t="s">
        <v>62</v>
      </c>
      <c r="K413" s="1" t="s">
        <v>63</v>
      </c>
      <c r="L413" s="1" t="s">
        <v>1379</v>
      </c>
      <c r="M413" s="1" t="s">
        <v>72</v>
      </c>
      <c r="N413" s="1" t="s">
        <v>2836</v>
      </c>
      <c r="O413" s="1" t="s">
        <v>5209</v>
      </c>
      <c r="P413" s="1" t="s">
        <v>50</v>
      </c>
      <c r="Q413" s="1" t="s">
        <v>5210</v>
      </c>
      <c r="R413" s="1" t="s">
        <v>5211</v>
      </c>
      <c r="S413" s="1" t="s">
        <v>5212</v>
      </c>
      <c r="T413" s="1" t="s">
        <v>185</v>
      </c>
      <c r="U413" s="1" t="s">
        <v>130</v>
      </c>
    </row>
    <row r="414" customFormat="false" ht="15" hidden="false" customHeight="true" outlineLevel="0" collapsed="false">
      <c r="A414" s="1" t="s">
        <v>1380</v>
      </c>
      <c r="B414" s="1" t="s">
        <v>5213</v>
      </c>
      <c r="C414" s="1" t="s">
        <v>3785</v>
      </c>
      <c r="D414" s="1" t="s">
        <v>1381</v>
      </c>
      <c r="E414" s="1" t="s">
        <v>69</v>
      </c>
      <c r="F414" s="1" t="s">
        <v>116</v>
      </c>
      <c r="G414" s="1" t="s">
        <v>78</v>
      </c>
      <c r="H414" s="1" t="s">
        <v>206</v>
      </c>
      <c r="I414" s="1" t="s">
        <v>207</v>
      </c>
      <c r="J414" s="1" t="s">
        <v>62</v>
      </c>
      <c r="K414" s="1" t="s">
        <v>91</v>
      </c>
      <c r="L414" s="1" t="s">
        <v>1382</v>
      </c>
      <c r="M414" s="1" t="s">
        <v>65</v>
      </c>
      <c r="N414" s="1" t="s">
        <v>2836</v>
      </c>
      <c r="O414" s="1" t="s">
        <v>5214</v>
      </c>
      <c r="P414" s="1" t="s">
        <v>84</v>
      </c>
      <c r="Q414" s="1" t="s">
        <v>5215</v>
      </c>
      <c r="R414" s="1" t="s">
        <v>5216</v>
      </c>
      <c r="S414" s="1" t="s">
        <v>5217</v>
      </c>
      <c r="T414" s="1" t="s">
        <v>52</v>
      </c>
      <c r="U414" s="1" t="s">
        <v>53</v>
      </c>
    </row>
    <row r="415" customFormat="false" ht="15" hidden="false" customHeight="true" outlineLevel="0" collapsed="false">
      <c r="A415" s="1" t="s">
        <v>1383</v>
      </c>
      <c r="B415" s="1" t="s">
        <v>3106</v>
      </c>
      <c r="C415" s="1" t="s">
        <v>5218</v>
      </c>
      <c r="D415" s="1" t="s">
        <v>1384</v>
      </c>
      <c r="E415" s="1" t="s">
        <v>104</v>
      </c>
      <c r="F415" s="1" t="s">
        <v>121</v>
      </c>
      <c r="G415" s="1" t="s">
        <v>88</v>
      </c>
      <c r="H415" s="1" t="s">
        <v>97</v>
      </c>
      <c r="I415" s="1" t="s">
        <v>98</v>
      </c>
      <c r="J415" s="1" t="s">
        <v>99</v>
      </c>
      <c r="K415" s="1" t="s">
        <v>100</v>
      </c>
      <c r="L415" s="1" t="s">
        <v>1385</v>
      </c>
      <c r="M415" s="1" t="s">
        <v>49</v>
      </c>
      <c r="N415" s="1" t="s">
        <v>2861</v>
      </c>
      <c r="O415" s="1" t="s">
        <v>5219</v>
      </c>
      <c r="P415" s="1" t="s">
        <v>66</v>
      </c>
      <c r="Q415" s="1" t="s">
        <v>5220</v>
      </c>
      <c r="R415" s="1" t="s">
        <v>5221</v>
      </c>
      <c r="S415" s="1" t="s">
        <v>5222</v>
      </c>
      <c r="T415" s="1" t="s">
        <v>138</v>
      </c>
      <c r="U415" s="1" t="s">
        <v>93</v>
      </c>
    </row>
    <row r="416" customFormat="false" ht="15" hidden="false" customHeight="true" outlineLevel="0" collapsed="false">
      <c r="A416" s="1" t="s">
        <v>1386</v>
      </c>
      <c r="B416" s="1" t="s">
        <v>5223</v>
      </c>
      <c r="C416" s="1" t="s">
        <v>5224</v>
      </c>
      <c r="D416" s="1" t="s">
        <v>1387</v>
      </c>
      <c r="E416" s="1" t="s">
        <v>77</v>
      </c>
      <c r="F416" s="1" t="s">
        <v>121</v>
      </c>
      <c r="G416" s="1" t="s">
        <v>59</v>
      </c>
      <c r="H416" s="1" t="s">
        <v>196</v>
      </c>
      <c r="I416" s="1" t="s">
        <v>197</v>
      </c>
      <c r="J416" s="1" t="s">
        <v>46</v>
      </c>
      <c r="K416" s="1" t="s">
        <v>151</v>
      </c>
      <c r="L416" s="1" t="s">
        <v>1388</v>
      </c>
      <c r="M416" s="1" t="s">
        <v>72</v>
      </c>
      <c r="N416" s="1" t="s">
        <v>2937</v>
      </c>
      <c r="O416" s="1" t="s">
        <v>5225</v>
      </c>
      <c r="P416" s="1" t="s">
        <v>128</v>
      </c>
      <c r="Q416" s="1" t="s">
        <v>5226</v>
      </c>
      <c r="R416" s="1" t="s">
        <v>5227</v>
      </c>
      <c r="S416" s="1" t="s">
        <v>5228</v>
      </c>
      <c r="T416" s="1" t="s">
        <v>52</v>
      </c>
      <c r="U416" s="1" t="s">
        <v>53</v>
      </c>
    </row>
    <row r="417" customFormat="false" ht="15" hidden="false" customHeight="true" outlineLevel="0" collapsed="false">
      <c r="A417" s="1" t="s">
        <v>1389</v>
      </c>
      <c r="B417" s="1" t="s">
        <v>5229</v>
      </c>
      <c r="C417" s="1" t="s">
        <v>5170</v>
      </c>
      <c r="D417" s="1" t="s">
        <v>1390</v>
      </c>
      <c r="E417" s="1" t="s">
        <v>155</v>
      </c>
      <c r="F417" s="1" t="s">
        <v>116</v>
      </c>
      <c r="G417" s="1" t="s">
        <v>78</v>
      </c>
      <c r="H417" s="1" t="s">
        <v>206</v>
      </c>
      <c r="I417" s="1" t="s">
        <v>207</v>
      </c>
      <c r="J417" s="1" t="s">
        <v>46</v>
      </c>
      <c r="K417" s="1" t="s">
        <v>151</v>
      </c>
      <c r="L417" s="1" t="s">
        <v>1391</v>
      </c>
      <c r="M417" s="1" t="s">
        <v>65</v>
      </c>
      <c r="N417" s="1" t="s">
        <v>2906</v>
      </c>
      <c r="O417" s="1" t="s">
        <v>5230</v>
      </c>
      <c r="P417" s="1" t="s">
        <v>107</v>
      </c>
      <c r="Q417" s="1" t="s">
        <v>5231</v>
      </c>
      <c r="R417" s="1" t="s">
        <v>5232</v>
      </c>
      <c r="S417" s="1" t="s">
        <v>5233</v>
      </c>
      <c r="T417" s="1" t="s">
        <v>52</v>
      </c>
      <c r="U417" s="1" t="s">
        <v>130</v>
      </c>
    </row>
    <row r="418" customFormat="false" ht="15" hidden="false" customHeight="true" outlineLevel="0" collapsed="false">
      <c r="A418" s="1" t="s">
        <v>1392</v>
      </c>
      <c r="B418" s="1" t="s">
        <v>5234</v>
      </c>
      <c r="C418" s="1" t="s">
        <v>5235</v>
      </c>
      <c r="D418" s="1" t="s">
        <v>1393</v>
      </c>
      <c r="E418" s="1" t="s">
        <v>104</v>
      </c>
      <c r="F418" s="1" t="s">
        <v>41</v>
      </c>
      <c r="G418" s="1" t="s">
        <v>78</v>
      </c>
      <c r="H418" s="1" t="s">
        <v>79</v>
      </c>
      <c r="I418" s="1" t="s">
        <v>80</v>
      </c>
      <c r="J418" s="1" t="s">
        <v>62</v>
      </c>
      <c r="K418" s="1" t="s">
        <v>81</v>
      </c>
      <c r="L418" s="1" t="s">
        <v>1394</v>
      </c>
      <c r="M418" s="1" t="s">
        <v>72</v>
      </c>
      <c r="N418" s="1" t="s">
        <v>2861</v>
      </c>
      <c r="O418" s="1" t="s">
        <v>5236</v>
      </c>
      <c r="P418" s="1" t="s">
        <v>84</v>
      </c>
      <c r="Q418" s="1" t="s">
        <v>5237</v>
      </c>
      <c r="R418" s="1" t="s">
        <v>5238</v>
      </c>
      <c r="S418" s="1" t="s">
        <v>5239</v>
      </c>
      <c r="T418" s="1" t="s">
        <v>52</v>
      </c>
      <c r="U418" s="1" t="s">
        <v>53</v>
      </c>
    </row>
    <row r="419" customFormat="false" ht="15" hidden="false" customHeight="true" outlineLevel="0" collapsed="false">
      <c r="A419" s="1" t="s">
        <v>1395</v>
      </c>
      <c r="B419" s="1" t="s">
        <v>4925</v>
      </c>
      <c r="C419" s="1" t="s">
        <v>5240</v>
      </c>
      <c r="D419" s="1" t="s">
        <v>1396</v>
      </c>
      <c r="E419" s="1" t="s">
        <v>57</v>
      </c>
      <c r="F419" s="1" t="s">
        <v>41</v>
      </c>
      <c r="G419" s="1" t="s">
        <v>88</v>
      </c>
      <c r="H419" s="1" t="s">
        <v>211</v>
      </c>
      <c r="I419" s="1" t="s">
        <v>212</v>
      </c>
      <c r="J419" s="1" t="s">
        <v>46</v>
      </c>
      <c r="K419" s="1" t="s">
        <v>70</v>
      </c>
      <c r="L419" s="1" t="s">
        <v>1397</v>
      </c>
      <c r="M419" s="1" t="s">
        <v>72</v>
      </c>
      <c r="N419" s="1" t="s">
        <v>2815</v>
      </c>
      <c r="O419" s="1" t="s">
        <v>5241</v>
      </c>
      <c r="P419" s="1" t="s">
        <v>50</v>
      </c>
      <c r="Q419" s="1" t="s">
        <v>5242</v>
      </c>
      <c r="R419" s="1" t="s">
        <v>5243</v>
      </c>
      <c r="S419" s="1" t="s">
        <v>5244</v>
      </c>
      <c r="T419" s="1" t="s">
        <v>52</v>
      </c>
      <c r="U419" s="1" t="s">
        <v>53</v>
      </c>
    </row>
    <row r="420" customFormat="false" ht="15" hidden="false" customHeight="true" outlineLevel="0" collapsed="false">
      <c r="A420" s="1" t="s">
        <v>1398</v>
      </c>
      <c r="B420" s="1" t="s">
        <v>5245</v>
      </c>
      <c r="C420" s="1" t="s">
        <v>5246</v>
      </c>
      <c r="D420" s="1" t="s">
        <v>1399</v>
      </c>
      <c r="E420" s="1" t="s">
        <v>159</v>
      </c>
      <c r="F420" s="1" t="s">
        <v>116</v>
      </c>
      <c r="G420" s="1" t="s">
        <v>59</v>
      </c>
      <c r="H420" s="1" t="s">
        <v>60</v>
      </c>
      <c r="I420" s="1" t="s">
        <v>61</v>
      </c>
      <c r="J420" s="1" t="s">
        <v>99</v>
      </c>
      <c r="K420" s="1" t="s">
        <v>105</v>
      </c>
      <c r="L420" s="1" t="s">
        <v>1400</v>
      </c>
      <c r="M420" s="1" t="s">
        <v>83</v>
      </c>
      <c r="N420" s="1" t="s">
        <v>2815</v>
      </c>
      <c r="O420" s="1" t="s">
        <v>5247</v>
      </c>
      <c r="P420" s="1" t="s">
        <v>66</v>
      </c>
      <c r="Q420" s="1" t="s">
        <v>5248</v>
      </c>
      <c r="R420" s="1" t="s">
        <v>5249</v>
      </c>
      <c r="S420" s="1" t="s">
        <v>5250</v>
      </c>
      <c r="T420" s="1" t="s">
        <v>185</v>
      </c>
      <c r="U420" s="1" t="s">
        <v>93</v>
      </c>
    </row>
    <row r="421" customFormat="false" ht="15" hidden="false" customHeight="true" outlineLevel="0" collapsed="false">
      <c r="A421" s="1" t="s">
        <v>1401</v>
      </c>
      <c r="B421" s="1" t="s">
        <v>5251</v>
      </c>
      <c r="C421" s="1" t="s">
        <v>5252</v>
      </c>
      <c r="D421" s="1" t="s">
        <v>1402</v>
      </c>
      <c r="E421" s="1" t="s">
        <v>159</v>
      </c>
      <c r="F421" s="1" t="s">
        <v>121</v>
      </c>
      <c r="G421" s="1" t="s">
        <v>42</v>
      </c>
      <c r="H421" s="1" t="s">
        <v>270</v>
      </c>
      <c r="I421" s="1" t="s">
        <v>271</v>
      </c>
      <c r="J421" s="1" t="s">
        <v>99</v>
      </c>
      <c r="K421" s="1" t="s">
        <v>201</v>
      </c>
      <c r="L421" s="1" t="s">
        <v>1403</v>
      </c>
      <c r="M421" s="1" t="s">
        <v>65</v>
      </c>
      <c r="N421" s="1" t="s">
        <v>2868</v>
      </c>
      <c r="O421" s="1" t="s">
        <v>5253</v>
      </c>
      <c r="P421" s="1" t="s">
        <v>128</v>
      </c>
      <c r="Q421" s="1" t="s">
        <v>5254</v>
      </c>
      <c r="R421" s="1" t="s">
        <v>5255</v>
      </c>
      <c r="S421" s="1" t="s">
        <v>5256</v>
      </c>
      <c r="T421" s="1" t="s">
        <v>52</v>
      </c>
      <c r="U421" s="1" t="s">
        <v>53</v>
      </c>
    </row>
    <row r="422" customFormat="false" ht="15" hidden="false" customHeight="true" outlineLevel="0" collapsed="false">
      <c r="A422" s="1" t="s">
        <v>1404</v>
      </c>
      <c r="B422" s="1" t="s">
        <v>3941</v>
      </c>
      <c r="C422" s="1" t="s">
        <v>5257</v>
      </c>
      <c r="D422" s="1" t="s">
        <v>1405</v>
      </c>
      <c r="E422" s="1" t="s">
        <v>69</v>
      </c>
      <c r="F422" s="1" t="s">
        <v>116</v>
      </c>
      <c r="G422" s="1" t="s">
        <v>78</v>
      </c>
      <c r="H422" s="1" t="s">
        <v>281</v>
      </c>
      <c r="I422" s="1" t="s">
        <v>282</v>
      </c>
      <c r="J422" s="1" t="s">
        <v>99</v>
      </c>
      <c r="K422" s="1" t="s">
        <v>308</v>
      </c>
      <c r="L422" s="1" t="s">
        <v>1406</v>
      </c>
      <c r="M422" s="1" t="s">
        <v>83</v>
      </c>
      <c r="N422" s="1" t="s">
        <v>2868</v>
      </c>
      <c r="O422" s="1" t="s">
        <v>5258</v>
      </c>
      <c r="P422" s="1" t="s">
        <v>84</v>
      </c>
      <c r="Q422" s="1" t="s">
        <v>5259</v>
      </c>
      <c r="R422" s="1" t="s">
        <v>5260</v>
      </c>
      <c r="S422" s="1" t="s">
        <v>5261</v>
      </c>
      <c r="T422" s="1" t="s">
        <v>138</v>
      </c>
      <c r="U422" s="1" t="s">
        <v>93</v>
      </c>
    </row>
    <row r="423" customFormat="false" ht="15" hidden="false" customHeight="true" outlineLevel="0" collapsed="false">
      <c r="A423" s="1" t="s">
        <v>1407</v>
      </c>
      <c r="B423" s="1" t="s">
        <v>5262</v>
      </c>
      <c r="C423" s="1" t="s">
        <v>5263</v>
      </c>
      <c r="D423" s="1" t="s">
        <v>1408</v>
      </c>
      <c r="E423" s="1" t="s">
        <v>168</v>
      </c>
      <c r="F423" s="1" t="s">
        <v>58</v>
      </c>
      <c r="G423" s="1" t="s">
        <v>42</v>
      </c>
      <c r="H423" s="1" t="s">
        <v>384</v>
      </c>
      <c r="I423" s="1" t="s">
        <v>385</v>
      </c>
      <c r="J423" s="1" t="s">
        <v>46</v>
      </c>
      <c r="K423" s="1" t="s">
        <v>183</v>
      </c>
      <c r="L423" s="1" t="s">
        <v>1409</v>
      </c>
      <c r="M423" s="1" t="s">
        <v>65</v>
      </c>
      <c r="N423" s="1" t="s">
        <v>2822</v>
      </c>
      <c r="O423" s="1" t="s">
        <v>5264</v>
      </c>
      <c r="P423" s="1" t="s">
        <v>50</v>
      </c>
      <c r="Q423" s="1" t="s">
        <v>5265</v>
      </c>
      <c r="R423" s="1" t="s">
        <v>5266</v>
      </c>
      <c r="S423" s="1" t="s">
        <v>5267</v>
      </c>
      <c r="T423" s="1" t="s">
        <v>138</v>
      </c>
      <c r="U423" s="1" t="s">
        <v>130</v>
      </c>
    </row>
    <row r="424" customFormat="false" ht="15" hidden="false" customHeight="true" outlineLevel="0" collapsed="false">
      <c r="A424" s="1" t="s">
        <v>1410</v>
      </c>
      <c r="B424" s="1" t="s">
        <v>5268</v>
      </c>
      <c r="C424" s="1" t="s">
        <v>5269</v>
      </c>
      <c r="D424" s="1" t="s">
        <v>1411</v>
      </c>
      <c r="E424" s="1" t="s">
        <v>298</v>
      </c>
      <c r="F424" s="1" t="s">
        <v>41</v>
      </c>
      <c r="G424" s="1" t="s">
        <v>88</v>
      </c>
      <c r="H424" s="1" t="s">
        <v>97</v>
      </c>
      <c r="I424" s="1" t="s">
        <v>98</v>
      </c>
      <c r="J424" s="1" t="s">
        <v>99</v>
      </c>
      <c r="K424" s="1" t="s">
        <v>105</v>
      </c>
      <c r="L424" s="1" t="s">
        <v>1412</v>
      </c>
      <c r="M424" s="1" t="s">
        <v>65</v>
      </c>
      <c r="N424" s="1" t="s">
        <v>2906</v>
      </c>
      <c r="O424" s="1" t="s">
        <v>5270</v>
      </c>
      <c r="P424" s="1" t="s">
        <v>107</v>
      </c>
      <c r="Q424" s="1" t="s">
        <v>5271</v>
      </c>
      <c r="R424" s="1" t="s">
        <v>5272</v>
      </c>
      <c r="S424" s="1" t="s">
        <v>5273</v>
      </c>
      <c r="T424" s="1" t="s">
        <v>52</v>
      </c>
      <c r="U424" s="1" t="s">
        <v>53</v>
      </c>
    </row>
    <row r="425" customFormat="false" ht="15" hidden="false" customHeight="true" outlineLevel="0" collapsed="false">
      <c r="A425" s="1" t="s">
        <v>1413</v>
      </c>
      <c r="B425" s="1" t="s">
        <v>5274</v>
      </c>
      <c r="C425" s="1" t="s">
        <v>5275</v>
      </c>
      <c r="D425" s="1" t="s">
        <v>1414</v>
      </c>
      <c r="E425" s="1" t="s">
        <v>192</v>
      </c>
      <c r="F425" s="1" t="s">
        <v>41</v>
      </c>
      <c r="G425" s="1" t="s">
        <v>78</v>
      </c>
      <c r="H425" s="1" t="s">
        <v>216</v>
      </c>
      <c r="I425" s="1" t="s">
        <v>217</v>
      </c>
      <c r="J425" s="1" t="s">
        <v>99</v>
      </c>
      <c r="K425" s="1" t="s">
        <v>100</v>
      </c>
      <c r="L425" s="1" t="s">
        <v>1415</v>
      </c>
      <c r="M425" s="1" t="s">
        <v>5276</v>
      </c>
      <c r="N425" s="1" t="s">
        <v>2899</v>
      </c>
      <c r="O425" s="1" t="s">
        <v>5277</v>
      </c>
      <c r="P425" s="1" t="s">
        <v>50</v>
      </c>
      <c r="Q425" s="1" t="s">
        <v>5278</v>
      </c>
      <c r="R425" s="1" t="s">
        <v>5279</v>
      </c>
      <c r="S425" s="1" t="s">
        <v>5280</v>
      </c>
      <c r="T425" s="1" t="s">
        <v>52</v>
      </c>
      <c r="U425" s="1" t="s">
        <v>53</v>
      </c>
    </row>
    <row r="426" customFormat="false" ht="15" hidden="false" customHeight="true" outlineLevel="0" collapsed="false">
      <c r="A426" s="1" t="s">
        <v>1416</v>
      </c>
      <c r="B426" s="1" t="s">
        <v>5281</v>
      </c>
      <c r="C426" s="1" t="s">
        <v>5282</v>
      </c>
      <c r="D426" s="1" t="s">
        <v>1417</v>
      </c>
      <c r="E426" s="1" t="s">
        <v>104</v>
      </c>
      <c r="F426" s="1" t="s">
        <v>116</v>
      </c>
      <c r="G426" s="1" t="s">
        <v>42</v>
      </c>
      <c r="H426" s="1" t="s">
        <v>149</v>
      </c>
      <c r="I426" s="1" t="s">
        <v>150</v>
      </c>
      <c r="J426" s="1" t="s">
        <v>99</v>
      </c>
      <c r="K426" s="1" t="s">
        <v>201</v>
      </c>
      <c r="L426" s="1" t="s">
        <v>1418</v>
      </c>
      <c r="M426" s="1" t="s">
        <v>83</v>
      </c>
      <c r="N426" s="1" t="s">
        <v>2861</v>
      </c>
      <c r="O426" s="1" t="s">
        <v>5283</v>
      </c>
      <c r="P426" s="1" t="s">
        <v>66</v>
      </c>
      <c r="Q426" s="1" t="s">
        <v>5284</v>
      </c>
      <c r="R426" s="1" t="s">
        <v>5285</v>
      </c>
      <c r="S426" s="1" t="s">
        <v>5286</v>
      </c>
      <c r="T426" s="1" t="s">
        <v>52</v>
      </c>
      <c r="U426" s="1" t="s">
        <v>53</v>
      </c>
    </row>
    <row r="427" customFormat="false" ht="15" hidden="false" customHeight="true" outlineLevel="0" collapsed="false">
      <c r="A427" s="1" t="s">
        <v>1419</v>
      </c>
      <c r="B427" s="1" t="s">
        <v>5287</v>
      </c>
      <c r="C427" s="1" t="s">
        <v>5288</v>
      </c>
      <c r="D427" s="1" t="s">
        <v>1420</v>
      </c>
      <c r="E427" s="1" t="s">
        <v>69</v>
      </c>
      <c r="F427" s="1" t="s">
        <v>121</v>
      </c>
      <c r="G427" s="1" t="s">
        <v>42</v>
      </c>
      <c r="H427" s="1" t="s">
        <v>384</v>
      </c>
      <c r="I427" s="1" t="s">
        <v>385</v>
      </c>
      <c r="J427" s="1" t="s">
        <v>46</v>
      </c>
      <c r="K427" s="1" t="s">
        <v>117</v>
      </c>
      <c r="L427" s="1" t="s">
        <v>1421</v>
      </c>
      <c r="M427" s="1" t="s">
        <v>72</v>
      </c>
      <c r="N427" s="1" t="s">
        <v>2868</v>
      </c>
      <c r="O427" s="1" t="s">
        <v>5289</v>
      </c>
      <c r="P427" s="1" t="s">
        <v>203</v>
      </c>
      <c r="Q427" s="1" t="s">
        <v>5290</v>
      </c>
      <c r="R427" s="1" t="s">
        <v>5291</v>
      </c>
      <c r="S427" s="1" t="s">
        <v>5292</v>
      </c>
      <c r="T427" s="1" t="s">
        <v>129</v>
      </c>
      <c r="U427" s="1" t="s">
        <v>93</v>
      </c>
    </row>
    <row r="428" customFormat="false" ht="15" hidden="false" customHeight="true" outlineLevel="0" collapsed="false">
      <c r="A428" s="1" t="s">
        <v>1422</v>
      </c>
      <c r="B428" s="1" t="s">
        <v>5293</v>
      </c>
      <c r="C428" s="1" t="s">
        <v>5294</v>
      </c>
      <c r="D428" s="1" t="s">
        <v>1423</v>
      </c>
      <c r="E428" s="1" t="s">
        <v>115</v>
      </c>
      <c r="F428" s="1" t="s">
        <v>41</v>
      </c>
      <c r="G428" s="1" t="s">
        <v>42</v>
      </c>
      <c r="H428" s="1" t="s">
        <v>270</v>
      </c>
      <c r="I428" s="1" t="s">
        <v>271</v>
      </c>
      <c r="J428" s="1" t="s">
        <v>99</v>
      </c>
      <c r="K428" s="1" t="s">
        <v>105</v>
      </c>
      <c r="L428" s="1" t="s">
        <v>1424</v>
      </c>
      <c r="M428" s="1" t="s">
        <v>65</v>
      </c>
      <c r="N428" s="1" t="s">
        <v>2861</v>
      </c>
      <c r="O428" s="1" t="s">
        <v>5295</v>
      </c>
      <c r="P428" s="1" t="s">
        <v>203</v>
      </c>
      <c r="Q428" s="1" t="s">
        <v>5296</v>
      </c>
      <c r="R428" s="1" t="s">
        <v>5297</v>
      </c>
      <c r="S428" s="1" t="s">
        <v>5298</v>
      </c>
      <c r="T428" s="1" t="s">
        <v>52</v>
      </c>
      <c r="U428" s="1" t="s">
        <v>53</v>
      </c>
    </row>
    <row r="429" customFormat="false" ht="15" hidden="false" customHeight="true" outlineLevel="0" collapsed="false">
      <c r="A429" s="1" t="s">
        <v>1425</v>
      </c>
      <c r="B429" s="1" t="s">
        <v>5299</v>
      </c>
      <c r="C429" s="1" t="s">
        <v>5300</v>
      </c>
      <c r="D429" s="1" t="s">
        <v>1426</v>
      </c>
      <c r="E429" s="1" t="s">
        <v>69</v>
      </c>
      <c r="F429" s="1" t="s">
        <v>116</v>
      </c>
      <c r="H429" s="1" t="s">
        <v>262</v>
      </c>
      <c r="I429" s="1" t="s">
        <v>263</v>
      </c>
      <c r="J429" s="1" t="s">
        <v>99</v>
      </c>
      <c r="K429" s="1" t="s">
        <v>100</v>
      </c>
      <c r="L429" s="1" t="s">
        <v>1427</v>
      </c>
      <c r="M429" s="1" t="s">
        <v>3154</v>
      </c>
      <c r="N429" s="1" t="s">
        <v>2899</v>
      </c>
      <c r="O429" s="1" t="s">
        <v>5301</v>
      </c>
      <c r="P429" s="1" t="s">
        <v>66</v>
      </c>
      <c r="Q429" s="1" t="s">
        <v>5302</v>
      </c>
      <c r="R429" s="1" t="s">
        <v>5303</v>
      </c>
      <c r="S429" s="1" t="s">
        <v>5304</v>
      </c>
      <c r="T429" s="1" t="s">
        <v>52</v>
      </c>
      <c r="U429" s="1" t="s">
        <v>53</v>
      </c>
    </row>
    <row r="430" customFormat="false" ht="15" hidden="false" customHeight="true" outlineLevel="0" collapsed="false">
      <c r="A430" s="1" t="s">
        <v>1428</v>
      </c>
      <c r="B430" s="1" t="s">
        <v>5305</v>
      </c>
      <c r="C430" s="1" t="s">
        <v>5306</v>
      </c>
      <c r="D430" s="1" t="s">
        <v>1429</v>
      </c>
      <c r="E430" s="1" t="s">
        <v>40</v>
      </c>
      <c r="F430" s="1" t="s">
        <v>58</v>
      </c>
      <c r="G430" s="1" t="s">
        <v>59</v>
      </c>
      <c r="H430" s="1" t="s">
        <v>125</v>
      </c>
      <c r="I430" s="1" t="s">
        <v>126</v>
      </c>
      <c r="J430" s="1" t="s">
        <v>99</v>
      </c>
      <c r="K430" s="1" t="s">
        <v>201</v>
      </c>
      <c r="L430" s="1" t="s">
        <v>1430</v>
      </c>
      <c r="M430" s="1" t="s">
        <v>65</v>
      </c>
      <c r="N430" s="1" t="s">
        <v>2868</v>
      </c>
      <c r="O430" s="1" t="s">
        <v>5307</v>
      </c>
      <c r="P430" s="1" t="s">
        <v>84</v>
      </c>
      <c r="Q430" s="1" t="s">
        <v>5308</v>
      </c>
      <c r="R430" s="1" t="s">
        <v>5309</v>
      </c>
      <c r="S430" s="1" t="s">
        <v>5310</v>
      </c>
      <c r="T430" s="1" t="s">
        <v>138</v>
      </c>
      <c r="U430" s="1" t="s">
        <v>93</v>
      </c>
    </row>
    <row r="431" customFormat="false" ht="15" hidden="false" customHeight="true" outlineLevel="0" collapsed="false">
      <c r="A431" s="1" t="s">
        <v>1431</v>
      </c>
      <c r="B431" s="1" t="s">
        <v>5311</v>
      </c>
      <c r="C431" s="1" t="s">
        <v>5312</v>
      </c>
      <c r="D431" s="1" t="s">
        <v>1432</v>
      </c>
      <c r="E431" s="1" t="s">
        <v>104</v>
      </c>
      <c r="F431" s="1" t="s">
        <v>121</v>
      </c>
      <c r="G431" s="1" t="s">
        <v>42</v>
      </c>
      <c r="H431" s="1" t="s">
        <v>44</v>
      </c>
      <c r="I431" s="1" t="s">
        <v>45</v>
      </c>
      <c r="J431" s="1" t="s">
        <v>99</v>
      </c>
      <c r="K431" s="1" t="s">
        <v>105</v>
      </c>
      <c r="L431" s="1" t="s">
        <v>1433</v>
      </c>
      <c r="M431" s="1" t="s">
        <v>65</v>
      </c>
      <c r="N431" s="1" t="s">
        <v>2861</v>
      </c>
      <c r="O431" s="1" t="s">
        <v>5313</v>
      </c>
      <c r="P431" s="1" t="s">
        <v>84</v>
      </c>
      <c r="Q431" s="1" t="s">
        <v>5314</v>
      </c>
      <c r="R431" s="1" t="s">
        <v>5315</v>
      </c>
      <c r="S431" s="1" t="s">
        <v>5316</v>
      </c>
      <c r="T431" s="1" t="s">
        <v>52</v>
      </c>
      <c r="U431" s="1" t="s">
        <v>53</v>
      </c>
    </row>
    <row r="432" customFormat="false" ht="15" hidden="false" customHeight="true" outlineLevel="0" collapsed="false">
      <c r="A432" s="1" t="s">
        <v>1434</v>
      </c>
      <c r="B432" s="1" t="s">
        <v>5317</v>
      </c>
      <c r="C432" s="1" t="s">
        <v>5318</v>
      </c>
      <c r="D432" s="1" t="s">
        <v>1435</v>
      </c>
      <c r="E432" s="1" t="s">
        <v>104</v>
      </c>
      <c r="F432" s="1" t="s">
        <v>58</v>
      </c>
      <c r="G432" s="1" t="s">
        <v>42</v>
      </c>
      <c r="H432" s="1" t="s">
        <v>270</v>
      </c>
      <c r="I432" s="1" t="s">
        <v>271</v>
      </c>
      <c r="J432" s="1" t="s">
        <v>46</v>
      </c>
      <c r="K432" s="1" t="s">
        <v>47</v>
      </c>
      <c r="L432" s="1" t="s">
        <v>1436</v>
      </c>
      <c r="M432" s="1" t="s">
        <v>49</v>
      </c>
      <c r="N432" s="1" t="s">
        <v>2836</v>
      </c>
      <c r="O432" s="1" t="s">
        <v>5319</v>
      </c>
      <c r="P432" s="1" t="s">
        <v>107</v>
      </c>
      <c r="Q432" s="1" t="s">
        <v>5320</v>
      </c>
      <c r="R432" s="1" t="s">
        <v>5321</v>
      </c>
      <c r="S432" s="1" t="s">
        <v>5322</v>
      </c>
      <c r="T432" s="1" t="s">
        <v>52</v>
      </c>
      <c r="U432" s="1" t="s">
        <v>53</v>
      </c>
    </row>
    <row r="433" customFormat="false" ht="15" hidden="false" customHeight="true" outlineLevel="0" collapsed="false">
      <c r="A433" s="1" t="s">
        <v>1437</v>
      </c>
      <c r="B433" s="1" t="s">
        <v>2904</v>
      </c>
      <c r="C433" s="1" t="s">
        <v>5323</v>
      </c>
      <c r="D433" s="1" t="s">
        <v>1438</v>
      </c>
      <c r="E433" s="1" t="s">
        <v>40</v>
      </c>
      <c r="F433" s="1" t="s">
        <v>121</v>
      </c>
      <c r="G433" s="1" t="s">
        <v>88</v>
      </c>
      <c r="H433" s="1" t="s">
        <v>221</v>
      </c>
      <c r="I433" s="1" t="s">
        <v>222</v>
      </c>
      <c r="J433" s="1" t="s">
        <v>99</v>
      </c>
      <c r="K433" s="1" t="s">
        <v>308</v>
      </c>
      <c r="L433" s="1" t="s">
        <v>1439</v>
      </c>
      <c r="M433" s="1" t="s">
        <v>65</v>
      </c>
      <c r="N433" s="1" t="s">
        <v>2868</v>
      </c>
      <c r="O433" s="1" t="s">
        <v>5324</v>
      </c>
      <c r="P433" s="1" t="s">
        <v>84</v>
      </c>
      <c r="Q433" s="1" t="s">
        <v>5325</v>
      </c>
      <c r="R433" s="1" t="s">
        <v>5326</v>
      </c>
      <c r="S433" s="1" t="s">
        <v>5327</v>
      </c>
      <c r="T433" s="1" t="s">
        <v>52</v>
      </c>
      <c r="U433" s="1" t="s">
        <v>53</v>
      </c>
    </row>
    <row r="434" customFormat="false" ht="15" hidden="false" customHeight="true" outlineLevel="0" collapsed="false">
      <c r="A434" s="1" t="s">
        <v>1440</v>
      </c>
      <c r="B434" s="1" t="s">
        <v>5112</v>
      </c>
      <c r="C434" s="1" t="s">
        <v>5318</v>
      </c>
      <c r="D434" s="1" t="s">
        <v>1441</v>
      </c>
      <c r="E434" s="1" t="s">
        <v>141</v>
      </c>
      <c r="F434" s="1" t="s">
        <v>58</v>
      </c>
      <c r="G434" s="1" t="s">
        <v>88</v>
      </c>
      <c r="H434" s="1" t="s">
        <v>89</v>
      </c>
      <c r="I434" s="1" t="s">
        <v>90</v>
      </c>
      <c r="J434" s="1" t="s">
        <v>62</v>
      </c>
      <c r="K434" s="1" t="s">
        <v>188</v>
      </c>
      <c r="L434" s="1" t="s">
        <v>1442</v>
      </c>
      <c r="M434" s="1" t="s">
        <v>83</v>
      </c>
      <c r="N434" s="1" t="s">
        <v>2815</v>
      </c>
      <c r="O434" s="1" t="s">
        <v>5328</v>
      </c>
      <c r="P434" s="1" t="s">
        <v>128</v>
      </c>
      <c r="Q434" s="1" t="s">
        <v>5329</v>
      </c>
      <c r="R434" s="1" t="s">
        <v>5330</v>
      </c>
      <c r="S434" s="1" t="s">
        <v>5331</v>
      </c>
      <c r="T434" s="1" t="s">
        <v>52</v>
      </c>
      <c r="U434" s="1" t="s">
        <v>53</v>
      </c>
    </row>
    <row r="435" customFormat="false" ht="15" hidden="false" customHeight="true" outlineLevel="0" collapsed="false">
      <c r="A435" s="1" t="s">
        <v>1443</v>
      </c>
      <c r="B435" s="1" t="s">
        <v>5332</v>
      </c>
      <c r="C435" s="1" t="s">
        <v>5333</v>
      </c>
      <c r="D435" s="1" t="s">
        <v>1444</v>
      </c>
      <c r="E435" s="1" t="s">
        <v>141</v>
      </c>
      <c r="F435" s="1" t="s">
        <v>116</v>
      </c>
      <c r="G435" s="1" t="s">
        <v>78</v>
      </c>
      <c r="H435" s="1" t="s">
        <v>216</v>
      </c>
      <c r="I435" s="1" t="s">
        <v>217</v>
      </c>
      <c r="J435" s="1" t="s">
        <v>46</v>
      </c>
      <c r="K435" s="1" t="s">
        <v>70</v>
      </c>
      <c r="L435" s="1" t="s">
        <v>1445</v>
      </c>
      <c r="M435" s="1" t="s">
        <v>49</v>
      </c>
      <c r="N435" s="1" t="s">
        <v>2937</v>
      </c>
      <c r="O435" s="1" t="s">
        <v>5334</v>
      </c>
      <c r="P435" s="1" t="s">
        <v>66</v>
      </c>
      <c r="Q435" s="1" t="s">
        <v>5335</v>
      </c>
      <c r="R435" s="1" t="s">
        <v>5336</v>
      </c>
      <c r="S435" s="1" t="s">
        <v>5337</v>
      </c>
      <c r="T435" s="1" t="s">
        <v>129</v>
      </c>
      <c r="U435" s="1" t="s">
        <v>130</v>
      </c>
    </row>
    <row r="436" customFormat="false" ht="15" hidden="false" customHeight="true" outlineLevel="0" collapsed="false">
      <c r="A436" s="1" t="s">
        <v>1446</v>
      </c>
      <c r="B436" s="1" t="s">
        <v>5338</v>
      </c>
      <c r="C436" s="1" t="s">
        <v>5339</v>
      </c>
      <c r="D436" s="1" t="s">
        <v>1447</v>
      </c>
      <c r="E436" s="1" t="s">
        <v>57</v>
      </c>
      <c r="F436" s="1" t="s">
        <v>121</v>
      </c>
      <c r="G436" s="1" t="s">
        <v>42</v>
      </c>
      <c r="H436" s="1" t="s">
        <v>163</v>
      </c>
      <c r="I436" s="1" t="s">
        <v>164</v>
      </c>
      <c r="J436" s="1" t="s">
        <v>99</v>
      </c>
      <c r="K436" s="1" t="s">
        <v>100</v>
      </c>
      <c r="L436" s="1" t="s">
        <v>1448</v>
      </c>
      <c r="M436" s="1" t="s">
        <v>49</v>
      </c>
      <c r="N436" s="1" t="s">
        <v>2829</v>
      </c>
      <c r="O436" s="1" t="s">
        <v>5340</v>
      </c>
      <c r="P436" s="1" t="s">
        <v>66</v>
      </c>
      <c r="Q436" s="1" t="s">
        <v>5341</v>
      </c>
      <c r="R436" s="1" t="s">
        <v>5342</v>
      </c>
      <c r="S436" s="1" t="s">
        <v>5343</v>
      </c>
      <c r="T436" s="1" t="s">
        <v>52</v>
      </c>
      <c r="U436" s="1" t="s">
        <v>53</v>
      </c>
    </row>
    <row r="437" customFormat="false" ht="15" hidden="false" customHeight="true" outlineLevel="0" collapsed="false">
      <c r="A437" s="1" t="s">
        <v>1449</v>
      </c>
      <c r="B437" s="1" t="s">
        <v>5344</v>
      </c>
      <c r="C437" s="1" t="s">
        <v>4021</v>
      </c>
      <c r="D437" s="1" t="s">
        <v>1450</v>
      </c>
      <c r="E437" s="1" t="s">
        <v>298</v>
      </c>
      <c r="F437" s="1" t="s">
        <v>121</v>
      </c>
      <c r="G437" s="1" t="s">
        <v>42</v>
      </c>
      <c r="H437" s="1" t="s">
        <v>384</v>
      </c>
      <c r="I437" s="1" t="s">
        <v>385</v>
      </c>
      <c r="J437" s="1" t="s">
        <v>99</v>
      </c>
      <c r="K437" s="1" t="s">
        <v>308</v>
      </c>
      <c r="L437" s="1" t="s">
        <v>1451</v>
      </c>
      <c r="M437" s="1" t="s">
        <v>83</v>
      </c>
      <c r="N437" s="1" t="s">
        <v>2836</v>
      </c>
      <c r="O437" s="1" t="s">
        <v>5345</v>
      </c>
      <c r="P437" s="1" t="s">
        <v>107</v>
      </c>
      <c r="Q437" s="1" t="s">
        <v>5346</v>
      </c>
      <c r="R437" s="1" t="s">
        <v>5347</v>
      </c>
      <c r="S437" s="1" t="s">
        <v>5348</v>
      </c>
      <c r="T437" s="1" t="s">
        <v>52</v>
      </c>
      <c r="U437" s="1" t="s">
        <v>93</v>
      </c>
    </row>
    <row r="438" customFormat="false" ht="15" hidden="false" customHeight="true" outlineLevel="0" collapsed="false">
      <c r="A438" s="1" t="s">
        <v>1452</v>
      </c>
      <c r="B438" s="1" t="s">
        <v>5349</v>
      </c>
      <c r="C438" s="1" t="s">
        <v>5350</v>
      </c>
      <c r="D438" s="1" t="s">
        <v>1453</v>
      </c>
      <c r="E438" s="1" t="s">
        <v>104</v>
      </c>
      <c r="F438" s="1" t="s">
        <v>41</v>
      </c>
      <c r="G438" s="1" t="s">
        <v>78</v>
      </c>
      <c r="H438" s="1" t="s">
        <v>216</v>
      </c>
      <c r="I438" s="1" t="s">
        <v>217</v>
      </c>
      <c r="J438" s="1" t="s">
        <v>62</v>
      </c>
      <c r="K438" s="1" t="s">
        <v>81</v>
      </c>
      <c r="L438" s="1" t="s">
        <v>1454</v>
      </c>
      <c r="M438" s="1" t="s">
        <v>65</v>
      </c>
      <c r="N438" s="1" t="s">
        <v>2815</v>
      </c>
      <c r="O438" s="1" t="s">
        <v>5351</v>
      </c>
      <c r="P438" s="1" t="s">
        <v>128</v>
      </c>
      <c r="Q438" s="1" t="s">
        <v>5352</v>
      </c>
      <c r="R438" s="1" t="s">
        <v>5353</v>
      </c>
      <c r="S438" s="1" t="s">
        <v>5354</v>
      </c>
      <c r="T438" s="1" t="s">
        <v>52</v>
      </c>
      <c r="U438" s="1" t="s">
        <v>130</v>
      </c>
    </row>
    <row r="439" customFormat="false" ht="15" hidden="false" customHeight="true" outlineLevel="0" collapsed="false">
      <c r="A439" s="1" t="s">
        <v>1455</v>
      </c>
      <c r="B439" s="1" t="s">
        <v>5355</v>
      </c>
      <c r="C439" s="1" t="s">
        <v>5356</v>
      </c>
      <c r="D439" s="1" t="s">
        <v>1456</v>
      </c>
      <c r="E439" s="1" t="s">
        <v>115</v>
      </c>
      <c r="F439" s="1" t="s">
        <v>58</v>
      </c>
      <c r="G439" s="1" t="s">
        <v>78</v>
      </c>
      <c r="H439" s="1" t="s">
        <v>216</v>
      </c>
      <c r="I439" s="1" t="s">
        <v>217</v>
      </c>
      <c r="J439" s="1" t="s">
        <v>99</v>
      </c>
      <c r="K439" s="1" t="s">
        <v>100</v>
      </c>
      <c r="L439" s="1" t="s">
        <v>1457</v>
      </c>
      <c r="M439" s="1" t="s">
        <v>65</v>
      </c>
      <c r="N439" s="1" t="s">
        <v>2861</v>
      </c>
      <c r="O439" s="1" t="s">
        <v>5357</v>
      </c>
      <c r="P439" s="1" t="s">
        <v>128</v>
      </c>
      <c r="Q439" s="1" t="s">
        <v>5358</v>
      </c>
      <c r="R439" s="1" t="s">
        <v>5359</v>
      </c>
      <c r="S439" s="1" t="s">
        <v>5360</v>
      </c>
      <c r="T439" s="1" t="s">
        <v>185</v>
      </c>
      <c r="U439" s="1" t="s">
        <v>130</v>
      </c>
    </row>
    <row r="440" customFormat="false" ht="15" hidden="false" customHeight="true" outlineLevel="0" collapsed="false">
      <c r="A440" s="1" t="s">
        <v>1458</v>
      </c>
      <c r="B440" s="1" t="s">
        <v>4015</v>
      </c>
      <c r="C440" s="1" t="s">
        <v>5361</v>
      </c>
      <c r="D440" s="1" t="s">
        <v>1459</v>
      </c>
      <c r="E440" s="1" t="s">
        <v>104</v>
      </c>
      <c r="F440" s="1" t="s">
        <v>116</v>
      </c>
      <c r="G440" s="1" t="s">
        <v>59</v>
      </c>
      <c r="H440" s="1" t="s">
        <v>262</v>
      </c>
      <c r="I440" s="1" t="s">
        <v>263</v>
      </c>
      <c r="J440" s="1" t="s">
        <v>99</v>
      </c>
      <c r="K440" s="1" t="s">
        <v>201</v>
      </c>
      <c r="L440" s="1" t="s">
        <v>1460</v>
      </c>
      <c r="M440" s="1" t="s">
        <v>83</v>
      </c>
      <c r="N440" s="1" t="s">
        <v>2836</v>
      </c>
      <c r="O440" s="1" t="s">
        <v>5362</v>
      </c>
      <c r="P440" s="1" t="s">
        <v>50</v>
      </c>
      <c r="Q440" s="1" t="s">
        <v>5363</v>
      </c>
      <c r="R440" s="1" t="s">
        <v>5364</v>
      </c>
      <c r="S440" s="1" t="s">
        <v>5365</v>
      </c>
      <c r="T440" s="1" t="s">
        <v>52</v>
      </c>
      <c r="U440" s="1" t="s">
        <v>53</v>
      </c>
    </row>
    <row r="441" customFormat="false" ht="15" hidden="false" customHeight="true" outlineLevel="0" collapsed="false">
      <c r="A441" s="1" t="s">
        <v>1461</v>
      </c>
      <c r="B441" s="1" t="s">
        <v>5366</v>
      </c>
      <c r="C441" s="1" t="s">
        <v>5367</v>
      </c>
      <c r="D441" s="1" t="s">
        <v>1462</v>
      </c>
      <c r="E441" s="1" t="s">
        <v>155</v>
      </c>
      <c r="F441" s="1" t="s">
        <v>121</v>
      </c>
      <c r="G441" s="1" t="s">
        <v>88</v>
      </c>
      <c r="H441" s="1" t="s">
        <v>221</v>
      </c>
      <c r="I441" s="1" t="s">
        <v>222</v>
      </c>
      <c r="J441" s="1" t="s">
        <v>46</v>
      </c>
      <c r="K441" s="1" t="s">
        <v>151</v>
      </c>
      <c r="L441" s="1" t="s">
        <v>1463</v>
      </c>
      <c r="M441" s="1" t="s">
        <v>65</v>
      </c>
      <c r="N441" s="1" t="s">
        <v>2829</v>
      </c>
      <c r="O441" s="1" t="s">
        <v>5368</v>
      </c>
      <c r="P441" s="1" t="s">
        <v>66</v>
      </c>
      <c r="Q441" s="1" t="s">
        <v>5369</v>
      </c>
      <c r="R441" s="1" t="s">
        <v>5370</v>
      </c>
      <c r="S441" s="1" t="s">
        <v>5371</v>
      </c>
      <c r="T441" s="1" t="s">
        <v>129</v>
      </c>
      <c r="U441" s="1" t="s">
        <v>130</v>
      </c>
    </row>
    <row r="442" customFormat="false" ht="15" hidden="false" customHeight="true" outlineLevel="0" collapsed="false">
      <c r="A442" s="1" t="s">
        <v>1464</v>
      </c>
      <c r="B442" s="1" t="s">
        <v>5372</v>
      </c>
      <c r="C442" s="1" t="s">
        <v>5373</v>
      </c>
      <c r="D442" s="1" t="s">
        <v>304</v>
      </c>
      <c r="E442" s="1" t="s">
        <v>96</v>
      </c>
      <c r="F442" s="1" t="s">
        <v>116</v>
      </c>
      <c r="G442" s="1" t="s">
        <v>59</v>
      </c>
      <c r="H442" s="1" t="s">
        <v>60</v>
      </c>
      <c r="I442" s="1" t="s">
        <v>61</v>
      </c>
      <c r="J442" s="1" t="s">
        <v>99</v>
      </c>
      <c r="K442" s="1" t="s">
        <v>308</v>
      </c>
      <c r="L442" s="1" t="s">
        <v>1465</v>
      </c>
      <c r="M442" s="1" t="s">
        <v>49</v>
      </c>
      <c r="N442" s="1" t="s">
        <v>2815</v>
      </c>
      <c r="O442" s="1" t="s">
        <v>5374</v>
      </c>
      <c r="P442" s="1" t="s">
        <v>50</v>
      </c>
      <c r="Q442" s="1" t="s">
        <v>5375</v>
      </c>
      <c r="R442" s="1" t="s">
        <v>5376</v>
      </c>
      <c r="S442" s="1" t="s">
        <v>5377</v>
      </c>
      <c r="T442" s="1" t="s">
        <v>52</v>
      </c>
      <c r="U442" s="1" t="s">
        <v>53</v>
      </c>
    </row>
    <row r="443" customFormat="false" ht="15" hidden="false" customHeight="true" outlineLevel="0" collapsed="false">
      <c r="A443" s="1" t="s">
        <v>1466</v>
      </c>
      <c r="B443" s="1" t="s">
        <v>5378</v>
      </c>
      <c r="C443" s="1" t="s">
        <v>3431</v>
      </c>
      <c r="D443" s="1" t="s">
        <v>1467</v>
      </c>
      <c r="E443" s="1" t="s">
        <v>40</v>
      </c>
      <c r="F443" s="1" t="s">
        <v>41</v>
      </c>
      <c r="G443" s="1" t="s">
        <v>59</v>
      </c>
      <c r="H443" s="1" t="s">
        <v>174</v>
      </c>
      <c r="I443" s="1" t="s">
        <v>175</v>
      </c>
      <c r="J443" s="1" t="s">
        <v>62</v>
      </c>
      <c r="K443" s="1" t="s">
        <v>188</v>
      </c>
      <c r="L443" s="1" t="s">
        <v>1468</v>
      </c>
      <c r="M443" s="1" t="s">
        <v>83</v>
      </c>
      <c r="N443" s="1" t="s">
        <v>2815</v>
      </c>
      <c r="O443" s="1" t="s">
        <v>5379</v>
      </c>
      <c r="P443" s="1" t="s">
        <v>66</v>
      </c>
      <c r="Q443" s="1" t="s">
        <v>5380</v>
      </c>
      <c r="R443" s="1" t="s">
        <v>5381</v>
      </c>
      <c r="S443" s="1" t="s">
        <v>5382</v>
      </c>
      <c r="T443" s="1" t="s">
        <v>52</v>
      </c>
      <c r="U443" s="1" t="s">
        <v>93</v>
      </c>
    </row>
    <row r="444" customFormat="false" ht="15" hidden="false" customHeight="true" outlineLevel="0" collapsed="false">
      <c r="A444" s="1" t="s">
        <v>1469</v>
      </c>
      <c r="B444" s="1" t="s">
        <v>5383</v>
      </c>
      <c r="C444" s="1" t="s">
        <v>5384</v>
      </c>
      <c r="D444" s="1" t="s">
        <v>1470</v>
      </c>
      <c r="E444" s="1" t="s">
        <v>155</v>
      </c>
      <c r="F444" s="1" t="s">
        <v>41</v>
      </c>
      <c r="G444" s="1" t="s">
        <v>59</v>
      </c>
      <c r="H444" s="1" t="s">
        <v>262</v>
      </c>
      <c r="I444" s="1" t="s">
        <v>263</v>
      </c>
      <c r="J444" s="1" t="s">
        <v>62</v>
      </c>
      <c r="K444" s="1" t="s">
        <v>63</v>
      </c>
      <c r="L444" s="1" t="s">
        <v>1471</v>
      </c>
      <c r="M444" s="1" t="s">
        <v>72</v>
      </c>
      <c r="N444" s="1" t="s">
        <v>2836</v>
      </c>
      <c r="O444" s="1" t="s">
        <v>5385</v>
      </c>
      <c r="P444" s="1" t="s">
        <v>66</v>
      </c>
      <c r="Q444" s="1" t="s">
        <v>5385</v>
      </c>
      <c r="R444" s="1" t="s">
        <v>5386</v>
      </c>
      <c r="S444" s="1" t="s">
        <v>5387</v>
      </c>
      <c r="T444" s="1" t="s">
        <v>52</v>
      </c>
      <c r="U444" s="1" t="s">
        <v>53</v>
      </c>
    </row>
    <row r="445" customFormat="false" ht="15" hidden="false" customHeight="true" outlineLevel="0" collapsed="false">
      <c r="A445" s="1" t="s">
        <v>1472</v>
      </c>
      <c r="B445" s="1" t="s">
        <v>5388</v>
      </c>
      <c r="C445" s="1" t="s">
        <v>5043</v>
      </c>
      <c r="D445" s="1" t="s">
        <v>1473</v>
      </c>
      <c r="E445" s="1" t="s">
        <v>168</v>
      </c>
      <c r="F445" s="1" t="s">
        <v>121</v>
      </c>
      <c r="G445" s="1" t="s">
        <v>59</v>
      </c>
      <c r="H445" s="1" t="s">
        <v>60</v>
      </c>
      <c r="I445" s="1" t="s">
        <v>61</v>
      </c>
      <c r="J445" s="1" t="s">
        <v>62</v>
      </c>
      <c r="K445" s="1" t="s">
        <v>81</v>
      </c>
      <c r="L445" s="1" t="s">
        <v>1474</v>
      </c>
      <c r="M445" s="1" t="s">
        <v>72</v>
      </c>
      <c r="N445" s="1" t="s">
        <v>2836</v>
      </c>
      <c r="O445" s="1" t="s">
        <v>5389</v>
      </c>
      <c r="P445" s="1" t="s">
        <v>203</v>
      </c>
      <c r="Q445" s="1" t="s">
        <v>5390</v>
      </c>
      <c r="R445" s="1" t="s">
        <v>5391</v>
      </c>
      <c r="S445" s="1" t="s">
        <v>5392</v>
      </c>
      <c r="T445" s="1" t="s">
        <v>52</v>
      </c>
      <c r="U445" s="1" t="s">
        <v>53</v>
      </c>
    </row>
    <row r="446" customFormat="false" ht="15" hidden="false" customHeight="true" outlineLevel="0" collapsed="false">
      <c r="A446" s="1" t="s">
        <v>1475</v>
      </c>
      <c r="B446" s="1" t="s">
        <v>5393</v>
      </c>
      <c r="C446" s="1" t="s">
        <v>5005</v>
      </c>
      <c r="D446" s="1" t="s">
        <v>1476</v>
      </c>
      <c r="E446" s="1" t="s">
        <v>87</v>
      </c>
      <c r="F446" s="1" t="s">
        <v>41</v>
      </c>
      <c r="G446" s="1" t="s">
        <v>59</v>
      </c>
      <c r="H446" s="1" t="s">
        <v>196</v>
      </c>
      <c r="I446" s="1" t="s">
        <v>197</v>
      </c>
      <c r="J446" s="1" t="s">
        <v>99</v>
      </c>
      <c r="K446" s="1" t="s">
        <v>100</v>
      </c>
      <c r="L446" s="1" t="s">
        <v>1477</v>
      </c>
      <c r="M446" s="1" t="s">
        <v>65</v>
      </c>
      <c r="N446" s="1" t="s">
        <v>2899</v>
      </c>
      <c r="O446" s="1" t="s">
        <v>5394</v>
      </c>
      <c r="P446" s="1" t="s">
        <v>128</v>
      </c>
      <c r="Q446" s="1" t="s">
        <v>5395</v>
      </c>
      <c r="R446" s="1" t="s">
        <v>5396</v>
      </c>
      <c r="S446" s="1" t="s">
        <v>5397</v>
      </c>
      <c r="T446" s="1" t="s">
        <v>52</v>
      </c>
      <c r="U446" s="1" t="s">
        <v>53</v>
      </c>
    </row>
    <row r="447" customFormat="false" ht="15" hidden="false" customHeight="true" outlineLevel="0" collapsed="false">
      <c r="A447" s="1" t="s">
        <v>1478</v>
      </c>
      <c r="B447" s="1" t="s">
        <v>5398</v>
      </c>
      <c r="C447" s="1" t="s">
        <v>5399</v>
      </c>
      <c r="D447" s="1" t="s">
        <v>1479</v>
      </c>
      <c r="E447" s="1" t="s">
        <v>77</v>
      </c>
      <c r="F447" s="1" t="s">
        <v>41</v>
      </c>
      <c r="G447" s="1" t="s">
        <v>59</v>
      </c>
      <c r="H447" s="1" t="s">
        <v>196</v>
      </c>
      <c r="I447" s="1" t="s">
        <v>197</v>
      </c>
      <c r="J447" s="1" t="s">
        <v>62</v>
      </c>
      <c r="K447" s="1" t="s">
        <v>188</v>
      </c>
      <c r="L447" s="1" t="s">
        <v>1480</v>
      </c>
      <c r="M447" s="1" t="s">
        <v>65</v>
      </c>
      <c r="N447" s="1" t="s">
        <v>2868</v>
      </c>
      <c r="O447" s="1" t="s">
        <v>5400</v>
      </c>
      <c r="P447" s="1" t="s">
        <v>50</v>
      </c>
      <c r="Q447" s="1" t="s">
        <v>5401</v>
      </c>
      <c r="R447" s="1" t="s">
        <v>5402</v>
      </c>
      <c r="S447" s="1" t="s">
        <v>5403</v>
      </c>
      <c r="T447" s="1" t="s">
        <v>52</v>
      </c>
      <c r="U447" s="1" t="s">
        <v>53</v>
      </c>
    </row>
    <row r="448" customFormat="false" ht="15" hidden="false" customHeight="true" outlineLevel="0" collapsed="false">
      <c r="A448" s="1" t="s">
        <v>1481</v>
      </c>
      <c r="B448" s="1" t="s">
        <v>5404</v>
      </c>
      <c r="C448" s="1" t="s">
        <v>5405</v>
      </c>
      <c r="D448" s="1" t="s">
        <v>1482</v>
      </c>
      <c r="E448" s="1" t="s">
        <v>159</v>
      </c>
      <c r="F448" s="1" t="s">
        <v>121</v>
      </c>
      <c r="G448" s="1" t="s">
        <v>78</v>
      </c>
      <c r="H448" s="1" t="s">
        <v>110</v>
      </c>
      <c r="I448" s="1" t="s">
        <v>111</v>
      </c>
      <c r="J448" s="1" t="s">
        <v>46</v>
      </c>
      <c r="K448" s="1" t="s">
        <v>151</v>
      </c>
      <c r="L448" s="1" t="s">
        <v>1483</v>
      </c>
      <c r="M448" s="1" t="s">
        <v>65</v>
      </c>
      <c r="N448" s="1" t="s">
        <v>2861</v>
      </c>
      <c r="O448" s="1" t="s">
        <v>5406</v>
      </c>
      <c r="P448" s="1" t="s">
        <v>66</v>
      </c>
      <c r="Q448" s="1" t="s">
        <v>5407</v>
      </c>
      <c r="R448" s="1" t="s">
        <v>5408</v>
      </c>
      <c r="S448" s="1" t="s">
        <v>5409</v>
      </c>
      <c r="T448" s="1" t="s">
        <v>52</v>
      </c>
      <c r="U448" s="1" t="s">
        <v>53</v>
      </c>
    </row>
    <row r="449" customFormat="false" ht="15" hidden="false" customHeight="true" outlineLevel="0" collapsed="false">
      <c r="A449" s="1" t="s">
        <v>1484</v>
      </c>
      <c r="B449" s="1" t="s">
        <v>3918</v>
      </c>
      <c r="C449" s="1" t="s">
        <v>5410</v>
      </c>
      <c r="D449" s="1" t="s">
        <v>1485</v>
      </c>
      <c r="E449" s="1" t="s">
        <v>168</v>
      </c>
      <c r="F449" s="1" t="s">
        <v>121</v>
      </c>
      <c r="G449" s="1" t="s">
        <v>78</v>
      </c>
      <c r="H449" s="1" t="s">
        <v>79</v>
      </c>
      <c r="I449" s="1" t="s">
        <v>80</v>
      </c>
      <c r="J449" s="1" t="s">
        <v>62</v>
      </c>
      <c r="K449" s="1" t="s">
        <v>188</v>
      </c>
      <c r="L449" s="1" t="s">
        <v>1486</v>
      </c>
      <c r="M449" s="1" t="s">
        <v>83</v>
      </c>
      <c r="N449" s="1" t="s">
        <v>2815</v>
      </c>
      <c r="O449" s="1" t="s">
        <v>5411</v>
      </c>
      <c r="P449" s="1" t="s">
        <v>107</v>
      </c>
      <c r="Q449" s="1" t="s">
        <v>5412</v>
      </c>
      <c r="R449" s="1" t="s">
        <v>5413</v>
      </c>
      <c r="S449" s="1" t="s">
        <v>5414</v>
      </c>
      <c r="T449" s="1" t="s">
        <v>138</v>
      </c>
      <c r="U449" s="1" t="s">
        <v>130</v>
      </c>
    </row>
    <row r="450" customFormat="false" ht="15" hidden="false" customHeight="true" outlineLevel="0" collapsed="false">
      <c r="A450" s="1" t="s">
        <v>1487</v>
      </c>
      <c r="B450" s="1" t="s">
        <v>5415</v>
      </c>
      <c r="C450" s="1" t="s">
        <v>3201</v>
      </c>
      <c r="D450" s="1" t="s">
        <v>1488</v>
      </c>
      <c r="E450" s="1" t="s">
        <v>57</v>
      </c>
      <c r="F450" s="1" t="s">
        <v>58</v>
      </c>
      <c r="G450" s="1" t="s">
        <v>78</v>
      </c>
      <c r="H450" s="1" t="s">
        <v>110</v>
      </c>
      <c r="I450" s="1" t="s">
        <v>111</v>
      </c>
      <c r="J450" s="1" t="s">
        <v>62</v>
      </c>
      <c r="K450" s="1" t="s">
        <v>91</v>
      </c>
      <c r="L450" s="1" t="s">
        <v>1489</v>
      </c>
      <c r="M450" s="1" t="s">
        <v>72</v>
      </c>
      <c r="N450" s="1" t="s">
        <v>2868</v>
      </c>
      <c r="O450" s="1" t="s">
        <v>5416</v>
      </c>
      <c r="P450" s="1" t="s">
        <v>107</v>
      </c>
      <c r="Q450" s="1" t="s">
        <v>5417</v>
      </c>
      <c r="R450" s="1" t="s">
        <v>5418</v>
      </c>
      <c r="S450" s="1" t="s">
        <v>5419</v>
      </c>
      <c r="T450" s="1" t="s">
        <v>52</v>
      </c>
      <c r="U450" s="1" t="s">
        <v>53</v>
      </c>
    </row>
    <row r="451" customFormat="false" ht="15" hidden="false" customHeight="true" outlineLevel="0" collapsed="false">
      <c r="A451" s="1" t="s">
        <v>1490</v>
      </c>
      <c r="B451" s="1" t="s">
        <v>5420</v>
      </c>
      <c r="C451" s="1" t="s">
        <v>5421</v>
      </c>
      <c r="D451" s="1" t="s">
        <v>1384</v>
      </c>
      <c r="E451" s="1" t="s">
        <v>115</v>
      </c>
      <c r="F451" s="1" t="s">
        <v>116</v>
      </c>
      <c r="G451" s="1" t="s">
        <v>59</v>
      </c>
      <c r="H451" s="1" t="s">
        <v>196</v>
      </c>
      <c r="I451" s="1" t="s">
        <v>197</v>
      </c>
      <c r="J451" s="1" t="s">
        <v>99</v>
      </c>
      <c r="K451" s="1" t="s">
        <v>308</v>
      </c>
      <c r="L451" s="1" t="s">
        <v>1491</v>
      </c>
      <c r="M451" s="1" t="s">
        <v>49</v>
      </c>
      <c r="N451" s="1" t="s">
        <v>2815</v>
      </c>
      <c r="O451" s="1" t="s">
        <v>5422</v>
      </c>
      <c r="P451" s="1" t="s">
        <v>66</v>
      </c>
      <c r="Q451" s="1" t="s">
        <v>5423</v>
      </c>
      <c r="R451" s="1" t="s">
        <v>5424</v>
      </c>
      <c r="S451" s="1" t="s">
        <v>5425</v>
      </c>
      <c r="T451" s="1" t="s">
        <v>52</v>
      </c>
      <c r="U451" s="1" t="s">
        <v>53</v>
      </c>
    </row>
    <row r="452" customFormat="false" ht="15" hidden="false" customHeight="true" outlineLevel="0" collapsed="false">
      <c r="A452" s="1" t="s">
        <v>1492</v>
      </c>
      <c r="B452" s="1" t="s">
        <v>5426</v>
      </c>
      <c r="C452" s="1" t="s">
        <v>4663</v>
      </c>
      <c r="D452" s="1" t="s">
        <v>1493</v>
      </c>
      <c r="E452" s="1" t="s">
        <v>87</v>
      </c>
      <c r="F452" s="1" t="s">
        <v>116</v>
      </c>
      <c r="G452" s="1" t="s">
        <v>42</v>
      </c>
      <c r="H452" s="1" t="s">
        <v>384</v>
      </c>
      <c r="I452" s="1" t="s">
        <v>385</v>
      </c>
      <c r="J452" s="1" t="s">
        <v>62</v>
      </c>
      <c r="K452" s="1" t="s">
        <v>91</v>
      </c>
      <c r="L452" s="1" t="s">
        <v>1494</v>
      </c>
      <c r="M452" s="1" t="s">
        <v>83</v>
      </c>
      <c r="N452" s="1" t="s">
        <v>2899</v>
      </c>
      <c r="O452" s="1" t="s">
        <v>5427</v>
      </c>
      <c r="P452" s="1" t="s">
        <v>84</v>
      </c>
      <c r="Q452" s="1" t="s">
        <v>5428</v>
      </c>
      <c r="R452" s="1" t="s">
        <v>5429</v>
      </c>
      <c r="S452" s="1" t="s">
        <v>5430</v>
      </c>
      <c r="T452" s="1" t="s">
        <v>52</v>
      </c>
      <c r="U452" s="1" t="s">
        <v>53</v>
      </c>
    </row>
    <row r="453" customFormat="false" ht="15" hidden="false" customHeight="true" outlineLevel="0" collapsed="false">
      <c r="A453" s="1" t="s">
        <v>1495</v>
      </c>
      <c r="B453" s="1" t="s">
        <v>5431</v>
      </c>
      <c r="C453" s="1" t="s">
        <v>5432</v>
      </c>
      <c r="D453" s="1" t="s">
        <v>1496</v>
      </c>
      <c r="E453" s="1" t="s">
        <v>168</v>
      </c>
      <c r="F453" s="1" t="s">
        <v>58</v>
      </c>
      <c r="G453" s="1" t="s">
        <v>42</v>
      </c>
      <c r="H453" s="1" t="s">
        <v>270</v>
      </c>
      <c r="I453" s="1" t="s">
        <v>271</v>
      </c>
      <c r="J453" s="1" t="s">
        <v>46</v>
      </c>
      <c r="K453" s="1" t="s">
        <v>47</v>
      </c>
      <c r="L453" s="1" t="s">
        <v>1497</v>
      </c>
      <c r="M453" s="1" t="s">
        <v>49</v>
      </c>
      <c r="N453" s="1" t="s">
        <v>2861</v>
      </c>
      <c r="O453" s="1" t="s">
        <v>5433</v>
      </c>
      <c r="P453" s="1" t="s">
        <v>107</v>
      </c>
      <c r="Q453" s="1" t="s">
        <v>5434</v>
      </c>
      <c r="R453" s="1" t="s">
        <v>5435</v>
      </c>
      <c r="S453" s="1" t="s">
        <v>5436</v>
      </c>
      <c r="T453" s="1" t="s">
        <v>52</v>
      </c>
      <c r="U453" s="1" t="s">
        <v>93</v>
      </c>
    </row>
    <row r="454" customFormat="false" ht="15" hidden="false" customHeight="true" outlineLevel="0" collapsed="false">
      <c r="A454" s="1" t="s">
        <v>1498</v>
      </c>
      <c r="B454" s="1" t="s">
        <v>5437</v>
      </c>
      <c r="C454" s="1" t="s">
        <v>4432</v>
      </c>
      <c r="D454" s="1" t="s">
        <v>1499</v>
      </c>
      <c r="E454" s="1" t="s">
        <v>192</v>
      </c>
      <c r="F454" s="1" t="s">
        <v>121</v>
      </c>
      <c r="G454" s="1" t="s">
        <v>59</v>
      </c>
      <c r="H454" s="1" t="s">
        <v>262</v>
      </c>
      <c r="I454" s="1" t="s">
        <v>263</v>
      </c>
      <c r="J454" s="1" t="s">
        <v>99</v>
      </c>
      <c r="K454" s="1" t="s">
        <v>100</v>
      </c>
      <c r="L454" s="1" t="s">
        <v>1500</v>
      </c>
      <c r="M454" s="1" t="s">
        <v>49</v>
      </c>
      <c r="N454" s="1" t="s">
        <v>2815</v>
      </c>
      <c r="O454" s="1" t="s">
        <v>5438</v>
      </c>
      <c r="P454" s="1" t="s">
        <v>50</v>
      </c>
      <c r="Q454" s="1" t="s">
        <v>5439</v>
      </c>
      <c r="R454" s="1" t="s">
        <v>5440</v>
      </c>
      <c r="S454" s="1" t="s">
        <v>5441</v>
      </c>
      <c r="T454" s="1" t="s">
        <v>52</v>
      </c>
      <c r="U454" s="1" t="s">
        <v>53</v>
      </c>
    </row>
    <row r="455" customFormat="false" ht="15" hidden="false" customHeight="true" outlineLevel="0" collapsed="false">
      <c r="A455" s="1" t="s">
        <v>1501</v>
      </c>
      <c r="B455" s="1" t="s">
        <v>5442</v>
      </c>
      <c r="C455" s="1" t="s">
        <v>5443</v>
      </c>
      <c r="D455" s="1" t="s">
        <v>1502</v>
      </c>
      <c r="E455" s="1" t="s">
        <v>168</v>
      </c>
      <c r="F455" s="1" t="s">
        <v>58</v>
      </c>
      <c r="G455" s="1" t="s">
        <v>88</v>
      </c>
      <c r="H455" s="1" t="s">
        <v>97</v>
      </c>
      <c r="I455" s="1" t="s">
        <v>98</v>
      </c>
      <c r="J455" s="1" t="s">
        <v>46</v>
      </c>
      <c r="K455" s="1" t="s">
        <v>117</v>
      </c>
      <c r="L455" s="1" t="s">
        <v>1503</v>
      </c>
      <c r="M455" s="1" t="s">
        <v>65</v>
      </c>
      <c r="N455" s="1" t="s">
        <v>2829</v>
      </c>
      <c r="O455" s="1" t="s">
        <v>5444</v>
      </c>
      <c r="P455" s="1" t="s">
        <v>66</v>
      </c>
      <c r="Q455" s="1" t="s">
        <v>5445</v>
      </c>
      <c r="R455" s="1" t="s">
        <v>5446</v>
      </c>
      <c r="S455" s="1" t="s">
        <v>5447</v>
      </c>
      <c r="T455" s="1" t="s">
        <v>52</v>
      </c>
      <c r="U455" s="1" t="s">
        <v>53</v>
      </c>
    </row>
    <row r="456" customFormat="false" ht="15" hidden="false" customHeight="true" outlineLevel="0" collapsed="false">
      <c r="A456" s="1" t="s">
        <v>1504</v>
      </c>
      <c r="B456" s="1" t="s">
        <v>5448</v>
      </c>
      <c r="C456" s="1" t="s">
        <v>5449</v>
      </c>
      <c r="D456" s="1" t="s">
        <v>1505</v>
      </c>
      <c r="E456" s="1" t="s">
        <v>96</v>
      </c>
      <c r="F456" s="1" t="s">
        <v>58</v>
      </c>
      <c r="G456" s="1" t="s">
        <v>42</v>
      </c>
      <c r="H456" s="1" t="s">
        <v>44</v>
      </c>
      <c r="I456" s="1" t="s">
        <v>45</v>
      </c>
      <c r="J456" s="1" t="s">
        <v>62</v>
      </c>
      <c r="K456" s="1" t="s">
        <v>81</v>
      </c>
      <c r="L456" s="1" t="s">
        <v>1506</v>
      </c>
      <c r="M456" s="1" t="s">
        <v>83</v>
      </c>
      <c r="N456" s="1" t="s">
        <v>2899</v>
      </c>
      <c r="O456" s="1" t="s">
        <v>5450</v>
      </c>
      <c r="P456" s="1" t="s">
        <v>107</v>
      </c>
      <c r="Q456" s="1" t="s">
        <v>5451</v>
      </c>
      <c r="R456" s="1" t="s">
        <v>5452</v>
      </c>
      <c r="S456" s="1" t="s">
        <v>5453</v>
      </c>
      <c r="T456" s="1" t="s">
        <v>52</v>
      </c>
      <c r="U456" s="1" t="s">
        <v>53</v>
      </c>
    </row>
    <row r="457" customFormat="false" ht="15" hidden="false" customHeight="true" outlineLevel="0" collapsed="false">
      <c r="A457" s="1" t="s">
        <v>1507</v>
      </c>
      <c r="B457" s="1" t="s">
        <v>5454</v>
      </c>
      <c r="C457" s="1" t="s">
        <v>5455</v>
      </c>
      <c r="D457" s="1" t="s">
        <v>1508</v>
      </c>
      <c r="E457" s="1" t="s">
        <v>104</v>
      </c>
      <c r="F457" s="1" t="s">
        <v>58</v>
      </c>
      <c r="G457" s="1" t="s">
        <v>78</v>
      </c>
      <c r="H457" s="1" t="s">
        <v>79</v>
      </c>
      <c r="I457" s="1" t="s">
        <v>80</v>
      </c>
      <c r="J457" s="1" t="s">
        <v>46</v>
      </c>
      <c r="K457" s="1" t="s">
        <v>70</v>
      </c>
      <c r="L457" s="1" t="s">
        <v>1509</v>
      </c>
      <c r="M457" s="1" t="s">
        <v>83</v>
      </c>
      <c r="N457" s="1" t="s">
        <v>2937</v>
      </c>
      <c r="O457" s="1" t="s">
        <v>5456</v>
      </c>
      <c r="P457" s="1" t="s">
        <v>66</v>
      </c>
      <c r="Q457" s="1" t="s">
        <v>5457</v>
      </c>
      <c r="R457" s="1" t="s">
        <v>5458</v>
      </c>
      <c r="S457" s="1" t="s">
        <v>5459</v>
      </c>
      <c r="T457" s="1" t="s">
        <v>52</v>
      </c>
      <c r="U457" s="1" t="s">
        <v>53</v>
      </c>
    </row>
    <row r="458" customFormat="false" ht="15" hidden="false" customHeight="true" outlineLevel="0" collapsed="false">
      <c r="A458" s="1" t="s">
        <v>1510</v>
      </c>
      <c r="B458" s="1" t="s">
        <v>5274</v>
      </c>
      <c r="C458" s="1" t="s">
        <v>5274</v>
      </c>
      <c r="D458" s="1" t="s">
        <v>1511</v>
      </c>
      <c r="E458" s="1" t="s">
        <v>104</v>
      </c>
      <c r="F458" s="1" t="s">
        <v>116</v>
      </c>
      <c r="G458" s="1" t="s">
        <v>42</v>
      </c>
      <c r="H458" s="1" t="s">
        <v>163</v>
      </c>
      <c r="I458" s="1" t="s">
        <v>164</v>
      </c>
      <c r="J458" s="1" t="s">
        <v>99</v>
      </c>
      <c r="K458" s="1" t="s">
        <v>100</v>
      </c>
      <c r="L458" s="1" t="s">
        <v>1512</v>
      </c>
      <c r="M458" s="1" t="s">
        <v>65</v>
      </c>
      <c r="N458" s="1" t="s">
        <v>2829</v>
      </c>
      <c r="O458" s="1" t="s">
        <v>5460</v>
      </c>
      <c r="P458" s="1" t="s">
        <v>107</v>
      </c>
      <c r="Q458" s="1" t="s">
        <v>5461</v>
      </c>
      <c r="R458" s="1" t="s">
        <v>5462</v>
      </c>
      <c r="S458" s="1" t="s">
        <v>5463</v>
      </c>
      <c r="T458" s="1" t="s">
        <v>52</v>
      </c>
      <c r="U458" s="1" t="s">
        <v>130</v>
      </c>
    </row>
    <row r="459" customFormat="false" ht="15" hidden="false" customHeight="true" outlineLevel="0" collapsed="false">
      <c r="A459" s="1" t="s">
        <v>1513</v>
      </c>
      <c r="B459" s="1" t="s">
        <v>5464</v>
      </c>
      <c r="C459" s="1" t="s">
        <v>5465</v>
      </c>
      <c r="D459" s="1" t="s">
        <v>1514</v>
      </c>
      <c r="E459" s="1" t="s">
        <v>57</v>
      </c>
      <c r="F459" s="1" t="s">
        <v>58</v>
      </c>
      <c r="G459" s="1" t="s">
        <v>88</v>
      </c>
      <c r="H459" s="1" t="s">
        <v>221</v>
      </c>
      <c r="I459" s="1" t="s">
        <v>222</v>
      </c>
      <c r="J459" s="1" t="s">
        <v>62</v>
      </c>
      <c r="K459" s="1" t="s">
        <v>63</v>
      </c>
      <c r="L459" s="1" t="s">
        <v>1515</v>
      </c>
      <c r="M459" s="1" t="s">
        <v>83</v>
      </c>
      <c r="N459" s="1" t="s">
        <v>2906</v>
      </c>
      <c r="O459" s="1" t="s">
        <v>5466</v>
      </c>
      <c r="P459" s="1" t="s">
        <v>66</v>
      </c>
      <c r="Q459" s="1" t="s">
        <v>5467</v>
      </c>
      <c r="R459" s="1" t="s">
        <v>5468</v>
      </c>
      <c r="S459" s="1" t="s">
        <v>5469</v>
      </c>
      <c r="T459" s="1" t="s">
        <v>52</v>
      </c>
      <c r="U459" s="1" t="s">
        <v>53</v>
      </c>
    </row>
    <row r="460" customFormat="false" ht="15" hidden="false" customHeight="true" outlineLevel="0" collapsed="false">
      <c r="A460" s="1" t="s">
        <v>1516</v>
      </c>
      <c r="B460" s="1" t="s">
        <v>5470</v>
      </c>
      <c r="C460" s="1" t="s">
        <v>3816</v>
      </c>
      <c r="D460" s="1" t="s">
        <v>1517</v>
      </c>
      <c r="E460" s="1" t="s">
        <v>40</v>
      </c>
      <c r="F460" s="1" t="s">
        <v>116</v>
      </c>
      <c r="G460" s="1" t="s">
        <v>42</v>
      </c>
      <c r="H460" s="1" t="s">
        <v>44</v>
      </c>
      <c r="I460" s="1" t="s">
        <v>45</v>
      </c>
      <c r="J460" s="1" t="s">
        <v>99</v>
      </c>
      <c r="K460" s="1" t="s">
        <v>201</v>
      </c>
      <c r="L460" s="1" t="s">
        <v>1518</v>
      </c>
      <c r="M460" s="1" t="s">
        <v>49</v>
      </c>
      <c r="N460" s="1" t="s">
        <v>2822</v>
      </c>
      <c r="O460" s="1" t="s">
        <v>5471</v>
      </c>
      <c r="P460" s="1" t="s">
        <v>203</v>
      </c>
      <c r="Q460" s="1" t="s">
        <v>5472</v>
      </c>
      <c r="R460" s="1" t="s">
        <v>5473</v>
      </c>
      <c r="S460" s="1" t="s">
        <v>5474</v>
      </c>
      <c r="T460" s="1" t="s">
        <v>52</v>
      </c>
      <c r="U460" s="1" t="s">
        <v>53</v>
      </c>
    </row>
    <row r="461" customFormat="false" ht="15" hidden="false" customHeight="true" outlineLevel="0" collapsed="false">
      <c r="A461" s="1" t="s">
        <v>1519</v>
      </c>
      <c r="B461" s="1" t="s">
        <v>5475</v>
      </c>
      <c r="C461" s="1" t="s">
        <v>5388</v>
      </c>
      <c r="D461" s="1" t="s">
        <v>1520</v>
      </c>
      <c r="E461" s="1" t="s">
        <v>87</v>
      </c>
      <c r="F461" s="1" t="s">
        <v>121</v>
      </c>
      <c r="G461" s="1" t="s">
        <v>88</v>
      </c>
      <c r="H461" s="1" t="s">
        <v>221</v>
      </c>
      <c r="I461" s="1" t="s">
        <v>222</v>
      </c>
      <c r="J461" s="1" t="s">
        <v>46</v>
      </c>
      <c r="K461" s="1" t="s">
        <v>47</v>
      </c>
      <c r="L461" s="1" t="s">
        <v>1521</v>
      </c>
      <c r="M461" s="1" t="s">
        <v>72</v>
      </c>
      <c r="N461" s="1" t="s">
        <v>2822</v>
      </c>
      <c r="O461" s="1" t="s">
        <v>5476</v>
      </c>
      <c r="P461" s="1" t="s">
        <v>66</v>
      </c>
      <c r="Q461" s="1" t="s">
        <v>5477</v>
      </c>
      <c r="R461" s="1" t="s">
        <v>5478</v>
      </c>
      <c r="S461" s="1" t="s">
        <v>5479</v>
      </c>
      <c r="T461" s="1" t="s">
        <v>52</v>
      </c>
      <c r="U461" s="1" t="s">
        <v>53</v>
      </c>
    </row>
    <row r="462" customFormat="false" ht="15" hidden="false" customHeight="true" outlineLevel="0" collapsed="false">
      <c r="A462" s="1" t="s">
        <v>1522</v>
      </c>
      <c r="B462" s="1" t="s">
        <v>5480</v>
      </c>
      <c r="C462" s="1" t="s">
        <v>5481</v>
      </c>
      <c r="D462" s="1" t="s">
        <v>1523</v>
      </c>
      <c r="E462" s="1" t="s">
        <v>155</v>
      </c>
      <c r="F462" s="1" t="s">
        <v>116</v>
      </c>
      <c r="H462" s="1" t="s">
        <v>44</v>
      </c>
      <c r="I462" s="1" t="s">
        <v>45</v>
      </c>
      <c r="J462" s="1" t="s">
        <v>99</v>
      </c>
      <c r="K462" s="1" t="s">
        <v>105</v>
      </c>
      <c r="L462" s="1" t="s">
        <v>1524</v>
      </c>
      <c r="M462" s="1" t="s">
        <v>49</v>
      </c>
      <c r="N462" s="1" t="s">
        <v>2899</v>
      </c>
      <c r="O462" s="1" t="s">
        <v>5482</v>
      </c>
      <c r="P462" s="1" t="s">
        <v>128</v>
      </c>
      <c r="Q462" s="1" t="s">
        <v>5483</v>
      </c>
      <c r="R462" s="1" t="s">
        <v>5484</v>
      </c>
      <c r="S462" s="1" t="s">
        <v>5485</v>
      </c>
      <c r="T462" s="1" t="s">
        <v>52</v>
      </c>
      <c r="U462" s="1" t="s">
        <v>53</v>
      </c>
    </row>
    <row r="463" customFormat="false" ht="15" hidden="false" customHeight="true" outlineLevel="0" collapsed="false">
      <c r="A463" s="1" t="s">
        <v>1525</v>
      </c>
      <c r="B463" s="1" t="s">
        <v>5486</v>
      </c>
      <c r="C463" s="1" t="s">
        <v>4597</v>
      </c>
      <c r="D463" s="1" t="s">
        <v>1526</v>
      </c>
      <c r="E463" s="1" t="s">
        <v>104</v>
      </c>
      <c r="F463" s="1" t="s">
        <v>116</v>
      </c>
      <c r="G463" s="1" t="s">
        <v>78</v>
      </c>
      <c r="H463" s="1" t="s">
        <v>110</v>
      </c>
      <c r="I463" s="1" t="s">
        <v>111</v>
      </c>
      <c r="J463" s="1" t="s">
        <v>46</v>
      </c>
      <c r="K463" s="1" t="s">
        <v>47</v>
      </c>
      <c r="L463" s="1" t="s">
        <v>1527</v>
      </c>
      <c r="M463" s="1" t="s">
        <v>83</v>
      </c>
      <c r="N463" s="1" t="s">
        <v>2822</v>
      </c>
      <c r="O463" s="1" t="s">
        <v>5487</v>
      </c>
      <c r="P463" s="1" t="s">
        <v>107</v>
      </c>
      <c r="Q463" s="1" t="s">
        <v>5488</v>
      </c>
      <c r="R463" s="1" t="s">
        <v>5489</v>
      </c>
      <c r="S463" s="1" t="s">
        <v>5490</v>
      </c>
      <c r="T463" s="1" t="s">
        <v>52</v>
      </c>
      <c r="U463" s="1" t="s">
        <v>53</v>
      </c>
    </row>
    <row r="464" customFormat="false" ht="15" hidden="false" customHeight="true" outlineLevel="0" collapsed="false">
      <c r="A464" s="1" t="s">
        <v>1528</v>
      </c>
      <c r="B464" s="1" t="s">
        <v>5176</v>
      </c>
      <c r="C464" s="1" t="s">
        <v>5491</v>
      </c>
      <c r="D464" s="1" t="s">
        <v>1529</v>
      </c>
      <c r="E464" s="1" t="s">
        <v>155</v>
      </c>
      <c r="F464" s="1" t="s">
        <v>121</v>
      </c>
      <c r="G464" s="1" t="s">
        <v>42</v>
      </c>
      <c r="H464" s="1" t="s">
        <v>384</v>
      </c>
      <c r="I464" s="1" t="s">
        <v>385</v>
      </c>
      <c r="J464" s="1" t="s">
        <v>46</v>
      </c>
      <c r="K464" s="1" t="s">
        <v>183</v>
      </c>
      <c r="L464" s="1" t="s">
        <v>1530</v>
      </c>
      <c r="M464" s="1" t="s">
        <v>72</v>
      </c>
      <c r="N464" s="1" t="s">
        <v>2868</v>
      </c>
      <c r="O464" s="1" t="s">
        <v>2878</v>
      </c>
      <c r="P464" s="1" t="s">
        <v>50</v>
      </c>
      <c r="Q464" s="1" t="s">
        <v>5492</v>
      </c>
      <c r="R464" s="1" t="s">
        <v>5493</v>
      </c>
      <c r="S464" s="1" t="s">
        <v>5494</v>
      </c>
      <c r="T464" s="1" t="s">
        <v>52</v>
      </c>
      <c r="U464" s="1" t="s">
        <v>53</v>
      </c>
    </row>
    <row r="465" customFormat="false" ht="15" hidden="false" customHeight="true" outlineLevel="0" collapsed="false">
      <c r="A465" s="1" t="s">
        <v>1531</v>
      </c>
      <c r="B465" s="1" t="s">
        <v>3332</v>
      </c>
      <c r="C465" s="1" t="s">
        <v>5495</v>
      </c>
      <c r="D465" s="1" t="s">
        <v>1532</v>
      </c>
      <c r="E465" s="1" t="s">
        <v>77</v>
      </c>
      <c r="F465" s="1" t="s">
        <v>116</v>
      </c>
      <c r="G465" s="1" t="s">
        <v>88</v>
      </c>
      <c r="H465" s="1" t="s">
        <v>97</v>
      </c>
      <c r="I465" s="1" t="s">
        <v>98</v>
      </c>
      <c r="J465" s="1" t="s">
        <v>99</v>
      </c>
      <c r="K465" s="1" t="s">
        <v>201</v>
      </c>
      <c r="L465" s="1" t="s">
        <v>1533</v>
      </c>
      <c r="M465" s="1" t="s">
        <v>83</v>
      </c>
      <c r="N465" s="1" t="s">
        <v>2937</v>
      </c>
      <c r="O465" s="1" t="s">
        <v>5496</v>
      </c>
      <c r="P465" s="1" t="s">
        <v>50</v>
      </c>
      <c r="Q465" s="1" t="s">
        <v>5497</v>
      </c>
      <c r="R465" s="1" t="s">
        <v>5498</v>
      </c>
      <c r="S465" s="1" t="s">
        <v>5499</v>
      </c>
      <c r="T465" s="1" t="s">
        <v>52</v>
      </c>
      <c r="U465" s="1" t="s">
        <v>53</v>
      </c>
    </row>
    <row r="466" customFormat="false" ht="15" hidden="false" customHeight="true" outlineLevel="0" collapsed="false">
      <c r="A466" s="1" t="s">
        <v>1534</v>
      </c>
      <c r="B466" s="1" t="s">
        <v>5500</v>
      </c>
      <c r="C466" s="1" t="s">
        <v>5501</v>
      </c>
      <c r="D466" s="1" t="s">
        <v>1535</v>
      </c>
      <c r="E466" s="1" t="s">
        <v>77</v>
      </c>
      <c r="F466" s="1" t="s">
        <v>116</v>
      </c>
      <c r="G466" s="1" t="s">
        <v>59</v>
      </c>
      <c r="H466" s="1" t="s">
        <v>174</v>
      </c>
      <c r="I466" s="1" t="s">
        <v>175</v>
      </c>
      <c r="J466" s="1" t="s">
        <v>46</v>
      </c>
      <c r="K466" s="1" t="s">
        <v>47</v>
      </c>
      <c r="L466" s="1" t="s">
        <v>1536</v>
      </c>
      <c r="M466" s="1" t="s">
        <v>65</v>
      </c>
      <c r="N466" s="1" t="s">
        <v>2822</v>
      </c>
      <c r="O466" s="1" t="s">
        <v>5502</v>
      </c>
      <c r="P466" s="1" t="s">
        <v>128</v>
      </c>
      <c r="Q466" s="1" t="s">
        <v>5503</v>
      </c>
      <c r="R466" s="1" t="s">
        <v>5504</v>
      </c>
      <c r="S466" s="1" t="s">
        <v>5505</v>
      </c>
      <c r="T466" s="1" t="s">
        <v>138</v>
      </c>
      <c r="U466" s="1" t="s">
        <v>93</v>
      </c>
    </row>
    <row r="467" customFormat="false" ht="15" hidden="false" customHeight="true" outlineLevel="0" collapsed="false">
      <c r="A467" s="1" t="s">
        <v>1537</v>
      </c>
      <c r="B467" s="1" t="s">
        <v>5506</v>
      </c>
      <c r="C467" s="1" t="s">
        <v>5507</v>
      </c>
      <c r="D467" s="1" t="s">
        <v>1538</v>
      </c>
      <c r="E467" s="1" t="s">
        <v>155</v>
      </c>
      <c r="F467" s="1" t="s">
        <v>58</v>
      </c>
      <c r="G467" s="1" t="s">
        <v>88</v>
      </c>
      <c r="H467" s="1" t="s">
        <v>97</v>
      </c>
      <c r="I467" s="1" t="s">
        <v>98</v>
      </c>
      <c r="J467" s="1" t="s">
        <v>46</v>
      </c>
      <c r="K467" s="1" t="s">
        <v>117</v>
      </c>
      <c r="L467" s="1" t="s">
        <v>1539</v>
      </c>
      <c r="M467" s="1" t="s">
        <v>83</v>
      </c>
      <c r="N467" s="1" t="s">
        <v>2868</v>
      </c>
      <c r="O467" s="1" t="s">
        <v>5508</v>
      </c>
      <c r="P467" s="1" t="s">
        <v>66</v>
      </c>
      <c r="Q467" s="1" t="s">
        <v>5509</v>
      </c>
      <c r="R467" s="1" t="s">
        <v>5510</v>
      </c>
      <c r="S467" s="1" t="s">
        <v>5511</v>
      </c>
      <c r="T467" s="1" t="s">
        <v>52</v>
      </c>
      <c r="U467" s="1" t="s">
        <v>53</v>
      </c>
    </row>
    <row r="468" customFormat="false" ht="15" hidden="false" customHeight="true" outlineLevel="0" collapsed="false">
      <c r="A468" s="1" t="s">
        <v>1540</v>
      </c>
      <c r="B468" s="1" t="s">
        <v>5512</v>
      </c>
      <c r="C468" s="1" t="s">
        <v>5513</v>
      </c>
      <c r="D468" s="1" t="s">
        <v>1541</v>
      </c>
      <c r="E468" s="1" t="s">
        <v>57</v>
      </c>
      <c r="F468" s="1" t="s">
        <v>58</v>
      </c>
      <c r="G468" s="1" t="s">
        <v>59</v>
      </c>
      <c r="H468" s="1" t="s">
        <v>174</v>
      </c>
      <c r="I468" s="1" t="s">
        <v>175</v>
      </c>
      <c r="J468" s="1" t="s">
        <v>99</v>
      </c>
      <c r="K468" s="1" t="s">
        <v>100</v>
      </c>
      <c r="L468" s="1" t="s">
        <v>1542</v>
      </c>
      <c r="M468" s="1" t="s">
        <v>65</v>
      </c>
      <c r="N468" s="1" t="s">
        <v>2899</v>
      </c>
      <c r="O468" s="1" t="s">
        <v>5514</v>
      </c>
      <c r="P468" s="1" t="s">
        <v>50</v>
      </c>
      <c r="Q468" s="1" t="s">
        <v>5515</v>
      </c>
      <c r="R468" s="1" t="s">
        <v>5516</v>
      </c>
      <c r="S468" s="1" t="s">
        <v>5517</v>
      </c>
      <c r="T468" s="1" t="s">
        <v>52</v>
      </c>
      <c r="U468" s="1" t="s">
        <v>53</v>
      </c>
    </row>
    <row r="469" customFormat="false" ht="15" hidden="false" customHeight="true" outlineLevel="0" collapsed="false">
      <c r="A469" s="1" t="s">
        <v>1543</v>
      </c>
      <c r="B469" s="1" t="s">
        <v>5518</v>
      </c>
      <c r="C469" s="1" t="s">
        <v>4722</v>
      </c>
      <c r="D469" s="1" t="s">
        <v>1544</v>
      </c>
      <c r="E469" s="1" t="s">
        <v>115</v>
      </c>
      <c r="F469" s="1" t="s">
        <v>116</v>
      </c>
      <c r="G469" s="1" t="s">
        <v>59</v>
      </c>
      <c r="H469" s="1" t="s">
        <v>60</v>
      </c>
      <c r="I469" s="1" t="s">
        <v>61</v>
      </c>
      <c r="J469" s="1" t="s">
        <v>99</v>
      </c>
      <c r="K469" s="1" t="s">
        <v>105</v>
      </c>
      <c r="L469" s="1" t="s">
        <v>1545</v>
      </c>
      <c r="M469" s="1" t="s">
        <v>72</v>
      </c>
      <c r="N469" s="1" t="s">
        <v>2829</v>
      </c>
      <c r="O469" s="1" t="s">
        <v>5519</v>
      </c>
      <c r="P469" s="1" t="s">
        <v>203</v>
      </c>
      <c r="Q469" s="1" t="s">
        <v>5520</v>
      </c>
      <c r="R469" s="1" t="s">
        <v>5521</v>
      </c>
      <c r="S469" s="1" t="s">
        <v>5522</v>
      </c>
      <c r="T469" s="1" t="s">
        <v>129</v>
      </c>
      <c r="U469" s="1" t="s">
        <v>93</v>
      </c>
    </row>
    <row r="470" customFormat="false" ht="15" hidden="false" customHeight="true" outlineLevel="0" collapsed="false">
      <c r="A470" s="1" t="s">
        <v>1546</v>
      </c>
      <c r="B470" s="1" t="s">
        <v>5523</v>
      </c>
      <c r="C470" s="1" t="s">
        <v>5524</v>
      </c>
      <c r="D470" s="1" t="s">
        <v>1547</v>
      </c>
      <c r="E470" s="1" t="s">
        <v>155</v>
      </c>
      <c r="F470" s="1" t="s">
        <v>121</v>
      </c>
      <c r="G470" s="1" t="s">
        <v>59</v>
      </c>
      <c r="H470" s="1" t="s">
        <v>125</v>
      </c>
      <c r="I470" s="1" t="s">
        <v>126</v>
      </c>
      <c r="J470" s="1" t="s">
        <v>46</v>
      </c>
      <c r="K470" s="1" t="s">
        <v>183</v>
      </c>
      <c r="L470" s="1" t="s">
        <v>1548</v>
      </c>
      <c r="M470" s="1" t="s">
        <v>49</v>
      </c>
      <c r="N470" s="1" t="s">
        <v>2822</v>
      </c>
      <c r="O470" s="1" t="s">
        <v>5525</v>
      </c>
      <c r="P470" s="1" t="s">
        <v>66</v>
      </c>
      <c r="Q470" s="1" t="s">
        <v>5526</v>
      </c>
      <c r="R470" s="1" t="s">
        <v>5527</v>
      </c>
      <c r="S470" s="1" t="s">
        <v>5528</v>
      </c>
      <c r="T470" s="1" t="s">
        <v>52</v>
      </c>
      <c r="U470" s="1" t="s">
        <v>53</v>
      </c>
    </row>
    <row r="471" customFormat="false" ht="15" hidden="false" customHeight="true" outlineLevel="0" collapsed="false">
      <c r="A471" s="1" t="s">
        <v>1549</v>
      </c>
      <c r="B471" s="1" t="s">
        <v>5529</v>
      </c>
      <c r="C471" s="1" t="s">
        <v>5229</v>
      </c>
      <c r="D471" s="1" t="s">
        <v>1550</v>
      </c>
      <c r="E471" s="1" t="s">
        <v>115</v>
      </c>
      <c r="F471" s="1" t="s">
        <v>116</v>
      </c>
      <c r="G471" s="1" t="s">
        <v>88</v>
      </c>
      <c r="H471" s="1" t="s">
        <v>221</v>
      </c>
      <c r="I471" s="1" t="s">
        <v>222</v>
      </c>
      <c r="J471" s="1" t="s">
        <v>99</v>
      </c>
      <c r="K471" s="1" t="s">
        <v>105</v>
      </c>
      <c r="L471" s="1" t="s">
        <v>1551</v>
      </c>
      <c r="M471" s="1" t="s">
        <v>72</v>
      </c>
      <c r="N471" s="1" t="s">
        <v>2822</v>
      </c>
      <c r="O471" s="1" t="s">
        <v>5530</v>
      </c>
      <c r="P471" s="1" t="s">
        <v>203</v>
      </c>
      <c r="Q471" s="1" t="s">
        <v>5531</v>
      </c>
      <c r="R471" s="1" t="s">
        <v>5532</v>
      </c>
      <c r="S471" s="1" t="s">
        <v>5533</v>
      </c>
      <c r="T471" s="1" t="s">
        <v>52</v>
      </c>
      <c r="U471" s="1" t="s">
        <v>53</v>
      </c>
    </row>
    <row r="472" customFormat="false" ht="15" hidden="false" customHeight="true" outlineLevel="0" collapsed="false">
      <c r="A472" s="1" t="s">
        <v>1552</v>
      </c>
      <c r="B472" s="1" t="s">
        <v>5534</v>
      </c>
      <c r="C472" s="1" t="s">
        <v>4684</v>
      </c>
      <c r="D472" s="1" t="s">
        <v>1553</v>
      </c>
      <c r="E472" s="1" t="s">
        <v>115</v>
      </c>
      <c r="F472" s="1" t="s">
        <v>41</v>
      </c>
      <c r="G472" s="1" t="s">
        <v>42</v>
      </c>
      <c r="H472" s="1" t="s">
        <v>44</v>
      </c>
      <c r="I472" s="1" t="s">
        <v>45</v>
      </c>
      <c r="J472" s="1" t="s">
        <v>62</v>
      </c>
      <c r="K472" s="1" t="s">
        <v>63</v>
      </c>
      <c r="L472" s="1" t="s">
        <v>1554</v>
      </c>
      <c r="M472" s="1" t="s">
        <v>65</v>
      </c>
      <c r="N472" s="1" t="s">
        <v>2868</v>
      </c>
      <c r="O472" s="1" t="s">
        <v>5535</v>
      </c>
      <c r="P472" s="1" t="s">
        <v>50</v>
      </c>
      <c r="Q472" s="1" t="s">
        <v>5536</v>
      </c>
      <c r="R472" s="1" t="s">
        <v>5537</v>
      </c>
      <c r="S472" s="1" t="s">
        <v>5538</v>
      </c>
      <c r="T472" s="1" t="s">
        <v>52</v>
      </c>
      <c r="U472" s="1" t="s">
        <v>53</v>
      </c>
    </row>
    <row r="473" customFormat="false" ht="15" hidden="false" customHeight="true" outlineLevel="0" collapsed="false">
      <c r="A473" s="1" t="s">
        <v>1555</v>
      </c>
      <c r="B473" s="1" t="s">
        <v>5539</v>
      </c>
      <c r="C473" s="1" t="s">
        <v>5540</v>
      </c>
      <c r="D473" s="1" t="s">
        <v>1556</v>
      </c>
      <c r="E473" s="1" t="s">
        <v>298</v>
      </c>
      <c r="F473" s="1" t="s">
        <v>41</v>
      </c>
      <c r="G473" s="1" t="s">
        <v>78</v>
      </c>
      <c r="H473" s="1" t="s">
        <v>79</v>
      </c>
      <c r="I473" s="1" t="s">
        <v>80</v>
      </c>
      <c r="J473" s="1" t="s">
        <v>46</v>
      </c>
      <c r="K473" s="1" t="s">
        <v>183</v>
      </c>
      <c r="L473" s="1" t="s">
        <v>1557</v>
      </c>
      <c r="M473" s="1" t="s">
        <v>83</v>
      </c>
      <c r="N473" s="1" t="s">
        <v>2822</v>
      </c>
      <c r="O473" s="1" t="s">
        <v>5541</v>
      </c>
      <c r="P473" s="1" t="s">
        <v>84</v>
      </c>
      <c r="Q473" s="1" t="s">
        <v>5542</v>
      </c>
      <c r="R473" s="1" t="s">
        <v>5543</v>
      </c>
      <c r="S473" s="1" t="s">
        <v>5544</v>
      </c>
      <c r="T473" s="1" t="s">
        <v>52</v>
      </c>
      <c r="U473" s="1" t="s">
        <v>53</v>
      </c>
    </row>
    <row r="474" customFormat="false" ht="15" hidden="false" customHeight="true" outlineLevel="0" collapsed="false">
      <c r="A474" s="1" t="s">
        <v>1558</v>
      </c>
      <c r="B474" s="1" t="s">
        <v>5545</v>
      </c>
      <c r="C474" s="1" t="s">
        <v>4579</v>
      </c>
      <c r="D474" s="1" t="s">
        <v>1559</v>
      </c>
      <c r="E474" s="1" t="s">
        <v>168</v>
      </c>
      <c r="F474" s="1" t="s">
        <v>116</v>
      </c>
      <c r="G474" s="1" t="s">
        <v>59</v>
      </c>
      <c r="H474" s="1" t="s">
        <v>60</v>
      </c>
      <c r="I474" s="1" t="s">
        <v>61</v>
      </c>
      <c r="J474" s="1" t="s">
        <v>46</v>
      </c>
      <c r="K474" s="1" t="s">
        <v>151</v>
      </c>
      <c r="L474" s="1" t="s">
        <v>1560</v>
      </c>
      <c r="M474" s="1" t="s">
        <v>83</v>
      </c>
      <c r="N474" s="1" t="s">
        <v>2906</v>
      </c>
      <c r="O474" s="1" t="s">
        <v>5546</v>
      </c>
      <c r="P474" s="1" t="s">
        <v>66</v>
      </c>
      <c r="Q474" s="1" t="s">
        <v>5547</v>
      </c>
      <c r="R474" s="1" t="s">
        <v>5548</v>
      </c>
      <c r="S474" s="1" t="s">
        <v>5549</v>
      </c>
      <c r="T474" s="1" t="s">
        <v>52</v>
      </c>
      <c r="U474" s="1" t="s">
        <v>53</v>
      </c>
    </row>
    <row r="475" customFormat="false" ht="15" hidden="false" customHeight="true" outlineLevel="0" collapsed="false">
      <c r="A475" s="1" t="s">
        <v>1561</v>
      </c>
      <c r="B475" s="1" t="s">
        <v>5550</v>
      </c>
      <c r="C475" s="1" t="s">
        <v>3337</v>
      </c>
      <c r="D475" s="1" t="s">
        <v>1562</v>
      </c>
      <c r="E475" s="1" t="s">
        <v>141</v>
      </c>
      <c r="F475" s="1" t="s">
        <v>41</v>
      </c>
      <c r="G475" s="1" t="s">
        <v>88</v>
      </c>
      <c r="H475" s="1" t="s">
        <v>221</v>
      </c>
      <c r="I475" s="1" t="s">
        <v>222</v>
      </c>
      <c r="J475" s="1" t="s">
        <v>99</v>
      </c>
      <c r="K475" s="1" t="s">
        <v>105</v>
      </c>
      <c r="L475" s="1" t="s">
        <v>1563</v>
      </c>
      <c r="M475" s="1" t="s">
        <v>83</v>
      </c>
      <c r="N475" s="1" t="s">
        <v>2815</v>
      </c>
      <c r="O475" s="1" t="s">
        <v>5551</v>
      </c>
      <c r="P475" s="1" t="s">
        <v>50</v>
      </c>
      <c r="Q475" s="1" t="s">
        <v>5552</v>
      </c>
      <c r="R475" s="1" t="s">
        <v>5553</v>
      </c>
      <c r="S475" s="1" t="s">
        <v>5554</v>
      </c>
      <c r="T475" s="1" t="s">
        <v>52</v>
      </c>
      <c r="U475" s="1" t="s">
        <v>53</v>
      </c>
    </row>
    <row r="476" customFormat="false" ht="15" hidden="false" customHeight="true" outlineLevel="0" collapsed="false">
      <c r="A476" s="1" t="s">
        <v>1564</v>
      </c>
      <c r="B476" s="1" t="s">
        <v>4249</v>
      </c>
      <c r="C476" s="1" t="s">
        <v>5555</v>
      </c>
      <c r="D476" s="1" t="s">
        <v>1565</v>
      </c>
      <c r="E476" s="1" t="s">
        <v>192</v>
      </c>
      <c r="F476" s="1" t="s">
        <v>116</v>
      </c>
      <c r="G476" s="1" t="s">
        <v>42</v>
      </c>
      <c r="H476" s="1" t="s">
        <v>149</v>
      </c>
      <c r="I476" s="1" t="s">
        <v>150</v>
      </c>
      <c r="J476" s="1" t="s">
        <v>62</v>
      </c>
      <c r="K476" s="1" t="s">
        <v>81</v>
      </c>
      <c r="L476" s="1" t="s">
        <v>1566</v>
      </c>
      <c r="M476" s="1" t="s">
        <v>83</v>
      </c>
      <c r="N476" s="1" t="s">
        <v>2822</v>
      </c>
      <c r="O476" s="1" t="s">
        <v>5556</v>
      </c>
      <c r="P476" s="1" t="s">
        <v>66</v>
      </c>
      <c r="Q476" s="1" t="s">
        <v>5557</v>
      </c>
      <c r="R476" s="1" t="s">
        <v>5558</v>
      </c>
      <c r="S476" s="1" t="s">
        <v>5559</v>
      </c>
      <c r="T476" s="1" t="s">
        <v>52</v>
      </c>
      <c r="U476" s="1" t="s">
        <v>53</v>
      </c>
    </row>
    <row r="477" customFormat="false" ht="15" hidden="false" customHeight="true" outlineLevel="0" collapsed="false">
      <c r="A477" s="1" t="s">
        <v>1567</v>
      </c>
      <c r="B477" s="1" t="s">
        <v>5560</v>
      </c>
      <c r="C477" s="1" t="s">
        <v>5561</v>
      </c>
      <c r="D477" s="1" t="s">
        <v>1568</v>
      </c>
      <c r="E477" s="1" t="s">
        <v>96</v>
      </c>
      <c r="F477" s="1" t="s">
        <v>41</v>
      </c>
      <c r="G477" s="1" t="s">
        <v>59</v>
      </c>
      <c r="H477" s="1" t="s">
        <v>125</v>
      </c>
      <c r="I477" s="1" t="s">
        <v>126</v>
      </c>
      <c r="J477" s="1" t="s">
        <v>62</v>
      </c>
      <c r="K477" s="1" t="s">
        <v>91</v>
      </c>
      <c r="L477" s="1" t="s">
        <v>1569</v>
      </c>
      <c r="M477" s="1" t="s">
        <v>65</v>
      </c>
      <c r="N477" s="1" t="s">
        <v>2861</v>
      </c>
      <c r="O477" s="1" t="s">
        <v>5562</v>
      </c>
      <c r="P477" s="1" t="s">
        <v>84</v>
      </c>
      <c r="Q477" s="1" t="s">
        <v>5563</v>
      </c>
      <c r="R477" s="1" t="s">
        <v>5564</v>
      </c>
      <c r="S477" s="1" t="s">
        <v>5565</v>
      </c>
      <c r="T477" s="1" t="s">
        <v>138</v>
      </c>
      <c r="U477" s="1" t="s">
        <v>130</v>
      </c>
    </row>
    <row r="478" customFormat="false" ht="15" hidden="false" customHeight="true" outlineLevel="0" collapsed="false">
      <c r="A478" s="1" t="s">
        <v>1570</v>
      </c>
      <c r="B478" s="1" t="s">
        <v>5566</v>
      </c>
      <c r="C478" s="1" t="s">
        <v>5567</v>
      </c>
      <c r="D478" s="1" t="s">
        <v>1571</v>
      </c>
      <c r="E478" s="1" t="s">
        <v>159</v>
      </c>
      <c r="F478" s="1" t="s">
        <v>58</v>
      </c>
      <c r="G478" s="1" t="s">
        <v>42</v>
      </c>
      <c r="H478" s="1" t="s">
        <v>44</v>
      </c>
      <c r="I478" s="1" t="s">
        <v>45</v>
      </c>
      <c r="J478" s="1" t="s">
        <v>46</v>
      </c>
      <c r="K478" s="1" t="s">
        <v>151</v>
      </c>
      <c r="L478" s="1" t="s">
        <v>1572</v>
      </c>
      <c r="M478" s="1" t="s">
        <v>72</v>
      </c>
      <c r="N478" s="1" t="s">
        <v>2822</v>
      </c>
      <c r="O478" s="1" t="s">
        <v>5568</v>
      </c>
      <c r="P478" s="1" t="s">
        <v>203</v>
      </c>
      <c r="Q478" s="1" t="s">
        <v>5569</v>
      </c>
      <c r="R478" s="1" t="s">
        <v>5570</v>
      </c>
      <c r="S478" s="1" t="s">
        <v>5571</v>
      </c>
      <c r="T478" s="1" t="s">
        <v>52</v>
      </c>
      <c r="U478" s="1" t="s">
        <v>53</v>
      </c>
    </row>
    <row r="479" customFormat="false" ht="15" hidden="false" customHeight="true" outlineLevel="0" collapsed="false">
      <c r="A479" s="1" t="s">
        <v>1573</v>
      </c>
      <c r="B479" s="1" t="s">
        <v>5572</v>
      </c>
      <c r="C479" s="1" t="s">
        <v>5573</v>
      </c>
      <c r="D479" s="1" t="s">
        <v>1574</v>
      </c>
      <c r="E479" s="1" t="s">
        <v>96</v>
      </c>
      <c r="F479" s="1" t="s">
        <v>116</v>
      </c>
      <c r="G479" s="1" t="s">
        <v>88</v>
      </c>
      <c r="H479" s="1" t="s">
        <v>211</v>
      </c>
      <c r="I479" s="1" t="s">
        <v>212</v>
      </c>
      <c r="J479" s="1" t="s">
        <v>62</v>
      </c>
      <c r="K479" s="1" t="s">
        <v>91</v>
      </c>
      <c r="L479" s="1" t="s">
        <v>1575</v>
      </c>
      <c r="M479" s="1" t="s">
        <v>83</v>
      </c>
      <c r="N479" s="1" t="s">
        <v>2815</v>
      </c>
      <c r="O479" s="1" t="s">
        <v>5574</v>
      </c>
      <c r="P479" s="1" t="s">
        <v>203</v>
      </c>
      <c r="Q479" s="1" t="s">
        <v>5575</v>
      </c>
      <c r="R479" s="1" t="s">
        <v>5576</v>
      </c>
      <c r="S479" s="1" t="s">
        <v>5577</v>
      </c>
      <c r="T479" s="1" t="s">
        <v>52</v>
      </c>
      <c r="U479" s="1" t="s">
        <v>93</v>
      </c>
    </row>
    <row r="480" customFormat="false" ht="15" hidden="false" customHeight="true" outlineLevel="0" collapsed="false">
      <c r="A480" s="1" t="s">
        <v>1576</v>
      </c>
      <c r="B480" s="1" t="s">
        <v>5578</v>
      </c>
      <c r="C480" s="1" t="s">
        <v>5579</v>
      </c>
      <c r="D480" s="1" t="s">
        <v>1577</v>
      </c>
      <c r="E480" s="1" t="s">
        <v>57</v>
      </c>
      <c r="F480" s="1" t="s">
        <v>121</v>
      </c>
      <c r="H480" s="1" t="s">
        <v>163</v>
      </c>
      <c r="I480" s="1" t="s">
        <v>164</v>
      </c>
      <c r="J480" s="1" t="s">
        <v>99</v>
      </c>
      <c r="K480" s="1" t="s">
        <v>308</v>
      </c>
      <c r="L480" s="1" t="s">
        <v>1578</v>
      </c>
      <c r="M480" s="1" t="s">
        <v>65</v>
      </c>
      <c r="N480" s="1" t="s">
        <v>2906</v>
      </c>
      <c r="O480" s="1" t="s">
        <v>5580</v>
      </c>
      <c r="P480" s="1" t="s">
        <v>203</v>
      </c>
      <c r="Q480" s="1" t="s">
        <v>5581</v>
      </c>
      <c r="R480" s="1" t="s">
        <v>5582</v>
      </c>
      <c r="S480" s="1" t="s">
        <v>5583</v>
      </c>
      <c r="T480" s="1" t="s">
        <v>129</v>
      </c>
      <c r="U480" s="1" t="s">
        <v>130</v>
      </c>
    </row>
    <row r="481" customFormat="false" ht="15" hidden="false" customHeight="true" outlineLevel="0" collapsed="false">
      <c r="A481" s="1" t="s">
        <v>1579</v>
      </c>
      <c r="B481" s="1" t="s">
        <v>5584</v>
      </c>
      <c r="C481" s="1" t="s">
        <v>5274</v>
      </c>
      <c r="D481" s="1" t="s">
        <v>1580</v>
      </c>
      <c r="E481" s="1" t="s">
        <v>77</v>
      </c>
      <c r="F481" s="1" t="s">
        <v>116</v>
      </c>
      <c r="G481" s="1" t="s">
        <v>59</v>
      </c>
      <c r="H481" s="1" t="s">
        <v>60</v>
      </c>
      <c r="I481" s="1" t="s">
        <v>61</v>
      </c>
      <c r="J481" s="1" t="s">
        <v>62</v>
      </c>
      <c r="K481" s="1" t="s">
        <v>91</v>
      </c>
      <c r="L481" s="1" t="s">
        <v>1581</v>
      </c>
      <c r="M481" s="1" t="s">
        <v>49</v>
      </c>
      <c r="N481" s="1" t="s">
        <v>2836</v>
      </c>
      <c r="O481" s="1" t="s">
        <v>5585</v>
      </c>
      <c r="Q481" s="1" t="s">
        <v>5586</v>
      </c>
      <c r="R481" s="1" t="s">
        <v>5587</v>
      </c>
      <c r="S481" s="1" t="s">
        <v>5588</v>
      </c>
      <c r="T481" s="1" t="s">
        <v>52</v>
      </c>
      <c r="U481" s="1" t="s">
        <v>53</v>
      </c>
    </row>
    <row r="482" customFormat="false" ht="15" hidden="false" customHeight="true" outlineLevel="0" collapsed="false">
      <c r="A482" s="1" t="s">
        <v>1582</v>
      </c>
      <c r="B482" s="1" t="s">
        <v>3266</v>
      </c>
      <c r="C482" s="1" t="s">
        <v>5523</v>
      </c>
      <c r="D482" s="1" t="s">
        <v>1583</v>
      </c>
      <c r="E482" s="1" t="s">
        <v>104</v>
      </c>
      <c r="F482" s="1" t="s">
        <v>58</v>
      </c>
      <c r="G482" s="1" t="s">
        <v>78</v>
      </c>
      <c r="H482" s="1" t="s">
        <v>281</v>
      </c>
      <c r="I482" s="1" t="s">
        <v>282</v>
      </c>
      <c r="J482" s="1" t="s">
        <v>46</v>
      </c>
      <c r="K482" s="1" t="s">
        <v>151</v>
      </c>
      <c r="L482" s="1" t="s">
        <v>1584</v>
      </c>
      <c r="N482" s="1" t="s">
        <v>2829</v>
      </c>
      <c r="O482" s="1" t="s">
        <v>5589</v>
      </c>
      <c r="P482" s="1" t="s">
        <v>66</v>
      </c>
      <c r="Q482" s="1" t="s">
        <v>5590</v>
      </c>
      <c r="R482" s="1" t="s">
        <v>5591</v>
      </c>
      <c r="S482" s="1" t="s">
        <v>5592</v>
      </c>
      <c r="T482" s="1" t="s">
        <v>52</v>
      </c>
      <c r="U482" s="1" t="s">
        <v>53</v>
      </c>
    </row>
    <row r="483" customFormat="false" ht="15" hidden="false" customHeight="true" outlineLevel="0" collapsed="false">
      <c r="A483" s="1" t="s">
        <v>1585</v>
      </c>
      <c r="B483" s="1" t="s">
        <v>5593</v>
      </c>
      <c r="C483" s="1" t="s">
        <v>5594</v>
      </c>
      <c r="D483" s="1" t="s">
        <v>1586</v>
      </c>
      <c r="E483" s="1" t="s">
        <v>69</v>
      </c>
      <c r="F483" s="1" t="s">
        <v>41</v>
      </c>
      <c r="G483" s="1" t="s">
        <v>42</v>
      </c>
      <c r="H483" s="1" t="s">
        <v>163</v>
      </c>
      <c r="I483" s="1" t="s">
        <v>164</v>
      </c>
      <c r="J483" s="1" t="s">
        <v>99</v>
      </c>
      <c r="K483" s="1" t="s">
        <v>308</v>
      </c>
      <c r="L483" s="1" t="s">
        <v>1587</v>
      </c>
      <c r="M483" s="1" t="s">
        <v>65</v>
      </c>
      <c r="N483" s="1" t="s">
        <v>2937</v>
      </c>
      <c r="O483" s="1" t="s">
        <v>5595</v>
      </c>
      <c r="P483" s="1" t="s">
        <v>806</v>
      </c>
      <c r="Q483" s="1" t="s">
        <v>5596</v>
      </c>
      <c r="R483" s="1" t="s">
        <v>5597</v>
      </c>
      <c r="S483" s="1" t="s">
        <v>5598</v>
      </c>
      <c r="T483" s="1" t="s">
        <v>52</v>
      </c>
      <c r="U483" s="1" t="s">
        <v>53</v>
      </c>
    </row>
    <row r="484" customFormat="false" ht="15" hidden="false" customHeight="true" outlineLevel="0" collapsed="false">
      <c r="A484" s="1" t="s">
        <v>1588</v>
      </c>
      <c r="B484" s="1" t="s">
        <v>3129</v>
      </c>
      <c r="C484" s="1" t="s">
        <v>3129</v>
      </c>
      <c r="D484" s="1" t="s">
        <v>1589</v>
      </c>
      <c r="E484" s="1" t="s">
        <v>141</v>
      </c>
      <c r="F484" s="1" t="s">
        <v>41</v>
      </c>
      <c r="G484" s="1" t="s">
        <v>78</v>
      </c>
      <c r="H484" s="1" t="s">
        <v>206</v>
      </c>
      <c r="I484" s="1" t="s">
        <v>207</v>
      </c>
      <c r="J484" s="1" t="s">
        <v>99</v>
      </c>
      <c r="K484" s="1" t="s">
        <v>100</v>
      </c>
      <c r="L484" s="1" t="s">
        <v>1590</v>
      </c>
      <c r="M484" s="1" t="s">
        <v>49</v>
      </c>
      <c r="N484" s="1" t="s">
        <v>2822</v>
      </c>
      <c r="O484" s="1" t="s">
        <v>5599</v>
      </c>
      <c r="P484" s="1" t="s">
        <v>84</v>
      </c>
      <c r="Q484" s="1" t="s">
        <v>5600</v>
      </c>
      <c r="R484" s="1" t="s">
        <v>5601</v>
      </c>
      <c r="S484" s="1" t="s">
        <v>5602</v>
      </c>
      <c r="T484" s="1" t="s">
        <v>52</v>
      </c>
      <c r="U484" s="1" t="s">
        <v>53</v>
      </c>
    </row>
    <row r="485" customFormat="false" ht="15" hidden="false" customHeight="true" outlineLevel="0" collapsed="false">
      <c r="A485" s="1" t="s">
        <v>1591</v>
      </c>
      <c r="B485" s="1" t="s">
        <v>4468</v>
      </c>
      <c r="C485" s="1" t="s">
        <v>5603</v>
      </c>
      <c r="D485" s="1" t="s">
        <v>1592</v>
      </c>
      <c r="E485" s="1" t="s">
        <v>57</v>
      </c>
      <c r="F485" s="1" t="s">
        <v>116</v>
      </c>
      <c r="G485" s="1" t="s">
        <v>59</v>
      </c>
      <c r="H485" s="1" t="s">
        <v>174</v>
      </c>
      <c r="I485" s="1" t="s">
        <v>175</v>
      </c>
      <c r="J485" s="1" t="s">
        <v>99</v>
      </c>
      <c r="K485" s="1" t="s">
        <v>105</v>
      </c>
      <c r="L485" s="1" t="s">
        <v>1593</v>
      </c>
      <c r="M485" s="1" t="s">
        <v>83</v>
      </c>
      <c r="N485" s="1" t="s">
        <v>2836</v>
      </c>
      <c r="O485" s="1" t="s">
        <v>5604</v>
      </c>
      <c r="P485" s="1" t="s">
        <v>107</v>
      </c>
      <c r="Q485" s="1" t="s">
        <v>5605</v>
      </c>
      <c r="R485" s="1" t="s">
        <v>5606</v>
      </c>
      <c r="S485" s="1" t="s">
        <v>5607</v>
      </c>
      <c r="T485" s="1" t="s">
        <v>52</v>
      </c>
      <c r="U485" s="1" t="s">
        <v>53</v>
      </c>
    </row>
    <row r="486" customFormat="false" ht="15" hidden="false" customHeight="true" outlineLevel="0" collapsed="false">
      <c r="A486" s="1" t="s">
        <v>1594</v>
      </c>
      <c r="B486" s="1" t="s">
        <v>5608</v>
      </c>
      <c r="C486" s="1" t="s">
        <v>5609</v>
      </c>
      <c r="D486" s="1" t="s">
        <v>1595</v>
      </c>
      <c r="E486" s="1" t="s">
        <v>57</v>
      </c>
      <c r="F486" s="1" t="s">
        <v>58</v>
      </c>
      <c r="G486" s="1" t="s">
        <v>78</v>
      </c>
      <c r="H486" s="1" t="s">
        <v>110</v>
      </c>
      <c r="I486" s="1" t="s">
        <v>111</v>
      </c>
      <c r="J486" s="1" t="s">
        <v>62</v>
      </c>
      <c r="K486" s="1" t="s">
        <v>81</v>
      </c>
      <c r="L486" s="1" t="s">
        <v>1596</v>
      </c>
      <c r="M486" s="1" t="s">
        <v>72</v>
      </c>
      <c r="N486" s="1" t="s">
        <v>2815</v>
      </c>
      <c r="O486" s="1" t="s">
        <v>5610</v>
      </c>
      <c r="P486" s="1" t="s">
        <v>84</v>
      </c>
      <c r="Q486" s="1" t="s">
        <v>5611</v>
      </c>
      <c r="R486" s="1" t="s">
        <v>5612</v>
      </c>
      <c r="S486" s="1" t="s">
        <v>5613</v>
      </c>
      <c r="T486" s="1" t="s">
        <v>52</v>
      </c>
      <c r="U486" s="1" t="s">
        <v>53</v>
      </c>
    </row>
    <row r="487" customFormat="false" ht="15" hidden="false" customHeight="true" outlineLevel="0" collapsed="false">
      <c r="A487" s="1" t="s">
        <v>1597</v>
      </c>
      <c r="B487" s="1" t="s">
        <v>4977</v>
      </c>
      <c r="C487" s="1" t="s">
        <v>3055</v>
      </c>
      <c r="D487" s="1" t="s">
        <v>1598</v>
      </c>
      <c r="E487" s="1" t="s">
        <v>145</v>
      </c>
      <c r="F487" s="1" t="s">
        <v>116</v>
      </c>
      <c r="G487" s="1" t="s">
        <v>88</v>
      </c>
      <c r="H487" s="1" t="s">
        <v>221</v>
      </c>
      <c r="I487" s="1" t="s">
        <v>222</v>
      </c>
      <c r="J487" s="1" t="s">
        <v>62</v>
      </c>
      <c r="K487" s="1" t="s">
        <v>188</v>
      </c>
      <c r="L487" s="1" t="s">
        <v>1599</v>
      </c>
      <c r="M487" s="1" t="s">
        <v>83</v>
      </c>
      <c r="N487" s="1" t="s">
        <v>2937</v>
      </c>
      <c r="O487" s="1" t="s">
        <v>5614</v>
      </c>
      <c r="P487" s="1" t="s">
        <v>84</v>
      </c>
      <c r="Q487" s="1" t="s">
        <v>5615</v>
      </c>
      <c r="R487" s="1" t="s">
        <v>5616</v>
      </c>
      <c r="S487" s="1" t="s">
        <v>5617</v>
      </c>
      <c r="T487" s="1" t="s">
        <v>52</v>
      </c>
      <c r="U487" s="1" t="s">
        <v>53</v>
      </c>
    </row>
    <row r="488" customFormat="false" ht="15" hidden="false" customHeight="true" outlineLevel="0" collapsed="false">
      <c r="A488" s="1" t="s">
        <v>1600</v>
      </c>
      <c r="B488" s="1" t="s">
        <v>5618</v>
      </c>
      <c r="C488" s="1" t="s">
        <v>5619</v>
      </c>
      <c r="D488" s="1" t="s">
        <v>1601</v>
      </c>
      <c r="E488" s="1" t="s">
        <v>145</v>
      </c>
      <c r="F488" s="1" t="s">
        <v>116</v>
      </c>
      <c r="G488" s="1" t="s">
        <v>88</v>
      </c>
      <c r="H488" s="1" t="s">
        <v>221</v>
      </c>
      <c r="I488" s="1" t="s">
        <v>222</v>
      </c>
      <c r="J488" s="1" t="s">
        <v>62</v>
      </c>
      <c r="K488" s="1" t="s">
        <v>63</v>
      </c>
      <c r="L488" s="1" t="s">
        <v>1602</v>
      </c>
      <c r="M488" s="1" t="s">
        <v>83</v>
      </c>
      <c r="N488" s="1" t="s">
        <v>2822</v>
      </c>
      <c r="O488" s="1" t="s">
        <v>5620</v>
      </c>
      <c r="P488" s="1" t="s">
        <v>50</v>
      </c>
      <c r="Q488" s="1" t="s">
        <v>5621</v>
      </c>
      <c r="R488" s="1" t="s">
        <v>5622</v>
      </c>
      <c r="S488" s="1" t="s">
        <v>5623</v>
      </c>
      <c r="T488" s="1" t="s">
        <v>52</v>
      </c>
      <c r="U488" s="1" t="s">
        <v>53</v>
      </c>
    </row>
    <row r="489" customFormat="false" ht="15" hidden="false" customHeight="true" outlineLevel="0" collapsed="false">
      <c r="A489" s="1" t="s">
        <v>1603</v>
      </c>
      <c r="B489" s="1" t="s">
        <v>5134</v>
      </c>
      <c r="C489" s="1" t="s">
        <v>5624</v>
      </c>
      <c r="D489" s="1" t="s">
        <v>1604</v>
      </c>
      <c r="E489" s="1" t="s">
        <v>145</v>
      </c>
      <c r="F489" s="1" t="s">
        <v>116</v>
      </c>
      <c r="G489" s="1" t="s">
        <v>78</v>
      </c>
      <c r="H489" s="1" t="s">
        <v>79</v>
      </c>
      <c r="I489" s="1" t="s">
        <v>80</v>
      </c>
      <c r="J489" s="1" t="s">
        <v>62</v>
      </c>
      <c r="K489" s="1" t="s">
        <v>81</v>
      </c>
      <c r="L489" s="1" t="s">
        <v>1605</v>
      </c>
      <c r="M489" s="1" t="s">
        <v>83</v>
      </c>
      <c r="N489" s="1" t="s">
        <v>2829</v>
      </c>
      <c r="O489" s="1" t="s">
        <v>5625</v>
      </c>
      <c r="P489" s="1" t="s">
        <v>66</v>
      </c>
      <c r="Q489" s="1" t="s">
        <v>5626</v>
      </c>
      <c r="R489" s="1" t="s">
        <v>5627</v>
      </c>
      <c r="S489" s="1" t="s">
        <v>5628</v>
      </c>
      <c r="T489" s="1" t="s">
        <v>129</v>
      </c>
      <c r="U489" s="1" t="s">
        <v>130</v>
      </c>
    </row>
    <row r="490" customFormat="false" ht="15" hidden="false" customHeight="true" outlineLevel="0" collapsed="false">
      <c r="A490" s="1" t="s">
        <v>1606</v>
      </c>
      <c r="B490" s="1" t="s">
        <v>5629</v>
      </c>
      <c r="C490" s="1" t="s">
        <v>5630</v>
      </c>
      <c r="D490" s="1" t="s">
        <v>1607</v>
      </c>
      <c r="E490" s="1" t="s">
        <v>115</v>
      </c>
      <c r="F490" s="1" t="s">
        <v>58</v>
      </c>
      <c r="G490" s="1" t="s">
        <v>42</v>
      </c>
      <c r="H490" s="1" t="s">
        <v>44</v>
      </c>
      <c r="I490" s="1" t="s">
        <v>45</v>
      </c>
      <c r="J490" s="1" t="s">
        <v>62</v>
      </c>
      <c r="K490" s="1" t="s">
        <v>63</v>
      </c>
      <c r="L490" s="1" t="s">
        <v>1608</v>
      </c>
      <c r="M490" s="1" t="s">
        <v>65</v>
      </c>
      <c r="N490" s="1" t="s">
        <v>2906</v>
      </c>
      <c r="O490" s="1" t="s">
        <v>5631</v>
      </c>
      <c r="P490" s="1" t="s">
        <v>50</v>
      </c>
      <c r="Q490" s="1" t="s">
        <v>5632</v>
      </c>
      <c r="R490" s="1" t="s">
        <v>5633</v>
      </c>
      <c r="S490" s="1" t="s">
        <v>5634</v>
      </c>
      <c r="T490" s="1" t="s">
        <v>52</v>
      </c>
      <c r="U490" s="1" t="s">
        <v>53</v>
      </c>
    </row>
    <row r="491" customFormat="false" ht="15" hidden="false" customHeight="true" outlineLevel="0" collapsed="false">
      <c r="A491" s="1" t="s">
        <v>1609</v>
      </c>
      <c r="B491" s="1" t="s">
        <v>3272</v>
      </c>
      <c r="C491" s="1" t="s">
        <v>5635</v>
      </c>
      <c r="D491" s="1" t="s">
        <v>1610</v>
      </c>
      <c r="E491" s="1" t="s">
        <v>77</v>
      </c>
      <c r="F491" s="1" t="s">
        <v>121</v>
      </c>
      <c r="G491" s="1" t="s">
        <v>59</v>
      </c>
      <c r="H491" s="1" t="s">
        <v>125</v>
      </c>
      <c r="I491" s="1" t="s">
        <v>126</v>
      </c>
      <c r="J491" s="1" t="s">
        <v>99</v>
      </c>
      <c r="K491" s="1" t="s">
        <v>100</v>
      </c>
      <c r="L491" s="1" t="s">
        <v>1611</v>
      </c>
      <c r="M491" s="1" t="s">
        <v>49</v>
      </c>
      <c r="N491" s="1" t="s">
        <v>2836</v>
      </c>
      <c r="O491" s="1" t="s">
        <v>5636</v>
      </c>
      <c r="P491" s="1" t="s">
        <v>50</v>
      </c>
      <c r="Q491" s="1" t="s">
        <v>5637</v>
      </c>
      <c r="R491" s="1" t="s">
        <v>5638</v>
      </c>
      <c r="S491" s="1" t="s">
        <v>5639</v>
      </c>
      <c r="T491" s="1" t="s">
        <v>52</v>
      </c>
      <c r="U491" s="1" t="s">
        <v>53</v>
      </c>
    </row>
    <row r="492" customFormat="false" ht="15" hidden="false" customHeight="true" outlineLevel="0" collapsed="false">
      <c r="A492" s="1" t="s">
        <v>1612</v>
      </c>
      <c r="B492" s="1" t="s">
        <v>5640</v>
      </c>
      <c r="C492" s="1" t="s">
        <v>5037</v>
      </c>
      <c r="D492" s="1" t="s">
        <v>1613</v>
      </c>
      <c r="E492" s="1" t="s">
        <v>115</v>
      </c>
      <c r="F492" s="1" t="s">
        <v>41</v>
      </c>
      <c r="G492" s="1" t="s">
        <v>88</v>
      </c>
      <c r="H492" s="1" t="s">
        <v>44</v>
      </c>
      <c r="I492" s="1" t="s">
        <v>136</v>
      </c>
      <c r="J492" s="1" t="s">
        <v>46</v>
      </c>
      <c r="K492" s="1" t="s">
        <v>183</v>
      </c>
      <c r="L492" s="1" t="s">
        <v>1614</v>
      </c>
      <c r="M492" s="1" t="s">
        <v>72</v>
      </c>
      <c r="N492" s="1" t="s">
        <v>2906</v>
      </c>
      <c r="O492" s="1" t="s">
        <v>5641</v>
      </c>
      <c r="P492" s="1" t="s">
        <v>107</v>
      </c>
      <c r="Q492" s="1" t="s">
        <v>5642</v>
      </c>
      <c r="R492" s="1" t="s">
        <v>5643</v>
      </c>
      <c r="S492" s="1" t="s">
        <v>5644</v>
      </c>
      <c r="T492" s="1" t="s">
        <v>52</v>
      </c>
      <c r="U492" s="1" t="s">
        <v>53</v>
      </c>
    </row>
    <row r="493" customFormat="false" ht="15" hidden="false" customHeight="true" outlineLevel="0" collapsed="false">
      <c r="A493" s="1" t="s">
        <v>1615</v>
      </c>
      <c r="B493" s="1" t="s">
        <v>2874</v>
      </c>
      <c r="C493" s="1" t="s">
        <v>5645</v>
      </c>
      <c r="D493" s="1" t="s">
        <v>1616</v>
      </c>
      <c r="E493" s="1" t="s">
        <v>57</v>
      </c>
      <c r="F493" s="1" t="s">
        <v>116</v>
      </c>
      <c r="G493" s="1" t="s">
        <v>78</v>
      </c>
      <c r="H493" s="1" t="s">
        <v>216</v>
      </c>
      <c r="I493" s="1" t="s">
        <v>217</v>
      </c>
      <c r="J493" s="1" t="s">
        <v>99</v>
      </c>
      <c r="K493" s="1" t="s">
        <v>100</v>
      </c>
      <c r="L493" s="1" t="s">
        <v>1617</v>
      </c>
      <c r="M493" s="1" t="s">
        <v>83</v>
      </c>
      <c r="N493" s="1" t="s">
        <v>2937</v>
      </c>
      <c r="O493" s="1" t="s">
        <v>5646</v>
      </c>
      <c r="P493" s="1" t="s">
        <v>50</v>
      </c>
      <c r="Q493" s="1" t="s">
        <v>5647</v>
      </c>
      <c r="R493" s="1" t="s">
        <v>5648</v>
      </c>
      <c r="S493" s="1" t="s">
        <v>5649</v>
      </c>
      <c r="T493" s="1" t="s">
        <v>52</v>
      </c>
      <c r="U493" s="1" t="s">
        <v>53</v>
      </c>
    </row>
    <row r="494" customFormat="false" ht="15" hidden="false" customHeight="true" outlineLevel="0" collapsed="false">
      <c r="A494" s="1" t="s">
        <v>1618</v>
      </c>
      <c r="B494" s="1" t="s">
        <v>5650</v>
      </c>
      <c r="C494" s="1" t="s">
        <v>5651</v>
      </c>
      <c r="D494" s="1" t="s">
        <v>1619</v>
      </c>
      <c r="E494" s="1" t="s">
        <v>87</v>
      </c>
      <c r="F494" s="1" t="s">
        <v>116</v>
      </c>
      <c r="G494" s="1" t="s">
        <v>78</v>
      </c>
      <c r="H494" s="1" t="s">
        <v>110</v>
      </c>
      <c r="I494" s="1" t="s">
        <v>111</v>
      </c>
      <c r="J494" s="1" t="s">
        <v>46</v>
      </c>
      <c r="K494" s="1" t="s">
        <v>151</v>
      </c>
      <c r="L494" s="1" t="s">
        <v>1620</v>
      </c>
      <c r="M494" s="1" t="s">
        <v>49</v>
      </c>
      <c r="N494" s="1" t="s">
        <v>2868</v>
      </c>
      <c r="O494" s="1" t="s">
        <v>5652</v>
      </c>
      <c r="P494" s="1" t="s">
        <v>84</v>
      </c>
      <c r="Q494" s="1" t="s">
        <v>5653</v>
      </c>
      <c r="R494" s="1" t="s">
        <v>5654</v>
      </c>
      <c r="S494" s="1" t="s">
        <v>5655</v>
      </c>
      <c r="T494" s="1" t="s">
        <v>52</v>
      </c>
      <c r="U494" s="1" t="s">
        <v>53</v>
      </c>
    </row>
    <row r="495" customFormat="false" ht="15" hidden="false" customHeight="true" outlineLevel="0" collapsed="false">
      <c r="A495" s="1" t="s">
        <v>1621</v>
      </c>
      <c r="B495" s="1" t="s">
        <v>4480</v>
      </c>
      <c r="C495" s="1" t="s">
        <v>5656</v>
      </c>
      <c r="D495" s="1" t="s">
        <v>1622</v>
      </c>
      <c r="E495" s="1" t="s">
        <v>298</v>
      </c>
      <c r="F495" s="1" t="s">
        <v>116</v>
      </c>
      <c r="G495" s="1" t="s">
        <v>59</v>
      </c>
      <c r="H495" s="1" t="s">
        <v>60</v>
      </c>
      <c r="I495" s="1" t="s">
        <v>61</v>
      </c>
      <c r="J495" s="1" t="s">
        <v>46</v>
      </c>
      <c r="K495" s="1" t="s">
        <v>47</v>
      </c>
      <c r="L495" s="1" t="s">
        <v>1623</v>
      </c>
      <c r="M495" s="1" t="s">
        <v>49</v>
      </c>
      <c r="N495" s="1" t="s">
        <v>2906</v>
      </c>
      <c r="O495" s="1" t="s">
        <v>5657</v>
      </c>
      <c r="P495" s="1" t="s">
        <v>128</v>
      </c>
      <c r="Q495" s="1" t="s">
        <v>5658</v>
      </c>
      <c r="R495" s="1" t="s">
        <v>5659</v>
      </c>
      <c r="S495" s="1" t="s">
        <v>5660</v>
      </c>
      <c r="T495" s="1" t="s">
        <v>52</v>
      </c>
      <c r="U495" s="1" t="s">
        <v>5661</v>
      </c>
    </row>
    <row r="496" customFormat="false" ht="15" hidden="false" customHeight="true" outlineLevel="0" collapsed="false">
      <c r="A496" s="1" t="s">
        <v>1624</v>
      </c>
      <c r="B496" s="1" t="s">
        <v>5662</v>
      </c>
      <c r="C496" s="1" t="s">
        <v>5663</v>
      </c>
      <c r="D496" s="1" t="s">
        <v>1625</v>
      </c>
      <c r="E496" s="1" t="s">
        <v>69</v>
      </c>
      <c r="F496" s="1" t="s">
        <v>41</v>
      </c>
      <c r="G496" s="1" t="s">
        <v>88</v>
      </c>
      <c r="H496" s="1" t="s">
        <v>97</v>
      </c>
      <c r="I496" s="1" t="s">
        <v>98</v>
      </c>
      <c r="J496" s="1" t="s">
        <v>99</v>
      </c>
      <c r="K496" s="1" t="s">
        <v>201</v>
      </c>
      <c r="L496" s="1" t="s">
        <v>1626</v>
      </c>
      <c r="M496" s="1" t="s">
        <v>83</v>
      </c>
      <c r="N496" s="1" t="s">
        <v>2822</v>
      </c>
      <c r="O496" s="1" t="s">
        <v>5664</v>
      </c>
      <c r="P496" s="1" t="s">
        <v>1627</v>
      </c>
      <c r="Q496" s="1" t="s">
        <v>5665</v>
      </c>
      <c r="R496" s="1" t="s">
        <v>5666</v>
      </c>
      <c r="S496" s="1" t="s">
        <v>5667</v>
      </c>
      <c r="T496" s="1" t="s">
        <v>185</v>
      </c>
      <c r="U496" s="1" t="s">
        <v>93</v>
      </c>
    </row>
    <row r="497" customFormat="false" ht="15" hidden="false" customHeight="true" outlineLevel="0" collapsed="false">
      <c r="A497" s="1" t="s">
        <v>1628</v>
      </c>
      <c r="B497" s="1" t="s">
        <v>5398</v>
      </c>
      <c r="C497" s="1" t="s">
        <v>5668</v>
      </c>
      <c r="D497" s="1" t="s">
        <v>1629</v>
      </c>
      <c r="E497" s="1" t="s">
        <v>57</v>
      </c>
      <c r="F497" s="1" t="s">
        <v>58</v>
      </c>
      <c r="G497" s="1" t="s">
        <v>59</v>
      </c>
      <c r="H497" s="1" t="s">
        <v>196</v>
      </c>
      <c r="I497" s="1" t="s">
        <v>197</v>
      </c>
      <c r="J497" s="1" t="s">
        <v>99</v>
      </c>
      <c r="K497" s="1" t="s">
        <v>201</v>
      </c>
      <c r="L497" s="1" t="s">
        <v>1630</v>
      </c>
      <c r="M497" s="1" t="s">
        <v>49</v>
      </c>
      <c r="N497" s="1" t="s">
        <v>2937</v>
      </c>
      <c r="O497" s="1" t="s">
        <v>5669</v>
      </c>
      <c r="P497" s="1" t="s">
        <v>128</v>
      </c>
      <c r="Q497" s="1" t="s">
        <v>5670</v>
      </c>
      <c r="R497" s="1" t="s">
        <v>5671</v>
      </c>
      <c r="S497" s="1" t="s">
        <v>5672</v>
      </c>
      <c r="T497" s="1" t="s">
        <v>129</v>
      </c>
      <c r="U497" s="1" t="s">
        <v>130</v>
      </c>
    </row>
    <row r="498" customFormat="false" ht="15" hidden="false" customHeight="true" outlineLevel="0" collapsed="false">
      <c r="A498" s="1" t="s">
        <v>1631</v>
      </c>
      <c r="B498" s="1" t="s">
        <v>5673</v>
      </c>
      <c r="C498" s="1" t="s">
        <v>5674</v>
      </c>
      <c r="D498" s="1" t="s">
        <v>1632</v>
      </c>
      <c r="E498" s="1" t="s">
        <v>298</v>
      </c>
      <c r="F498" s="1" t="s">
        <v>58</v>
      </c>
      <c r="G498" s="1" t="s">
        <v>59</v>
      </c>
      <c r="H498" s="1" t="s">
        <v>262</v>
      </c>
      <c r="I498" s="1" t="s">
        <v>263</v>
      </c>
      <c r="J498" s="1" t="s">
        <v>62</v>
      </c>
      <c r="K498" s="1" t="s">
        <v>91</v>
      </c>
      <c r="L498" s="1" t="s">
        <v>1633</v>
      </c>
      <c r="M498" s="1" t="s">
        <v>49</v>
      </c>
      <c r="N498" s="1" t="s">
        <v>2868</v>
      </c>
      <c r="O498" s="1" t="s">
        <v>5675</v>
      </c>
      <c r="P498" s="1" t="s">
        <v>203</v>
      </c>
      <c r="Q498" s="1" t="s">
        <v>5676</v>
      </c>
      <c r="R498" s="1" t="s">
        <v>5677</v>
      </c>
      <c r="S498" s="1" t="s">
        <v>5678</v>
      </c>
      <c r="T498" s="1" t="s">
        <v>52</v>
      </c>
      <c r="U498" s="1" t="s">
        <v>53</v>
      </c>
    </row>
    <row r="499" customFormat="false" ht="15" hidden="false" customHeight="true" outlineLevel="0" collapsed="false">
      <c r="A499" s="1" t="s">
        <v>1634</v>
      </c>
      <c r="B499" s="1" t="s">
        <v>5679</v>
      </c>
      <c r="C499" s="1" t="s">
        <v>5679</v>
      </c>
      <c r="D499" s="1" t="s">
        <v>1635</v>
      </c>
      <c r="E499" s="1" t="s">
        <v>159</v>
      </c>
      <c r="F499" s="1" t="s">
        <v>58</v>
      </c>
      <c r="G499" s="1" t="s">
        <v>2881</v>
      </c>
      <c r="H499" s="1" t="s">
        <v>163</v>
      </c>
      <c r="I499" s="1" t="s">
        <v>164</v>
      </c>
      <c r="J499" s="1" t="s">
        <v>99</v>
      </c>
      <c r="K499" s="1" t="s">
        <v>100</v>
      </c>
      <c r="L499" s="1" t="s">
        <v>1636</v>
      </c>
      <c r="M499" s="1" t="s">
        <v>49</v>
      </c>
      <c r="N499" s="1" t="s">
        <v>2836</v>
      </c>
      <c r="O499" s="1" t="s">
        <v>5680</v>
      </c>
      <c r="P499" s="1" t="s">
        <v>50</v>
      </c>
      <c r="Q499" s="1" t="s">
        <v>5681</v>
      </c>
      <c r="R499" s="1" t="s">
        <v>5682</v>
      </c>
      <c r="S499" s="1" t="s">
        <v>5683</v>
      </c>
      <c r="T499" s="1" t="s">
        <v>52</v>
      </c>
      <c r="U499" s="1" t="s">
        <v>93</v>
      </c>
    </row>
    <row r="500" customFormat="false" ht="15" hidden="false" customHeight="true" outlineLevel="0" collapsed="false">
      <c r="A500" s="1" t="s">
        <v>1637</v>
      </c>
      <c r="B500" s="1" t="s">
        <v>5684</v>
      </c>
      <c r="C500" s="1" t="s">
        <v>5685</v>
      </c>
      <c r="D500" s="1" t="s">
        <v>1638</v>
      </c>
      <c r="E500" s="1" t="s">
        <v>40</v>
      </c>
      <c r="F500" s="1" t="s">
        <v>41</v>
      </c>
      <c r="G500" s="1" t="s">
        <v>42</v>
      </c>
      <c r="H500" s="1" t="s">
        <v>149</v>
      </c>
      <c r="I500" s="1" t="s">
        <v>150</v>
      </c>
      <c r="J500" s="1" t="s">
        <v>62</v>
      </c>
      <c r="K500" s="1" t="s">
        <v>91</v>
      </c>
      <c r="L500" s="1" t="s">
        <v>1639</v>
      </c>
      <c r="M500" s="1" t="s">
        <v>65</v>
      </c>
      <c r="N500" s="1" t="s">
        <v>2868</v>
      </c>
      <c r="O500" s="1" t="s">
        <v>5686</v>
      </c>
      <c r="P500" s="1" t="s">
        <v>128</v>
      </c>
      <c r="Q500" s="1" t="s">
        <v>5687</v>
      </c>
      <c r="R500" s="1" t="s">
        <v>5688</v>
      </c>
      <c r="S500" s="1" t="s">
        <v>5689</v>
      </c>
      <c r="T500" s="1" t="s">
        <v>129</v>
      </c>
      <c r="U500" s="1" t="s">
        <v>5690</v>
      </c>
    </row>
    <row r="501" customFormat="false" ht="15" hidden="false" customHeight="true" outlineLevel="0" collapsed="false">
      <c r="A501" s="1" t="s">
        <v>1640</v>
      </c>
      <c r="B501" s="1" t="s">
        <v>5691</v>
      </c>
      <c r="C501" s="1" t="s">
        <v>2898</v>
      </c>
      <c r="D501" s="1" t="s">
        <v>1641</v>
      </c>
      <c r="E501" s="1" t="s">
        <v>145</v>
      </c>
      <c r="F501" s="1" t="s">
        <v>121</v>
      </c>
      <c r="G501" s="1" t="s">
        <v>42</v>
      </c>
      <c r="H501" s="1" t="s">
        <v>163</v>
      </c>
      <c r="I501" s="1" t="s">
        <v>164</v>
      </c>
      <c r="J501" s="1" t="s">
        <v>62</v>
      </c>
      <c r="K501" s="1" t="s">
        <v>91</v>
      </c>
      <c r="L501" s="1" t="s">
        <v>1642</v>
      </c>
      <c r="M501" s="1" t="s">
        <v>83</v>
      </c>
      <c r="N501" s="1" t="s">
        <v>2899</v>
      </c>
      <c r="O501" s="1" t="s">
        <v>5692</v>
      </c>
      <c r="Q501" s="1" t="s">
        <v>5693</v>
      </c>
      <c r="R501" s="1" t="s">
        <v>5694</v>
      </c>
      <c r="S501" s="1" t="s">
        <v>5695</v>
      </c>
      <c r="T501" s="1" t="s">
        <v>52</v>
      </c>
      <c r="U501" s="1" t="s">
        <v>93</v>
      </c>
    </row>
    <row r="502" customFormat="false" ht="15" hidden="false" customHeight="true" outlineLevel="0" collapsed="false">
      <c r="A502" s="1" t="s">
        <v>1643</v>
      </c>
      <c r="B502" s="1" t="s">
        <v>4140</v>
      </c>
      <c r="C502" s="1" t="s">
        <v>5696</v>
      </c>
      <c r="D502" s="1" t="s">
        <v>1644</v>
      </c>
      <c r="E502" s="1" t="s">
        <v>159</v>
      </c>
      <c r="F502" s="1" t="s">
        <v>41</v>
      </c>
      <c r="G502" s="1" t="s">
        <v>78</v>
      </c>
      <c r="H502" s="1" t="s">
        <v>216</v>
      </c>
      <c r="I502" s="1" t="s">
        <v>217</v>
      </c>
      <c r="J502" s="1" t="s">
        <v>99</v>
      </c>
      <c r="K502" s="1" t="s">
        <v>201</v>
      </c>
      <c r="L502" s="1" t="s">
        <v>1645</v>
      </c>
      <c r="M502" s="1" t="s">
        <v>65</v>
      </c>
      <c r="N502" s="1" t="s">
        <v>2899</v>
      </c>
      <c r="O502" s="1" t="s">
        <v>5697</v>
      </c>
      <c r="P502" s="1" t="s">
        <v>806</v>
      </c>
      <c r="Q502" s="1" t="s">
        <v>5698</v>
      </c>
      <c r="R502" s="1" t="s">
        <v>5699</v>
      </c>
      <c r="S502" s="1" t="s">
        <v>5700</v>
      </c>
      <c r="T502" s="1" t="s">
        <v>52</v>
      </c>
      <c r="U502" s="1" t="s">
        <v>53</v>
      </c>
    </row>
    <row r="503" customFormat="false" ht="15" hidden="false" customHeight="true" outlineLevel="0" collapsed="false">
      <c r="A503" s="1" t="s">
        <v>1646</v>
      </c>
      <c r="B503" s="1" t="s">
        <v>5701</v>
      </c>
      <c r="C503" s="1" t="s">
        <v>2820</v>
      </c>
      <c r="D503" s="1" t="s">
        <v>847</v>
      </c>
      <c r="E503" s="1" t="s">
        <v>104</v>
      </c>
      <c r="F503" s="1" t="s">
        <v>41</v>
      </c>
      <c r="G503" s="1" t="s">
        <v>59</v>
      </c>
      <c r="H503" s="1" t="s">
        <v>262</v>
      </c>
      <c r="I503" s="1" t="s">
        <v>263</v>
      </c>
      <c r="J503" s="1" t="s">
        <v>46</v>
      </c>
      <c r="K503" s="1" t="s">
        <v>70</v>
      </c>
      <c r="L503" s="1" t="s">
        <v>1647</v>
      </c>
      <c r="M503" s="1" t="s">
        <v>49</v>
      </c>
      <c r="N503" s="1" t="s">
        <v>2815</v>
      </c>
      <c r="O503" s="1" t="s">
        <v>5702</v>
      </c>
      <c r="P503" s="1" t="s">
        <v>107</v>
      </c>
      <c r="Q503" s="1" t="s">
        <v>5703</v>
      </c>
      <c r="R503" s="1" t="s">
        <v>5704</v>
      </c>
      <c r="S503" s="1" t="s">
        <v>5705</v>
      </c>
      <c r="T503" s="1" t="s">
        <v>52</v>
      </c>
      <c r="U503" s="1" t="s">
        <v>53</v>
      </c>
    </row>
    <row r="504" customFormat="false" ht="15" hidden="false" customHeight="true" outlineLevel="0" collapsed="false">
      <c r="A504" s="1" t="s">
        <v>1648</v>
      </c>
      <c r="B504" s="1" t="s">
        <v>2813</v>
      </c>
      <c r="C504" s="1" t="s">
        <v>2814</v>
      </c>
      <c r="D504" s="1" t="s">
        <v>1649</v>
      </c>
      <c r="E504" s="1" t="s">
        <v>141</v>
      </c>
      <c r="F504" s="1" t="s">
        <v>58</v>
      </c>
      <c r="G504" s="1" t="s">
        <v>59</v>
      </c>
      <c r="H504" s="1" t="s">
        <v>60</v>
      </c>
      <c r="I504" s="1" t="s">
        <v>61</v>
      </c>
      <c r="J504" s="1" t="s">
        <v>99</v>
      </c>
      <c r="K504" s="1" t="s">
        <v>105</v>
      </c>
      <c r="L504" s="1" t="s">
        <v>1650</v>
      </c>
      <c r="M504" s="1" t="s">
        <v>49</v>
      </c>
      <c r="N504" s="1" t="s">
        <v>2815</v>
      </c>
      <c r="O504" s="1" t="s">
        <v>2816</v>
      </c>
      <c r="P504" s="1" t="s">
        <v>203</v>
      </c>
      <c r="Q504" s="1" t="s">
        <v>2817</v>
      </c>
      <c r="R504" s="1" t="s">
        <v>2818</v>
      </c>
      <c r="S504" s="1" t="s">
        <v>2819</v>
      </c>
      <c r="T504" s="1" t="s">
        <v>52</v>
      </c>
      <c r="U504" s="1" t="s">
        <v>53</v>
      </c>
    </row>
    <row r="505" customFormat="false" ht="15" hidden="false" customHeight="true" outlineLevel="0" collapsed="false">
      <c r="A505" s="1" t="s">
        <v>1651</v>
      </c>
      <c r="B505" s="1" t="s">
        <v>5706</v>
      </c>
      <c r="C505" s="1" t="s">
        <v>5707</v>
      </c>
      <c r="D505" s="1" t="s">
        <v>1652</v>
      </c>
      <c r="E505" s="1" t="s">
        <v>155</v>
      </c>
      <c r="F505" s="1" t="s">
        <v>41</v>
      </c>
      <c r="G505" s="1" t="s">
        <v>78</v>
      </c>
      <c r="H505" s="1" t="s">
        <v>281</v>
      </c>
      <c r="I505" s="1" t="s">
        <v>282</v>
      </c>
      <c r="J505" s="1" t="s">
        <v>99</v>
      </c>
      <c r="K505" s="1" t="s">
        <v>201</v>
      </c>
      <c r="L505" s="1" t="s">
        <v>1653</v>
      </c>
      <c r="M505" s="1" t="s">
        <v>83</v>
      </c>
      <c r="N505" s="1" t="s">
        <v>2906</v>
      </c>
      <c r="O505" s="1" t="s">
        <v>5708</v>
      </c>
      <c r="P505" s="1" t="s">
        <v>203</v>
      </c>
      <c r="Q505" s="1" t="s">
        <v>5709</v>
      </c>
      <c r="R505" s="1" t="s">
        <v>5710</v>
      </c>
      <c r="S505" s="1" t="s">
        <v>5711</v>
      </c>
      <c r="T505" s="1" t="s">
        <v>52</v>
      </c>
      <c r="U505" s="1" t="s">
        <v>53</v>
      </c>
    </row>
    <row r="506" customFormat="false" ht="15" hidden="false" customHeight="true" outlineLevel="0" collapsed="false">
      <c r="A506" s="1" t="s">
        <v>1654</v>
      </c>
      <c r="B506" s="1" t="s">
        <v>5712</v>
      </c>
      <c r="C506" s="1" t="s">
        <v>5713</v>
      </c>
      <c r="D506" s="1" t="s">
        <v>1655</v>
      </c>
      <c r="E506" s="1" t="s">
        <v>77</v>
      </c>
      <c r="F506" s="1" t="s">
        <v>116</v>
      </c>
      <c r="G506" s="1" t="s">
        <v>88</v>
      </c>
      <c r="H506" s="1" t="s">
        <v>211</v>
      </c>
      <c r="I506" s="1" t="s">
        <v>212</v>
      </c>
      <c r="J506" s="1" t="s">
        <v>46</v>
      </c>
      <c r="K506" s="1" t="s">
        <v>70</v>
      </c>
      <c r="L506" s="1" t="s">
        <v>1656</v>
      </c>
      <c r="M506" s="1" t="s">
        <v>83</v>
      </c>
      <c r="N506" s="1" t="s">
        <v>2937</v>
      </c>
      <c r="O506" s="1" t="s">
        <v>5714</v>
      </c>
      <c r="P506" s="1" t="s">
        <v>66</v>
      </c>
      <c r="Q506" s="1" t="s">
        <v>5715</v>
      </c>
      <c r="R506" s="1" t="s">
        <v>5716</v>
      </c>
      <c r="S506" s="1" t="s">
        <v>5717</v>
      </c>
      <c r="T506" s="1" t="s">
        <v>52</v>
      </c>
      <c r="U506" s="1" t="s">
        <v>53</v>
      </c>
    </row>
    <row r="507" customFormat="false" ht="15" hidden="false" customHeight="true" outlineLevel="0" collapsed="false">
      <c r="A507" s="1" t="s">
        <v>1657</v>
      </c>
      <c r="B507" s="1" t="s">
        <v>5718</v>
      </c>
      <c r="C507" s="1" t="s">
        <v>4438</v>
      </c>
      <c r="D507" s="1" t="s">
        <v>1658</v>
      </c>
      <c r="E507" s="1" t="s">
        <v>104</v>
      </c>
      <c r="F507" s="1" t="s">
        <v>116</v>
      </c>
      <c r="G507" s="1" t="s">
        <v>88</v>
      </c>
      <c r="H507" s="1" t="s">
        <v>97</v>
      </c>
      <c r="I507" s="1" t="s">
        <v>98</v>
      </c>
      <c r="J507" s="1" t="s">
        <v>46</v>
      </c>
      <c r="K507" s="1" t="s">
        <v>70</v>
      </c>
      <c r="L507" s="1" t="s">
        <v>1659</v>
      </c>
      <c r="M507" s="1" t="s">
        <v>72</v>
      </c>
      <c r="N507" s="1" t="s">
        <v>2899</v>
      </c>
      <c r="O507" s="1" t="s">
        <v>5719</v>
      </c>
      <c r="P507" s="1" t="s">
        <v>50</v>
      </c>
      <c r="Q507" s="1" t="s">
        <v>5720</v>
      </c>
      <c r="R507" s="1" t="s">
        <v>5721</v>
      </c>
      <c r="S507" s="1" t="s">
        <v>5722</v>
      </c>
      <c r="T507" s="1" t="s">
        <v>52</v>
      </c>
      <c r="U507" s="1" t="s">
        <v>93</v>
      </c>
    </row>
    <row r="508" customFormat="false" ht="15" hidden="false" customHeight="true" outlineLevel="0" collapsed="false">
      <c r="A508" s="1" t="s">
        <v>1660</v>
      </c>
      <c r="B508" s="1" t="s">
        <v>5723</v>
      </c>
      <c r="C508" s="1" t="s">
        <v>5724</v>
      </c>
      <c r="D508" s="1" t="s">
        <v>1661</v>
      </c>
      <c r="E508" s="1" t="s">
        <v>155</v>
      </c>
      <c r="F508" s="1" t="s">
        <v>58</v>
      </c>
      <c r="G508" s="1" t="s">
        <v>42</v>
      </c>
      <c r="H508" s="1" t="s">
        <v>149</v>
      </c>
      <c r="I508" s="1" t="s">
        <v>150</v>
      </c>
      <c r="J508" s="1" t="s">
        <v>62</v>
      </c>
      <c r="K508" s="1" t="s">
        <v>81</v>
      </c>
      <c r="L508" s="1" t="s">
        <v>1662</v>
      </c>
      <c r="M508" s="1" t="s">
        <v>72</v>
      </c>
      <c r="N508" s="1" t="s">
        <v>2868</v>
      </c>
      <c r="O508" s="1" t="s">
        <v>5725</v>
      </c>
      <c r="P508" s="1" t="s">
        <v>203</v>
      </c>
      <c r="Q508" s="1" t="s">
        <v>5726</v>
      </c>
      <c r="R508" s="1" t="s">
        <v>5727</v>
      </c>
      <c r="S508" s="1" t="s">
        <v>5728</v>
      </c>
      <c r="T508" s="1" t="s">
        <v>129</v>
      </c>
      <c r="U508" s="1" t="s">
        <v>130</v>
      </c>
    </row>
    <row r="509" customFormat="false" ht="15" hidden="false" customHeight="true" outlineLevel="0" collapsed="false">
      <c r="A509" s="1" t="s">
        <v>1663</v>
      </c>
      <c r="B509" s="1" t="s">
        <v>5339</v>
      </c>
      <c r="C509" s="1" t="s">
        <v>5299</v>
      </c>
      <c r="D509" s="1" t="s">
        <v>1664</v>
      </c>
      <c r="E509" s="1" t="s">
        <v>69</v>
      </c>
      <c r="F509" s="1" t="s">
        <v>58</v>
      </c>
      <c r="G509" s="1" t="s">
        <v>42</v>
      </c>
      <c r="H509" s="1" t="s">
        <v>270</v>
      </c>
      <c r="I509" s="1" t="s">
        <v>271</v>
      </c>
      <c r="J509" s="1" t="s">
        <v>46</v>
      </c>
      <c r="K509" s="1" t="s">
        <v>183</v>
      </c>
      <c r="L509" s="1" t="s">
        <v>1665</v>
      </c>
      <c r="M509" s="1" t="s">
        <v>65</v>
      </c>
      <c r="N509" s="1" t="s">
        <v>2937</v>
      </c>
      <c r="O509" s="1" t="s">
        <v>5729</v>
      </c>
      <c r="P509" s="1" t="s">
        <v>84</v>
      </c>
      <c r="Q509" s="1" t="s">
        <v>5730</v>
      </c>
      <c r="R509" s="1" t="s">
        <v>5731</v>
      </c>
      <c r="S509" s="1" t="s">
        <v>5732</v>
      </c>
      <c r="T509" s="1" t="s">
        <v>52</v>
      </c>
      <c r="U509" s="1" t="s">
        <v>53</v>
      </c>
    </row>
    <row r="510" customFormat="false" ht="15" hidden="false" customHeight="true" outlineLevel="0" collapsed="false">
      <c r="A510" s="1" t="s">
        <v>1666</v>
      </c>
      <c r="B510" s="1" t="s">
        <v>5733</v>
      </c>
      <c r="C510" s="1" t="s">
        <v>4485</v>
      </c>
      <c r="D510" s="1" t="s">
        <v>1667</v>
      </c>
      <c r="E510" s="1" t="s">
        <v>69</v>
      </c>
      <c r="F510" s="1" t="s">
        <v>58</v>
      </c>
      <c r="G510" s="1" t="s">
        <v>42</v>
      </c>
      <c r="H510" s="1" t="s">
        <v>270</v>
      </c>
      <c r="I510" s="1" t="s">
        <v>271</v>
      </c>
      <c r="J510" s="1" t="s">
        <v>99</v>
      </c>
      <c r="K510" s="1" t="s">
        <v>308</v>
      </c>
      <c r="L510" s="1" t="s">
        <v>1668</v>
      </c>
      <c r="M510" s="1" t="s">
        <v>49</v>
      </c>
      <c r="N510" s="1" t="s">
        <v>2937</v>
      </c>
      <c r="O510" s="1" t="s">
        <v>5734</v>
      </c>
      <c r="P510" s="1" t="s">
        <v>66</v>
      </c>
      <c r="Q510" s="1" t="s">
        <v>5735</v>
      </c>
      <c r="R510" s="1" t="s">
        <v>5736</v>
      </c>
      <c r="S510" s="1" t="s">
        <v>5737</v>
      </c>
      <c r="T510" s="1" t="s">
        <v>52</v>
      </c>
      <c r="U510" s="1" t="s">
        <v>53</v>
      </c>
    </row>
    <row r="511" customFormat="false" ht="15" hidden="false" customHeight="true" outlineLevel="0" collapsed="false">
      <c r="A511" s="1" t="s">
        <v>1669</v>
      </c>
      <c r="B511" s="1" t="s">
        <v>5738</v>
      </c>
      <c r="C511" s="1" t="s">
        <v>5739</v>
      </c>
      <c r="D511" s="1" t="s">
        <v>1670</v>
      </c>
      <c r="E511" s="1" t="s">
        <v>104</v>
      </c>
      <c r="F511" s="1" t="s">
        <v>41</v>
      </c>
      <c r="G511" s="1" t="s">
        <v>88</v>
      </c>
      <c r="H511" s="1" t="s">
        <v>211</v>
      </c>
      <c r="I511" s="1" t="s">
        <v>212</v>
      </c>
      <c r="J511" s="1" t="s">
        <v>99</v>
      </c>
      <c r="K511" s="1" t="s">
        <v>308</v>
      </c>
      <c r="L511" s="1" t="s">
        <v>1671</v>
      </c>
      <c r="M511" s="1" t="s">
        <v>65</v>
      </c>
      <c r="N511" s="1" t="s">
        <v>2861</v>
      </c>
      <c r="O511" s="1" t="s">
        <v>5740</v>
      </c>
      <c r="P511" s="1" t="s">
        <v>50</v>
      </c>
      <c r="Q511" s="1" t="s">
        <v>5741</v>
      </c>
      <c r="R511" s="1" t="s">
        <v>5742</v>
      </c>
      <c r="S511" s="1" t="s">
        <v>5743</v>
      </c>
      <c r="T511" s="1" t="s">
        <v>52</v>
      </c>
      <c r="U511" s="1" t="s">
        <v>53</v>
      </c>
    </row>
    <row r="512" customFormat="false" ht="15" hidden="false" customHeight="true" outlineLevel="0" collapsed="false">
      <c r="A512" s="1" t="s">
        <v>1672</v>
      </c>
      <c r="B512" s="1" t="s">
        <v>3575</v>
      </c>
      <c r="C512" s="1" t="s">
        <v>5744</v>
      </c>
      <c r="D512" s="1" t="s">
        <v>1673</v>
      </c>
      <c r="E512" s="1" t="s">
        <v>5745</v>
      </c>
      <c r="F512" s="1" t="s">
        <v>41</v>
      </c>
      <c r="G512" s="1" t="s">
        <v>78</v>
      </c>
      <c r="H512" s="1" t="s">
        <v>206</v>
      </c>
      <c r="I512" s="1" t="s">
        <v>207</v>
      </c>
      <c r="J512" s="1" t="s">
        <v>46</v>
      </c>
      <c r="K512" s="1" t="s">
        <v>151</v>
      </c>
      <c r="L512" s="1" t="s">
        <v>1674</v>
      </c>
      <c r="M512" s="1" t="s">
        <v>49</v>
      </c>
      <c r="N512" s="1" t="s">
        <v>2868</v>
      </c>
      <c r="O512" s="1" t="s">
        <v>5746</v>
      </c>
      <c r="P512" s="1" t="s">
        <v>66</v>
      </c>
      <c r="Q512" s="1" t="s">
        <v>5747</v>
      </c>
      <c r="R512" s="1" t="s">
        <v>5748</v>
      </c>
      <c r="S512" s="1" t="s">
        <v>5749</v>
      </c>
      <c r="T512" s="1" t="s">
        <v>52</v>
      </c>
      <c r="U512" s="1" t="s">
        <v>53</v>
      </c>
    </row>
    <row r="513" customFormat="false" ht="15" hidden="false" customHeight="true" outlineLevel="0" collapsed="false">
      <c r="A513" s="1" t="s">
        <v>1675</v>
      </c>
      <c r="B513" s="1" t="s">
        <v>5750</v>
      </c>
      <c r="C513" s="1" t="s">
        <v>5751</v>
      </c>
      <c r="D513" s="1" t="s">
        <v>1676</v>
      </c>
      <c r="E513" s="1" t="s">
        <v>159</v>
      </c>
      <c r="F513" s="1" t="s">
        <v>41</v>
      </c>
      <c r="G513" s="1" t="s">
        <v>88</v>
      </c>
      <c r="H513" s="1" t="s">
        <v>97</v>
      </c>
      <c r="I513" s="1" t="s">
        <v>98</v>
      </c>
      <c r="J513" s="1" t="s">
        <v>62</v>
      </c>
      <c r="K513" s="1" t="s">
        <v>188</v>
      </c>
      <c r="L513" s="1" t="s">
        <v>1677</v>
      </c>
      <c r="M513" s="1" t="s">
        <v>83</v>
      </c>
      <c r="N513" s="1" t="s">
        <v>2899</v>
      </c>
      <c r="O513" s="1" t="s">
        <v>5752</v>
      </c>
      <c r="P513" s="1" t="s">
        <v>84</v>
      </c>
      <c r="Q513" s="1" t="s">
        <v>5753</v>
      </c>
      <c r="R513" s="1" t="s">
        <v>5754</v>
      </c>
      <c r="S513" s="1" t="s">
        <v>5755</v>
      </c>
      <c r="T513" s="1" t="s">
        <v>52</v>
      </c>
      <c r="U513" s="1" t="s">
        <v>53</v>
      </c>
    </row>
    <row r="514" customFormat="false" ht="15" hidden="false" customHeight="true" outlineLevel="0" collapsed="false">
      <c r="A514" s="1" t="s">
        <v>1678</v>
      </c>
      <c r="B514" s="1" t="s">
        <v>3727</v>
      </c>
      <c r="C514" s="1" t="s">
        <v>5756</v>
      </c>
      <c r="D514" s="1" t="s">
        <v>1288</v>
      </c>
      <c r="E514" s="1" t="s">
        <v>69</v>
      </c>
      <c r="F514" s="1" t="s">
        <v>116</v>
      </c>
      <c r="G514" s="1" t="s">
        <v>78</v>
      </c>
      <c r="H514" s="1" t="s">
        <v>216</v>
      </c>
      <c r="I514" s="1" t="s">
        <v>217</v>
      </c>
      <c r="J514" s="1" t="s">
        <v>46</v>
      </c>
      <c r="K514" s="1" t="s">
        <v>117</v>
      </c>
      <c r="L514" s="1" t="s">
        <v>1679</v>
      </c>
      <c r="M514" s="1" t="s">
        <v>49</v>
      </c>
      <c r="N514" s="1" t="s">
        <v>2868</v>
      </c>
      <c r="O514" s="1" t="s">
        <v>5757</v>
      </c>
      <c r="P514" s="1" t="s">
        <v>84</v>
      </c>
      <c r="Q514" s="1" t="s">
        <v>5758</v>
      </c>
      <c r="R514" s="1" t="s">
        <v>5759</v>
      </c>
      <c r="S514" s="1" t="s">
        <v>5760</v>
      </c>
      <c r="T514" s="1" t="s">
        <v>52</v>
      </c>
      <c r="U514" s="1" t="s">
        <v>53</v>
      </c>
    </row>
    <row r="515" customFormat="false" ht="15" hidden="false" customHeight="true" outlineLevel="0" collapsed="false">
      <c r="A515" s="1" t="s">
        <v>1680</v>
      </c>
      <c r="B515" s="1" t="s">
        <v>3982</v>
      </c>
      <c r="C515" s="1" t="s">
        <v>5651</v>
      </c>
      <c r="D515" s="1" t="s">
        <v>1681</v>
      </c>
      <c r="E515" s="1" t="s">
        <v>155</v>
      </c>
      <c r="F515" s="1" t="s">
        <v>116</v>
      </c>
      <c r="G515" s="1" t="s">
        <v>78</v>
      </c>
      <c r="H515" s="1" t="s">
        <v>216</v>
      </c>
      <c r="I515" s="1" t="s">
        <v>217</v>
      </c>
      <c r="J515" s="1" t="s">
        <v>99</v>
      </c>
      <c r="K515" s="1" t="s">
        <v>100</v>
      </c>
      <c r="L515" s="1" t="s">
        <v>1682</v>
      </c>
      <c r="M515" s="1" t="s">
        <v>72</v>
      </c>
      <c r="N515" s="1" t="s">
        <v>2815</v>
      </c>
      <c r="O515" s="1" t="s">
        <v>5761</v>
      </c>
      <c r="P515" s="1" t="s">
        <v>203</v>
      </c>
      <c r="Q515" s="1" t="s">
        <v>5762</v>
      </c>
      <c r="R515" s="1" t="s">
        <v>5763</v>
      </c>
      <c r="S515" s="1" t="s">
        <v>5764</v>
      </c>
      <c r="T515" s="1" t="s">
        <v>52</v>
      </c>
      <c r="U515" s="1" t="s">
        <v>53</v>
      </c>
    </row>
    <row r="516" customFormat="false" ht="15" hidden="false" customHeight="true" outlineLevel="0" collapsed="false">
      <c r="A516" s="1" t="s">
        <v>1683</v>
      </c>
      <c r="B516" s="1" t="s">
        <v>5765</v>
      </c>
      <c r="C516" s="1" t="s">
        <v>5663</v>
      </c>
      <c r="D516" s="1" t="s">
        <v>1684</v>
      </c>
      <c r="E516" s="1" t="s">
        <v>40</v>
      </c>
      <c r="F516" s="1" t="s">
        <v>121</v>
      </c>
      <c r="G516" s="1" t="s">
        <v>78</v>
      </c>
      <c r="H516" s="1" t="s">
        <v>216</v>
      </c>
      <c r="I516" s="1" t="s">
        <v>217</v>
      </c>
      <c r="J516" s="1" t="s">
        <v>99</v>
      </c>
      <c r="K516" s="1" t="s">
        <v>100</v>
      </c>
      <c r="L516" s="1" t="s">
        <v>1685</v>
      </c>
      <c r="M516" s="1" t="s">
        <v>83</v>
      </c>
      <c r="N516" s="1" t="s">
        <v>2815</v>
      </c>
      <c r="O516" s="1" t="s">
        <v>5766</v>
      </c>
      <c r="P516" s="1" t="s">
        <v>203</v>
      </c>
      <c r="Q516" s="1" t="s">
        <v>5767</v>
      </c>
      <c r="R516" s="1" t="s">
        <v>5768</v>
      </c>
      <c r="S516" s="1" t="s">
        <v>5769</v>
      </c>
      <c r="T516" s="1" t="s">
        <v>52</v>
      </c>
      <c r="U516" s="1" t="s">
        <v>53</v>
      </c>
    </row>
    <row r="517" customFormat="false" ht="15" hidden="false" customHeight="true" outlineLevel="0" collapsed="false">
      <c r="A517" s="1" t="s">
        <v>1686</v>
      </c>
      <c r="B517" s="1" t="s">
        <v>5338</v>
      </c>
      <c r="C517" s="1" t="s">
        <v>5770</v>
      </c>
      <c r="D517" s="1" t="s">
        <v>1687</v>
      </c>
      <c r="E517" s="1" t="s">
        <v>145</v>
      </c>
      <c r="F517" s="1" t="s">
        <v>116</v>
      </c>
      <c r="G517" s="1" t="s">
        <v>42</v>
      </c>
      <c r="H517" s="1" t="s">
        <v>384</v>
      </c>
      <c r="I517" s="1" t="s">
        <v>385</v>
      </c>
      <c r="J517" s="1" t="s">
        <v>46</v>
      </c>
      <c r="K517" s="1" t="s">
        <v>47</v>
      </c>
      <c r="L517" s="1" t="s">
        <v>1688</v>
      </c>
      <c r="M517" s="1" t="s">
        <v>83</v>
      </c>
      <c r="N517" s="1" t="s">
        <v>2836</v>
      </c>
      <c r="O517" s="1" t="s">
        <v>5771</v>
      </c>
      <c r="P517" s="1" t="s">
        <v>1689</v>
      </c>
      <c r="Q517" s="1" t="s">
        <v>5772</v>
      </c>
      <c r="R517" s="1" t="s">
        <v>5773</v>
      </c>
      <c r="S517" s="1" t="s">
        <v>5774</v>
      </c>
      <c r="T517" s="1" t="s">
        <v>52</v>
      </c>
      <c r="U517" s="1" t="s">
        <v>53</v>
      </c>
    </row>
    <row r="518" customFormat="false" ht="15" hidden="false" customHeight="true" outlineLevel="0" collapsed="false">
      <c r="A518" s="1" t="s">
        <v>1690</v>
      </c>
      <c r="B518" s="1" t="s">
        <v>5775</v>
      </c>
      <c r="C518" s="1" t="s">
        <v>5776</v>
      </c>
      <c r="D518" s="1" t="s">
        <v>1691</v>
      </c>
      <c r="E518" s="1" t="s">
        <v>298</v>
      </c>
      <c r="F518" s="1" t="s">
        <v>121</v>
      </c>
      <c r="G518" s="1" t="s">
        <v>42</v>
      </c>
      <c r="H518" s="1" t="s">
        <v>384</v>
      </c>
      <c r="I518" s="1" t="s">
        <v>385</v>
      </c>
      <c r="J518" s="1" t="s">
        <v>99</v>
      </c>
      <c r="K518" s="1" t="s">
        <v>105</v>
      </c>
      <c r="L518" s="1" t="s">
        <v>1692</v>
      </c>
      <c r="M518" s="1" t="s">
        <v>83</v>
      </c>
      <c r="N518" s="1" t="s">
        <v>2836</v>
      </c>
      <c r="O518" s="1" t="s">
        <v>5777</v>
      </c>
      <c r="P518" s="1" t="s">
        <v>66</v>
      </c>
      <c r="Q518" s="1" t="s">
        <v>5777</v>
      </c>
      <c r="R518" s="1" t="s">
        <v>5778</v>
      </c>
      <c r="S518" s="1" t="s">
        <v>5779</v>
      </c>
      <c r="T518" s="1" t="s">
        <v>185</v>
      </c>
      <c r="U518" s="1" t="s">
        <v>130</v>
      </c>
    </row>
    <row r="519" customFormat="false" ht="15" hidden="false" customHeight="true" outlineLevel="0" collapsed="false">
      <c r="A519" s="1" t="s">
        <v>1693</v>
      </c>
      <c r="B519" s="1" t="s">
        <v>5780</v>
      </c>
      <c r="C519" s="1" t="s">
        <v>4790</v>
      </c>
      <c r="D519" s="1" t="s">
        <v>1694</v>
      </c>
      <c r="E519" s="1" t="s">
        <v>145</v>
      </c>
      <c r="F519" s="1" t="s">
        <v>41</v>
      </c>
      <c r="G519" s="1" t="s">
        <v>59</v>
      </c>
      <c r="H519" s="1" t="s">
        <v>60</v>
      </c>
      <c r="I519" s="1" t="s">
        <v>61</v>
      </c>
      <c r="J519" s="1" t="s">
        <v>62</v>
      </c>
      <c r="K519" s="1" t="s">
        <v>81</v>
      </c>
      <c r="L519" s="1" t="s">
        <v>1695</v>
      </c>
      <c r="M519" s="1" t="s">
        <v>49</v>
      </c>
      <c r="N519" s="1" t="s">
        <v>2906</v>
      </c>
      <c r="O519" s="1" t="s">
        <v>5781</v>
      </c>
      <c r="P519" s="1" t="s">
        <v>50</v>
      </c>
      <c r="Q519" s="1" t="s">
        <v>5782</v>
      </c>
      <c r="R519" s="1" t="s">
        <v>5783</v>
      </c>
      <c r="S519" s="1" t="s">
        <v>5784</v>
      </c>
      <c r="T519" s="1" t="s">
        <v>129</v>
      </c>
      <c r="U519" s="1" t="s">
        <v>130</v>
      </c>
    </row>
    <row r="520" customFormat="false" ht="15" hidden="false" customHeight="true" outlineLevel="0" collapsed="false">
      <c r="A520" s="1" t="s">
        <v>1696</v>
      </c>
      <c r="B520" s="1" t="s">
        <v>5645</v>
      </c>
      <c r="C520" s="1" t="s">
        <v>5785</v>
      </c>
      <c r="D520" s="1" t="s">
        <v>1697</v>
      </c>
      <c r="E520" s="1" t="s">
        <v>192</v>
      </c>
      <c r="F520" s="1" t="s">
        <v>116</v>
      </c>
      <c r="G520" s="1" t="s">
        <v>59</v>
      </c>
      <c r="H520" s="1" t="s">
        <v>60</v>
      </c>
      <c r="I520" s="1" t="s">
        <v>61</v>
      </c>
      <c r="J520" s="1" t="s">
        <v>62</v>
      </c>
      <c r="K520" s="1" t="s">
        <v>63</v>
      </c>
      <c r="L520" s="1" t="s">
        <v>1698</v>
      </c>
      <c r="M520" s="1" t="s">
        <v>72</v>
      </c>
      <c r="N520" s="1" t="s">
        <v>2906</v>
      </c>
      <c r="O520" s="1" t="s">
        <v>5786</v>
      </c>
      <c r="P520" s="1" t="s">
        <v>84</v>
      </c>
      <c r="Q520" s="1" t="s">
        <v>5787</v>
      </c>
      <c r="R520" s="1" t="s">
        <v>5788</v>
      </c>
      <c r="S520" s="1" t="s">
        <v>5789</v>
      </c>
      <c r="T520" s="1" t="s">
        <v>52</v>
      </c>
      <c r="U520" s="1" t="s">
        <v>93</v>
      </c>
    </row>
    <row r="521" customFormat="false" ht="15" hidden="false" customHeight="true" outlineLevel="0" collapsed="false">
      <c r="A521" s="1" t="s">
        <v>1699</v>
      </c>
      <c r="B521" s="1" t="s">
        <v>3261</v>
      </c>
      <c r="C521" s="1" t="s">
        <v>5790</v>
      </c>
      <c r="D521" s="1" t="s">
        <v>1700</v>
      </c>
      <c r="E521" s="1" t="s">
        <v>141</v>
      </c>
      <c r="F521" s="1" t="s">
        <v>41</v>
      </c>
      <c r="G521" s="1" t="s">
        <v>42</v>
      </c>
      <c r="H521" s="1" t="s">
        <v>163</v>
      </c>
      <c r="I521" s="1" t="s">
        <v>164</v>
      </c>
      <c r="J521" s="1" t="s">
        <v>62</v>
      </c>
      <c r="K521" s="1" t="s">
        <v>63</v>
      </c>
      <c r="L521" s="1" t="s">
        <v>1701</v>
      </c>
      <c r="M521" s="1" t="s">
        <v>83</v>
      </c>
      <c r="N521" s="1" t="s">
        <v>2937</v>
      </c>
      <c r="O521" s="1" t="s">
        <v>5791</v>
      </c>
      <c r="P521" s="1" t="s">
        <v>50</v>
      </c>
      <c r="Q521" s="1" t="s">
        <v>5792</v>
      </c>
      <c r="R521" s="1" t="s">
        <v>5793</v>
      </c>
      <c r="S521" s="1" t="s">
        <v>5794</v>
      </c>
      <c r="T521" s="1" t="s">
        <v>138</v>
      </c>
      <c r="U521" s="1" t="s">
        <v>93</v>
      </c>
    </row>
    <row r="522" customFormat="false" ht="15" hidden="false" customHeight="true" outlineLevel="0" collapsed="false">
      <c r="A522" s="1" t="s">
        <v>1702</v>
      </c>
      <c r="B522" s="1" t="s">
        <v>4118</v>
      </c>
      <c r="C522" s="1" t="s">
        <v>5795</v>
      </c>
      <c r="D522" s="1" t="s">
        <v>1703</v>
      </c>
      <c r="E522" s="1" t="s">
        <v>155</v>
      </c>
      <c r="F522" s="1" t="s">
        <v>121</v>
      </c>
      <c r="G522" s="1" t="s">
        <v>78</v>
      </c>
      <c r="H522" s="1" t="s">
        <v>206</v>
      </c>
      <c r="I522" s="1" t="s">
        <v>207</v>
      </c>
      <c r="J522" s="1" t="s">
        <v>99</v>
      </c>
      <c r="K522" s="1" t="s">
        <v>308</v>
      </c>
      <c r="L522" s="1" t="s">
        <v>1704</v>
      </c>
      <c r="M522" s="1" t="s">
        <v>65</v>
      </c>
      <c r="N522" s="1" t="s">
        <v>2836</v>
      </c>
      <c r="O522" s="1" t="s">
        <v>5796</v>
      </c>
      <c r="P522" s="1" t="s">
        <v>128</v>
      </c>
      <c r="Q522" s="1" t="s">
        <v>5797</v>
      </c>
      <c r="R522" s="1" t="s">
        <v>5798</v>
      </c>
      <c r="S522" s="1" t="s">
        <v>5799</v>
      </c>
      <c r="T522" s="1" t="s">
        <v>52</v>
      </c>
      <c r="U522" s="1" t="s">
        <v>53</v>
      </c>
    </row>
    <row r="523" customFormat="false" ht="15" hidden="false" customHeight="true" outlineLevel="0" collapsed="false">
      <c r="A523" s="1" t="s">
        <v>1705</v>
      </c>
      <c r="B523" s="1" t="s">
        <v>5800</v>
      </c>
      <c r="C523" s="1" t="s">
        <v>5801</v>
      </c>
      <c r="D523" s="1" t="s">
        <v>1706</v>
      </c>
      <c r="E523" s="1" t="s">
        <v>192</v>
      </c>
      <c r="F523" s="1" t="s">
        <v>41</v>
      </c>
      <c r="G523" s="1" t="s">
        <v>42</v>
      </c>
      <c r="H523" s="1" t="s">
        <v>149</v>
      </c>
      <c r="I523" s="1" t="s">
        <v>150</v>
      </c>
      <c r="J523" s="1" t="s">
        <v>46</v>
      </c>
      <c r="K523" s="1" t="s">
        <v>117</v>
      </c>
      <c r="L523" s="1" t="s">
        <v>1707</v>
      </c>
      <c r="M523" s="1" t="s">
        <v>49</v>
      </c>
      <c r="N523" s="1" t="s">
        <v>2815</v>
      </c>
      <c r="O523" s="1" t="s">
        <v>5802</v>
      </c>
      <c r="P523" s="1" t="s">
        <v>128</v>
      </c>
      <c r="Q523" s="1" t="s">
        <v>5803</v>
      </c>
      <c r="R523" s="1" t="s">
        <v>5804</v>
      </c>
      <c r="S523" s="1" t="s">
        <v>5805</v>
      </c>
      <c r="T523" s="1" t="s">
        <v>52</v>
      </c>
      <c r="U523" s="1" t="s">
        <v>53</v>
      </c>
    </row>
    <row r="524" customFormat="false" ht="15" hidden="false" customHeight="true" outlineLevel="0" collapsed="false">
      <c r="A524" s="1" t="s">
        <v>1708</v>
      </c>
      <c r="B524" s="1" t="s">
        <v>5806</v>
      </c>
      <c r="C524" s="1" t="s">
        <v>5561</v>
      </c>
      <c r="D524" s="1" t="s">
        <v>1709</v>
      </c>
      <c r="E524" s="1" t="s">
        <v>104</v>
      </c>
      <c r="F524" s="1" t="s">
        <v>58</v>
      </c>
      <c r="G524" s="1" t="s">
        <v>59</v>
      </c>
      <c r="H524" s="1" t="s">
        <v>262</v>
      </c>
      <c r="I524" s="1" t="s">
        <v>263</v>
      </c>
      <c r="J524" s="1" t="s">
        <v>99</v>
      </c>
      <c r="K524" s="1" t="s">
        <v>201</v>
      </c>
      <c r="L524" s="1" t="s">
        <v>1710</v>
      </c>
      <c r="M524" s="1" t="s">
        <v>72</v>
      </c>
      <c r="N524" s="1" t="s">
        <v>2899</v>
      </c>
      <c r="O524" s="1" t="s">
        <v>5807</v>
      </c>
      <c r="P524" s="1" t="s">
        <v>66</v>
      </c>
      <c r="Q524" s="1" t="s">
        <v>5808</v>
      </c>
      <c r="R524" s="1" t="s">
        <v>5809</v>
      </c>
      <c r="S524" s="1" t="s">
        <v>5810</v>
      </c>
      <c r="T524" s="1" t="s">
        <v>52</v>
      </c>
      <c r="U524" s="1" t="s">
        <v>53</v>
      </c>
    </row>
    <row r="525" customFormat="false" ht="15" hidden="false" customHeight="true" outlineLevel="0" collapsed="false">
      <c r="A525" s="1" t="s">
        <v>1711</v>
      </c>
      <c r="B525" s="1" t="s">
        <v>5811</v>
      </c>
      <c r="C525" s="1" t="s">
        <v>5812</v>
      </c>
      <c r="D525" s="1" t="s">
        <v>1712</v>
      </c>
      <c r="E525" s="1" t="s">
        <v>298</v>
      </c>
      <c r="F525" s="1" t="s">
        <v>121</v>
      </c>
      <c r="G525" s="1" t="s">
        <v>88</v>
      </c>
      <c r="H525" s="1" t="s">
        <v>221</v>
      </c>
      <c r="I525" s="1" t="s">
        <v>222</v>
      </c>
      <c r="J525" s="1" t="s">
        <v>46</v>
      </c>
      <c r="K525" s="1" t="s">
        <v>47</v>
      </c>
      <c r="L525" s="1" t="s">
        <v>1713</v>
      </c>
      <c r="M525" s="1" t="s">
        <v>49</v>
      </c>
      <c r="N525" s="1" t="s">
        <v>2868</v>
      </c>
      <c r="O525" s="1" t="s">
        <v>5813</v>
      </c>
      <c r="P525" s="1" t="s">
        <v>66</v>
      </c>
      <c r="Q525" s="1" t="s">
        <v>5814</v>
      </c>
      <c r="R525" s="1" t="s">
        <v>5815</v>
      </c>
      <c r="S525" s="1" t="s">
        <v>5816</v>
      </c>
      <c r="T525" s="1" t="s">
        <v>52</v>
      </c>
      <c r="U525" s="1" t="s">
        <v>130</v>
      </c>
    </row>
    <row r="526" customFormat="false" ht="15" hidden="false" customHeight="true" outlineLevel="0" collapsed="false">
      <c r="A526" s="1" t="s">
        <v>1714</v>
      </c>
      <c r="B526" s="1" t="s">
        <v>5817</v>
      </c>
      <c r="C526" s="1" t="s">
        <v>5818</v>
      </c>
      <c r="D526" s="1" t="s">
        <v>1715</v>
      </c>
      <c r="E526" s="1" t="s">
        <v>87</v>
      </c>
      <c r="F526" s="1" t="s">
        <v>116</v>
      </c>
      <c r="G526" s="1" t="s">
        <v>88</v>
      </c>
      <c r="H526" s="1" t="s">
        <v>211</v>
      </c>
      <c r="I526" s="1" t="s">
        <v>212</v>
      </c>
      <c r="J526" s="1" t="s">
        <v>62</v>
      </c>
      <c r="K526" s="1" t="s">
        <v>91</v>
      </c>
      <c r="L526" s="1" t="s">
        <v>1716</v>
      </c>
      <c r="M526" s="1" t="s">
        <v>72</v>
      </c>
      <c r="N526" s="1" t="s">
        <v>2899</v>
      </c>
      <c r="O526" s="1" t="s">
        <v>5819</v>
      </c>
      <c r="P526" s="1" t="s">
        <v>203</v>
      </c>
      <c r="Q526" s="1" t="s">
        <v>5820</v>
      </c>
      <c r="R526" s="1" t="s">
        <v>5821</v>
      </c>
      <c r="S526" s="1" t="s">
        <v>5822</v>
      </c>
      <c r="T526" s="1" t="s">
        <v>52</v>
      </c>
      <c r="U526" s="1" t="s">
        <v>53</v>
      </c>
    </row>
    <row r="527" customFormat="false" ht="15" hidden="false" customHeight="true" outlineLevel="0" collapsed="false">
      <c r="A527" s="1" t="s">
        <v>1717</v>
      </c>
      <c r="B527" s="1" t="s">
        <v>5823</v>
      </c>
      <c r="C527" s="1" t="s">
        <v>5824</v>
      </c>
      <c r="D527" s="1" t="s">
        <v>1718</v>
      </c>
      <c r="E527" s="1" t="s">
        <v>141</v>
      </c>
      <c r="F527" s="1" t="s">
        <v>121</v>
      </c>
      <c r="G527" s="1" t="s">
        <v>59</v>
      </c>
      <c r="H527" s="1" t="s">
        <v>125</v>
      </c>
      <c r="I527" s="1" t="s">
        <v>126</v>
      </c>
      <c r="J527" s="1" t="s">
        <v>62</v>
      </c>
      <c r="K527" s="1" t="s">
        <v>91</v>
      </c>
      <c r="L527" s="1" t="s">
        <v>1719</v>
      </c>
      <c r="M527" s="1" t="s">
        <v>83</v>
      </c>
      <c r="N527" s="1" t="s">
        <v>2829</v>
      </c>
      <c r="O527" s="1" t="s">
        <v>5825</v>
      </c>
      <c r="P527" s="1" t="s">
        <v>203</v>
      </c>
      <c r="Q527" s="1" t="s">
        <v>5826</v>
      </c>
      <c r="R527" s="1" t="s">
        <v>5827</v>
      </c>
      <c r="S527" s="1" t="s">
        <v>5828</v>
      </c>
      <c r="T527" s="1" t="s">
        <v>52</v>
      </c>
      <c r="U527" s="1" t="s">
        <v>53</v>
      </c>
    </row>
    <row r="528" customFormat="false" ht="15" hidden="false" customHeight="true" outlineLevel="0" collapsed="false">
      <c r="A528" s="1" t="s">
        <v>1720</v>
      </c>
      <c r="B528" s="1" t="s">
        <v>5829</v>
      </c>
      <c r="C528" s="1" t="s">
        <v>5830</v>
      </c>
      <c r="D528" s="1" t="s">
        <v>1721</v>
      </c>
      <c r="E528" s="1" t="s">
        <v>141</v>
      </c>
      <c r="F528" s="1" t="s">
        <v>41</v>
      </c>
      <c r="G528" s="1" t="s">
        <v>59</v>
      </c>
      <c r="H528" s="1" t="s">
        <v>60</v>
      </c>
      <c r="I528" s="1" t="s">
        <v>61</v>
      </c>
      <c r="J528" s="1" t="s">
        <v>62</v>
      </c>
      <c r="K528" s="1" t="s">
        <v>63</v>
      </c>
      <c r="L528" s="1" t="s">
        <v>1722</v>
      </c>
      <c r="M528" s="1" t="s">
        <v>49</v>
      </c>
      <c r="N528" s="1" t="s">
        <v>2937</v>
      </c>
      <c r="O528" s="1" t="s">
        <v>5831</v>
      </c>
      <c r="Q528" s="1" t="s">
        <v>5832</v>
      </c>
      <c r="R528" s="1" t="s">
        <v>5833</v>
      </c>
      <c r="S528" s="1" t="s">
        <v>5834</v>
      </c>
      <c r="T528" s="1" t="s">
        <v>52</v>
      </c>
      <c r="U528" s="1" t="s">
        <v>53</v>
      </c>
    </row>
    <row r="529" customFormat="false" ht="15" hidden="false" customHeight="true" outlineLevel="0" collapsed="false">
      <c r="A529" s="1" t="s">
        <v>1723</v>
      </c>
      <c r="B529" s="1" t="s">
        <v>5835</v>
      </c>
      <c r="C529" s="1" t="s">
        <v>5836</v>
      </c>
      <c r="D529" s="1" t="s">
        <v>1724</v>
      </c>
      <c r="E529" s="1" t="s">
        <v>115</v>
      </c>
      <c r="F529" s="1" t="s">
        <v>121</v>
      </c>
      <c r="G529" s="1" t="s">
        <v>42</v>
      </c>
      <c r="H529" s="1" t="s">
        <v>270</v>
      </c>
      <c r="I529" s="1" t="s">
        <v>271</v>
      </c>
      <c r="J529" s="1" t="s">
        <v>46</v>
      </c>
      <c r="K529" s="1" t="s">
        <v>47</v>
      </c>
      <c r="L529" s="1" t="s">
        <v>1725</v>
      </c>
      <c r="M529" s="1" t="s">
        <v>72</v>
      </c>
      <c r="N529" s="1" t="s">
        <v>2829</v>
      </c>
      <c r="O529" s="1" t="s">
        <v>5837</v>
      </c>
      <c r="P529" s="1" t="s">
        <v>107</v>
      </c>
      <c r="Q529" s="1" t="s">
        <v>5838</v>
      </c>
      <c r="R529" s="1" t="s">
        <v>5839</v>
      </c>
      <c r="S529" s="1" t="s">
        <v>5840</v>
      </c>
      <c r="T529" s="1" t="s">
        <v>52</v>
      </c>
      <c r="U529" s="1" t="s">
        <v>53</v>
      </c>
    </row>
    <row r="530" customFormat="false" ht="15" hidden="false" customHeight="true" outlineLevel="0" collapsed="false">
      <c r="A530" s="1" t="s">
        <v>1726</v>
      </c>
      <c r="B530" s="1" t="s">
        <v>5841</v>
      </c>
      <c r="C530" s="1" t="s">
        <v>5842</v>
      </c>
      <c r="D530" s="1" t="s">
        <v>1727</v>
      </c>
      <c r="E530" s="1" t="s">
        <v>192</v>
      </c>
      <c r="F530" s="1" t="s">
        <v>41</v>
      </c>
      <c r="G530" s="1" t="s">
        <v>78</v>
      </c>
      <c r="H530" s="1" t="s">
        <v>281</v>
      </c>
      <c r="I530" s="1" t="s">
        <v>282</v>
      </c>
      <c r="J530" s="1" t="s">
        <v>46</v>
      </c>
      <c r="K530" s="1" t="s">
        <v>183</v>
      </c>
      <c r="L530" s="1" t="s">
        <v>1728</v>
      </c>
      <c r="M530" s="1" t="s">
        <v>83</v>
      </c>
      <c r="N530" s="1" t="s">
        <v>2899</v>
      </c>
      <c r="O530" s="1" t="s">
        <v>5843</v>
      </c>
      <c r="P530" s="1" t="s">
        <v>128</v>
      </c>
      <c r="Q530" s="1" t="s">
        <v>5844</v>
      </c>
      <c r="R530" s="1" t="s">
        <v>5845</v>
      </c>
      <c r="S530" s="1" t="s">
        <v>5846</v>
      </c>
      <c r="T530" s="1" t="s">
        <v>138</v>
      </c>
      <c r="U530" s="1" t="s">
        <v>130</v>
      </c>
    </row>
    <row r="531" customFormat="false" ht="15" hidden="false" customHeight="true" outlineLevel="0" collapsed="false">
      <c r="A531" s="1" t="s">
        <v>1729</v>
      </c>
      <c r="B531" s="1" t="s">
        <v>5507</v>
      </c>
      <c r="C531" s="1" t="s">
        <v>5847</v>
      </c>
      <c r="D531" s="1" t="s">
        <v>768</v>
      </c>
      <c r="E531" s="1" t="s">
        <v>40</v>
      </c>
      <c r="F531" s="1" t="s">
        <v>41</v>
      </c>
      <c r="G531" s="1" t="s">
        <v>59</v>
      </c>
      <c r="H531" s="1" t="s">
        <v>262</v>
      </c>
      <c r="I531" s="1" t="s">
        <v>263</v>
      </c>
      <c r="J531" s="1" t="s">
        <v>62</v>
      </c>
      <c r="K531" s="1" t="s">
        <v>188</v>
      </c>
      <c r="L531" s="1" t="s">
        <v>1730</v>
      </c>
      <c r="M531" s="1" t="s">
        <v>49</v>
      </c>
      <c r="N531" s="1" t="s">
        <v>2899</v>
      </c>
      <c r="O531" s="1" t="s">
        <v>5848</v>
      </c>
      <c r="P531" s="1" t="s">
        <v>66</v>
      </c>
      <c r="Q531" s="1" t="s">
        <v>5849</v>
      </c>
      <c r="R531" s="1" t="s">
        <v>5850</v>
      </c>
      <c r="S531" s="1" t="s">
        <v>5851</v>
      </c>
      <c r="T531" s="1" t="s">
        <v>52</v>
      </c>
      <c r="U531" s="1" t="s">
        <v>53</v>
      </c>
    </row>
    <row r="532" customFormat="false" ht="15" hidden="false" customHeight="true" outlineLevel="0" collapsed="false">
      <c r="A532" s="1" t="s">
        <v>1731</v>
      </c>
      <c r="B532" s="1" t="s">
        <v>5852</v>
      </c>
      <c r="C532" s="1" t="s">
        <v>5853</v>
      </c>
      <c r="D532" s="1" t="s">
        <v>1732</v>
      </c>
      <c r="E532" s="1" t="s">
        <v>145</v>
      </c>
      <c r="F532" s="1" t="s">
        <v>121</v>
      </c>
      <c r="G532" s="1" t="s">
        <v>78</v>
      </c>
      <c r="H532" s="1" t="s">
        <v>281</v>
      </c>
      <c r="I532" s="1" t="s">
        <v>282</v>
      </c>
      <c r="J532" s="1" t="s">
        <v>46</v>
      </c>
      <c r="K532" s="1" t="s">
        <v>183</v>
      </c>
      <c r="L532" s="1" t="s">
        <v>1733</v>
      </c>
      <c r="M532" s="1" t="s">
        <v>83</v>
      </c>
      <c r="N532" s="1" t="s">
        <v>2899</v>
      </c>
      <c r="O532" s="1" t="s">
        <v>5854</v>
      </c>
      <c r="P532" s="1" t="s">
        <v>128</v>
      </c>
      <c r="Q532" s="1" t="s">
        <v>5855</v>
      </c>
      <c r="R532" s="1" t="s">
        <v>5856</v>
      </c>
      <c r="S532" s="1" t="s">
        <v>5857</v>
      </c>
      <c r="T532" s="1" t="s">
        <v>52</v>
      </c>
      <c r="U532" s="1" t="s">
        <v>53</v>
      </c>
    </row>
    <row r="533" customFormat="false" ht="15" hidden="false" customHeight="true" outlineLevel="0" collapsed="false">
      <c r="A533" s="1" t="s">
        <v>1734</v>
      </c>
      <c r="B533" s="1" t="s">
        <v>4345</v>
      </c>
      <c r="C533" s="1" t="s">
        <v>5858</v>
      </c>
      <c r="D533" s="1" t="s">
        <v>1735</v>
      </c>
      <c r="E533" s="1" t="s">
        <v>192</v>
      </c>
      <c r="F533" s="1" t="s">
        <v>58</v>
      </c>
      <c r="G533" s="1" t="s">
        <v>88</v>
      </c>
      <c r="H533" s="1" t="s">
        <v>89</v>
      </c>
      <c r="I533" s="1" t="s">
        <v>90</v>
      </c>
      <c r="J533" s="1" t="s">
        <v>46</v>
      </c>
      <c r="K533" s="1" t="s">
        <v>151</v>
      </c>
      <c r="L533" s="1" t="s">
        <v>1736</v>
      </c>
      <c r="N533" s="1" t="s">
        <v>2836</v>
      </c>
      <c r="O533" s="1" t="s">
        <v>5859</v>
      </c>
      <c r="P533" s="1" t="s">
        <v>203</v>
      </c>
      <c r="Q533" s="1" t="s">
        <v>5860</v>
      </c>
      <c r="R533" s="1" t="s">
        <v>5861</v>
      </c>
      <c r="S533" s="1" t="s">
        <v>5862</v>
      </c>
      <c r="T533" s="1" t="s">
        <v>52</v>
      </c>
      <c r="U533" s="1" t="s">
        <v>53</v>
      </c>
    </row>
    <row r="534" customFormat="false" ht="15" hidden="false" customHeight="true" outlineLevel="0" collapsed="false">
      <c r="A534" s="1" t="s">
        <v>1737</v>
      </c>
      <c r="B534" s="1" t="s">
        <v>5836</v>
      </c>
      <c r="C534" s="1" t="s">
        <v>3183</v>
      </c>
      <c r="D534" s="1" t="s">
        <v>1738</v>
      </c>
      <c r="E534" s="1" t="s">
        <v>141</v>
      </c>
      <c r="F534" s="1" t="s">
        <v>116</v>
      </c>
      <c r="G534" s="1" t="s">
        <v>59</v>
      </c>
      <c r="H534" s="1" t="s">
        <v>196</v>
      </c>
      <c r="I534" s="1" t="s">
        <v>197</v>
      </c>
      <c r="J534" s="1" t="s">
        <v>62</v>
      </c>
      <c r="K534" s="1" t="s">
        <v>63</v>
      </c>
      <c r="L534" s="1" t="s">
        <v>1739</v>
      </c>
      <c r="M534" s="1" t="s">
        <v>49</v>
      </c>
      <c r="N534" s="1" t="s">
        <v>2899</v>
      </c>
      <c r="O534" s="1" t="s">
        <v>5863</v>
      </c>
      <c r="P534" s="1" t="s">
        <v>128</v>
      </c>
      <c r="Q534" s="1" t="s">
        <v>5864</v>
      </c>
      <c r="R534" s="1" t="s">
        <v>5865</v>
      </c>
      <c r="S534" s="1" t="s">
        <v>5866</v>
      </c>
      <c r="T534" s="1" t="s">
        <v>185</v>
      </c>
      <c r="U534" s="1" t="s">
        <v>93</v>
      </c>
    </row>
    <row r="535" customFormat="false" ht="15" hidden="false" customHeight="true" outlineLevel="0" collapsed="false">
      <c r="A535" s="1" t="s">
        <v>1740</v>
      </c>
      <c r="B535" s="1" t="s">
        <v>5867</v>
      </c>
      <c r="C535" s="1" t="s">
        <v>3278</v>
      </c>
      <c r="D535" s="1" t="s">
        <v>1741</v>
      </c>
      <c r="E535" s="1" t="s">
        <v>69</v>
      </c>
      <c r="F535" s="1" t="s">
        <v>121</v>
      </c>
      <c r="G535" s="1" t="s">
        <v>42</v>
      </c>
      <c r="H535" s="1" t="s">
        <v>44</v>
      </c>
      <c r="I535" s="1" t="s">
        <v>45</v>
      </c>
      <c r="J535" s="1" t="s">
        <v>62</v>
      </c>
      <c r="K535" s="1" t="s">
        <v>63</v>
      </c>
      <c r="L535" s="1" t="s">
        <v>1742</v>
      </c>
      <c r="M535" s="1" t="s">
        <v>65</v>
      </c>
      <c r="N535" s="1" t="s">
        <v>2815</v>
      </c>
      <c r="O535" s="1" t="s">
        <v>5868</v>
      </c>
      <c r="P535" s="1" t="s">
        <v>84</v>
      </c>
      <c r="Q535" s="1" t="s">
        <v>5869</v>
      </c>
      <c r="R535" s="1" t="s">
        <v>5870</v>
      </c>
      <c r="S535" s="1" t="s">
        <v>5871</v>
      </c>
      <c r="T535" s="1" t="s">
        <v>52</v>
      </c>
      <c r="U535" s="1" t="s">
        <v>53</v>
      </c>
    </row>
    <row r="536" customFormat="false" ht="15" hidden="false" customHeight="true" outlineLevel="0" collapsed="false">
      <c r="A536" s="1" t="s">
        <v>1743</v>
      </c>
      <c r="B536" s="1" t="s">
        <v>5872</v>
      </c>
      <c r="C536" s="1" t="s">
        <v>5873</v>
      </c>
      <c r="D536" s="1" t="s">
        <v>1744</v>
      </c>
      <c r="E536" s="1" t="s">
        <v>168</v>
      </c>
      <c r="F536" s="1" t="s">
        <v>121</v>
      </c>
      <c r="G536" s="1" t="s">
        <v>59</v>
      </c>
      <c r="H536" s="1" t="s">
        <v>174</v>
      </c>
      <c r="I536" s="1" t="s">
        <v>175</v>
      </c>
      <c r="J536" s="1" t="s">
        <v>99</v>
      </c>
      <c r="K536" s="1" t="s">
        <v>100</v>
      </c>
      <c r="L536" s="1" t="s">
        <v>1745</v>
      </c>
      <c r="M536" s="1" t="s">
        <v>49</v>
      </c>
      <c r="N536" s="1" t="s">
        <v>2937</v>
      </c>
      <c r="O536" s="1" t="s">
        <v>5874</v>
      </c>
      <c r="P536" s="1" t="s">
        <v>203</v>
      </c>
      <c r="Q536" s="1" t="s">
        <v>5875</v>
      </c>
      <c r="R536" s="1" t="s">
        <v>5876</v>
      </c>
      <c r="S536" s="1" t="s">
        <v>5877</v>
      </c>
      <c r="T536" s="1" t="s">
        <v>138</v>
      </c>
      <c r="U536" s="1" t="s">
        <v>130</v>
      </c>
    </row>
    <row r="537" customFormat="false" ht="15" hidden="false" customHeight="true" outlineLevel="0" collapsed="false">
      <c r="A537" s="1" t="s">
        <v>1746</v>
      </c>
      <c r="B537" s="1" t="s">
        <v>5878</v>
      </c>
      <c r="C537" s="1" t="s">
        <v>5879</v>
      </c>
      <c r="D537" s="1" t="s">
        <v>1747</v>
      </c>
      <c r="E537" s="1" t="s">
        <v>192</v>
      </c>
      <c r="F537" s="1" t="s">
        <v>58</v>
      </c>
      <c r="G537" s="1" t="s">
        <v>88</v>
      </c>
      <c r="H537" s="1" t="s">
        <v>89</v>
      </c>
      <c r="I537" s="1" t="s">
        <v>90</v>
      </c>
      <c r="J537" s="1" t="s">
        <v>99</v>
      </c>
      <c r="K537" s="1" t="s">
        <v>105</v>
      </c>
      <c r="L537" s="1" t="s">
        <v>1748</v>
      </c>
      <c r="M537" s="1" t="s">
        <v>72</v>
      </c>
      <c r="N537" s="1" t="s">
        <v>2822</v>
      </c>
      <c r="O537" s="1" t="s">
        <v>5880</v>
      </c>
      <c r="P537" s="1" t="s">
        <v>50</v>
      </c>
      <c r="Q537" s="1" t="s">
        <v>5881</v>
      </c>
      <c r="R537" s="1" t="s">
        <v>5882</v>
      </c>
      <c r="S537" s="1" t="s">
        <v>5883</v>
      </c>
      <c r="T537" s="1" t="s">
        <v>52</v>
      </c>
      <c r="U537" s="1" t="s">
        <v>53</v>
      </c>
    </row>
    <row r="538" customFormat="false" ht="15" hidden="false" customHeight="true" outlineLevel="0" collapsed="false">
      <c r="A538" s="1" t="s">
        <v>1749</v>
      </c>
      <c r="B538" s="1" t="s">
        <v>5884</v>
      </c>
      <c r="C538" s="1" t="s">
        <v>5885</v>
      </c>
      <c r="D538" s="1" t="s">
        <v>1750</v>
      </c>
      <c r="E538" s="1" t="s">
        <v>87</v>
      </c>
      <c r="F538" s="1" t="s">
        <v>58</v>
      </c>
      <c r="G538" s="1" t="s">
        <v>88</v>
      </c>
      <c r="H538" s="1" t="s">
        <v>44</v>
      </c>
      <c r="I538" s="1" t="s">
        <v>136</v>
      </c>
      <c r="J538" s="1" t="s">
        <v>62</v>
      </c>
      <c r="K538" s="1" t="s">
        <v>91</v>
      </c>
      <c r="L538" s="1" t="s">
        <v>1751</v>
      </c>
      <c r="M538" s="1" t="s">
        <v>72</v>
      </c>
      <c r="N538" s="1" t="s">
        <v>2906</v>
      </c>
      <c r="O538" s="1" t="s">
        <v>5886</v>
      </c>
      <c r="P538" s="1" t="s">
        <v>84</v>
      </c>
      <c r="Q538" s="1" t="s">
        <v>5887</v>
      </c>
      <c r="R538" s="1" t="s">
        <v>5888</v>
      </c>
      <c r="S538" s="1" t="s">
        <v>5889</v>
      </c>
      <c r="T538" s="1" t="s">
        <v>185</v>
      </c>
      <c r="U538" s="1" t="s">
        <v>93</v>
      </c>
    </row>
    <row r="539" customFormat="false" ht="15" hidden="false" customHeight="true" outlineLevel="0" collapsed="false">
      <c r="A539" s="1" t="s">
        <v>1752</v>
      </c>
      <c r="B539" s="1" t="s">
        <v>5213</v>
      </c>
      <c r="C539" s="1" t="s">
        <v>5890</v>
      </c>
      <c r="D539" s="1" t="s">
        <v>1753</v>
      </c>
      <c r="E539" s="1" t="s">
        <v>87</v>
      </c>
      <c r="F539" s="1" t="s">
        <v>58</v>
      </c>
      <c r="G539" s="1" t="s">
        <v>42</v>
      </c>
      <c r="H539" s="1" t="s">
        <v>270</v>
      </c>
      <c r="I539" s="1" t="s">
        <v>271</v>
      </c>
      <c r="J539" s="1" t="s">
        <v>46</v>
      </c>
      <c r="K539" s="1" t="s">
        <v>70</v>
      </c>
      <c r="L539" s="1" t="s">
        <v>1754</v>
      </c>
      <c r="M539" s="1" t="s">
        <v>65</v>
      </c>
      <c r="N539" s="1" t="s">
        <v>2822</v>
      </c>
      <c r="O539" s="1" t="s">
        <v>5891</v>
      </c>
      <c r="P539" s="1" t="s">
        <v>128</v>
      </c>
      <c r="Q539" s="1" t="s">
        <v>5892</v>
      </c>
      <c r="R539" s="1" t="s">
        <v>5893</v>
      </c>
      <c r="S539" s="1" t="s">
        <v>5894</v>
      </c>
      <c r="T539" s="1" t="s">
        <v>185</v>
      </c>
      <c r="U539" s="1" t="s">
        <v>93</v>
      </c>
    </row>
    <row r="540" customFormat="false" ht="15" hidden="false" customHeight="true" outlineLevel="0" collapsed="false">
      <c r="A540" s="1" t="s">
        <v>1755</v>
      </c>
      <c r="B540" s="1" t="s">
        <v>5491</v>
      </c>
      <c r="C540" s="1" t="s">
        <v>5895</v>
      </c>
      <c r="D540" s="1" t="s">
        <v>1756</v>
      </c>
      <c r="E540" s="1" t="s">
        <v>192</v>
      </c>
      <c r="F540" s="1" t="s">
        <v>58</v>
      </c>
      <c r="G540" s="1" t="s">
        <v>59</v>
      </c>
      <c r="H540" s="1" t="s">
        <v>262</v>
      </c>
      <c r="I540" s="1" t="s">
        <v>263</v>
      </c>
      <c r="J540" s="1" t="s">
        <v>62</v>
      </c>
      <c r="K540" s="1" t="s">
        <v>63</v>
      </c>
      <c r="L540" s="1" t="s">
        <v>1757</v>
      </c>
      <c r="M540" s="1" t="s">
        <v>49</v>
      </c>
      <c r="N540" s="1" t="s">
        <v>2899</v>
      </c>
      <c r="O540" s="1" t="s">
        <v>5896</v>
      </c>
      <c r="P540" s="1" t="s">
        <v>107</v>
      </c>
      <c r="Q540" s="1" t="s">
        <v>5897</v>
      </c>
      <c r="R540" s="1" t="s">
        <v>5898</v>
      </c>
      <c r="S540" s="1" t="s">
        <v>5899</v>
      </c>
      <c r="T540" s="1" t="s">
        <v>52</v>
      </c>
      <c r="U540" s="1" t="s">
        <v>53</v>
      </c>
    </row>
    <row r="541" customFormat="false" ht="15" hidden="false" customHeight="true" outlineLevel="0" collapsed="false">
      <c r="A541" s="1" t="s">
        <v>1758</v>
      </c>
      <c r="B541" s="1" t="s">
        <v>4244</v>
      </c>
      <c r="C541" s="1" t="s">
        <v>5673</v>
      </c>
      <c r="D541" s="1" t="s">
        <v>1759</v>
      </c>
      <c r="E541" s="1" t="s">
        <v>5900</v>
      </c>
      <c r="F541" s="1" t="s">
        <v>58</v>
      </c>
      <c r="G541" s="1" t="s">
        <v>78</v>
      </c>
      <c r="H541" s="1" t="s">
        <v>281</v>
      </c>
      <c r="I541" s="1" t="s">
        <v>282</v>
      </c>
      <c r="J541" s="1" t="s">
        <v>62</v>
      </c>
      <c r="K541" s="1" t="s">
        <v>91</v>
      </c>
      <c r="L541" s="1" t="s">
        <v>1760</v>
      </c>
      <c r="M541" s="1" t="s">
        <v>83</v>
      </c>
      <c r="N541" s="1" t="s">
        <v>2822</v>
      </c>
      <c r="O541" s="1" t="s">
        <v>5901</v>
      </c>
      <c r="P541" s="1" t="s">
        <v>203</v>
      </c>
      <c r="Q541" s="1" t="s">
        <v>5902</v>
      </c>
      <c r="R541" s="1" t="s">
        <v>5903</v>
      </c>
      <c r="S541" s="1" t="s">
        <v>5904</v>
      </c>
      <c r="T541" s="1" t="s">
        <v>52</v>
      </c>
      <c r="U541" s="1" t="s">
        <v>93</v>
      </c>
    </row>
    <row r="542" customFormat="false" ht="15" hidden="false" customHeight="true" outlineLevel="0" collapsed="false">
      <c r="A542" s="1" t="s">
        <v>1761</v>
      </c>
      <c r="B542" s="1" t="s">
        <v>5905</v>
      </c>
      <c r="C542" s="1" t="s">
        <v>5584</v>
      </c>
      <c r="D542" s="1" t="s">
        <v>1762</v>
      </c>
      <c r="E542" s="1" t="s">
        <v>298</v>
      </c>
      <c r="F542" s="1" t="s">
        <v>41</v>
      </c>
      <c r="G542" s="1" t="s">
        <v>88</v>
      </c>
      <c r="H542" s="1" t="s">
        <v>211</v>
      </c>
      <c r="I542" s="1" t="s">
        <v>212</v>
      </c>
      <c r="J542" s="1" t="s">
        <v>62</v>
      </c>
      <c r="K542" s="1" t="s">
        <v>81</v>
      </c>
      <c r="L542" s="1" t="s">
        <v>1763</v>
      </c>
      <c r="M542" s="1" t="s">
        <v>83</v>
      </c>
      <c r="N542" s="1" t="s">
        <v>2906</v>
      </c>
      <c r="O542" s="1" t="s">
        <v>5906</v>
      </c>
      <c r="P542" s="1" t="s">
        <v>50</v>
      </c>
      <c r="Q542" s="1" t="s">
        <v>5907</v>
      </c>
      <c r="R542" s="1" t="s">
        <v>5908</v>
      </c>
      <c r="S542" s="1" t="s">
        <v>5909</v>
      </c>
      <c r="T542" s="1" t="s">
        <v>52</v>
      </c>
      <c r="U542" s="1" t="s">
        <v>53</v>
      </c>
    </row>
    <row r="543" customFormat="false" ht="15" hidden="false" customHeight="true" outlineLevel="0" collapsed="false">
      <c r="A543" s="1" t="s">
        <v>1764</v>
      </c>
      <c r="B543" s="1" t="s">
        <v>5910</v>
      </c>
      <c r="C543" s="1" t="s">
        <v>5911</v>
      </c>
      <c r="D543" s="1" t="s">
        <v>1765</v>
      </c>
      <c r="E543" s="1" t="s">
        <v>159</v>
      </c>
      <c r="F543" s="1" t="s">
        <v>41</v>
      </c>
      <c r="G543" s="1" t="s">
        <v>88</v>
      </c>
      <c r="H543" s="1" t="s">
        <v>89</v>
      </c>
      <c r="I543" s="1" t="s">
        <v>90</v>
      </c>
      <c r="J543" s="1" t="s">
        <v>99</v>
      </c>
      <c r="K543" s="1" t="s">
        <v>105</v>
      </c>
      <c r="L543" s="1" t="s">
        <v>1766</v>
      </c>
      <c r="M543" s="1" t="s">
        <v>65</v>
      </c>
      <c r="N543" s="1" t="s">
        <v>2822</v>
      </c>
      <c r="O543" s="1" t="s">
        <v>5912</v>
      </c>
      <c r="P543" s="1" t="s">
        <v>66</v>
      </c>
      <c r="Q543" s="1" t="s">
        <v>5913</v>
      </c>
      <c r="R543" s="1" t="s">
        <v>5914</v>
      </c>
      <c r="S543" s="1" t="s">
        <v>5915</v>
      </c>
      <c r="T543" s="1" t="s">
        <v>52</v>
      </c>
      <c r="U543" s="1" t="s">
        <v>130</v>
      </c>
    </row>
    <row r="544" customFormat="false" ht="15" hidden="false" customHeight="true" outlineLevel="0" collapsed="false">
      <c r="A544" s="1" t="s">
        <v>1767</v>
      </c>
      <c r="B544" s="1" t="s">
        <v>5916</v>
      </c>
      <c r="C544" s="1" t="s">
        <v>5917</v>
      </c>
      <c r="D544" s="1" t="s">
        <v>1768</v>
      </c>
      <c r="E544" s="1" t="s">
        <v>145</v>
      </c>
      <c r="F544" s="1" t="s">
        <v>121</v>
      </c>
      <c r="G544" s="1" t="s">
        <v>78</v>
      </c>
      <c r="H544" s="1" t="s">
        <v>216</v>
      </c>
      <c r="I544" s="1" t="s">
        <v>217</v>
      </c>
      <c r="J544" s="1" t="s">
        <v>62</v>
      </c>
      <c r="K544" s="1" t="s">
        <v>188</v>
      </c>
      <c r="L544" s="1" t="s">
        <v>1769</v>
      </c>
      <c r="M544" s="1" t="s">
        <v>49</v>
      </c>
      <c r="N544" s="1" t="s">
        <v>2822</v>
      </c>
      <c r="O544" s="1" t="s">
        <v>5918</v>
      </c>
      <c r="P544" s="1" t="s">
        <v>50</v>
      </c>
      <c r="Q544" s="1" t="s">
        <v>5919</v>
      </c>
      <c r="R544" s="1" t="s">
        <v>5920</v>
      </c>
      <c r="S544" s="1" t="s">
        <v>5921</v>
      </c>
      <c r="T544" s="1" t="s">
        <v>52</v>
      </c>
      <c r="U544" s="1" t="s">
        <v>5922</v>
      </c>
    </row>
    <row r="545" customFormat="false" ht="15" hidden="false" customHeight="true" outlineLevel="0" collapsed="false">
      <c r="A545" s="1" t="s">
        <v>1770</v>
      </c>
      <c r="B545" s="1" t="s">
        <v>5923</v>
      </c>
      <c r="C545" s="1" t="s">
        <v>3284</v>
      </c>
      <c r="D545" s="1" t="s">
        <v>1771</v>
      </c>
      <c r="E545" s="1" t="s">
        <v>57</v>
      </c>
      <c r="F545" s="1" t="s">
        <v>41</v>
      </c>
      <c r="G545" s="1" t="s">
        <v>59</v>
      </c>
      <c r="H545" s="1" t="s">
        <v>174</v>
      </c>
      <c r="I545" s="1" t="s">
        <v>175</v>
      </c>
      <c r="J545" s="1" t="s">
        <v>99</v>
      </c>
      <c r="K545" s="1" t="s">
        <v>105</v>
      </c>
      <c r="L545" s="1" t="s">
        <v>1772</v>
      </c>
      <c r="M545" s="1" t="s">
        <v>65</v>
      </c>
      <c r="N545" s="1" t="s">
        <v>2836</v>
      </c>
      <c r="O545" s="1" t="s">
        <v>5924</v>
      </c>
      <c r="P545" s="1" t="s">
        <v>107</v>
      </c>
      <c r="Q545" s="1" t="s">
        <v>5925</v>
      </c>
      <c r="R545" s="1" t="s">
        <v>5926</v>
      </c>
      <c r="S545" s="1" t="s">
        <v>5927</v>
      </c>
      <c r="T545" s="1" t="s">
        <v>52</v>
      </c>
      <c r="U545" s="1" t="s">
        <v>53</v>
      </c>
    </row>
    <row r="546" customFormat="false" ht="15" hidden="false" customHeight="true" outlineLevel="0" collapsed="false">
      <c r="A546" s="1" t="s">
        <v>1773</v>
      </c>
      <c r="B546" s="1" t="s">
        <v>5928</v>
      </c>
      <c r="C546" s="1" t="s">
        <v>5240</v>
      </c>
      <c r="D546" s="1" t="s">
        <v>1774</v>
      </c>
      <c r="E546" s="1" t="s">
        <v>87</v>
      </c>
      <c r="F546" s="1" t="s">
        <v>41</v>
      </c>
      <c r="G546" s="1" t="s">
        <v>78</v>
      </c>
      <c r="H546" s="1" t="s">
        <v>216</v>
      </c>
      <c r="I546" s="1" t="s">
        <v>217</v>
      </c>
      <c r="J546" s="1" t="s">
        <v>46</v>
      </c>
      <c r="K546" s="1" t="s">
        <v>70</v>
      </c>
      <c r="L546" s="1" t="s">
        <v>1775</v>
      </c>
      <c r="M546" s="1" t="s">
        <v>65</v>
      </c>
      <c r="N546" s="1" t="s">
        <v>2861</v>
      </c>
      <c r="O546" s="1" t="s">
        <v>5929</v>
      </c>
      <c r="P546" s="1" t="s">
        <v>84</v>
      </c>
      <c r="Q546" s="1" t="s">
        <v>5930</v>
      </c>
      <c r="R546" s="1" t="s">
        <v>5931</v>
      </c>
      <c r="S546" s="1" t="s">
        <v>5932</v>
      </c>
      <c r="T546" s="1" t="s">
        <v>52</v>
      </c>
      <c r="U546" s="1" t="s">
        <v>93</v>
      </c>
    </row>
    <row r="547" customFormat="false" ht="15" hidden="false" customHeight="true" outlineLevel="0" collapsed="false">
      <c r="A547" s="1" t="s">
        <v>1776</v>
      </c>
      <c r="B547" s="1" t="s">
        <v>5933</v>
      </c>
      <c r="C547" s="1" t="s">
        <v>5934</v>
      </c>
      <c r="D547" s="1" t="s">
        <v>1777</v>
      </c>
      <c r="E547" s="1" t="s">
        <v>298</v>
      </c>
      <c r="F547" s="1" t="s">
        <v>58</v>
      </c>
      <c r="G547" s="1" t="s">
        <v>59</v>
      </c>
      <c r="H547" s="1" t="s">
        <v>262</v>
      </c>
      <c r="I547" s="1" t="s">
        <v>263</v>
      </c>
      <c r="J547" s="1" t="s">
        <v>46</v>
      </c>
      <c r="K547" s="1" t="s">
        <v>151</v>
      </c>
      <c r="L547" s="1" t="s">
        <v>1778</v>
      </c>
      <c r="M547" s="1" t="s">
        <v>65</v>
      </c>
      <c r="N547" s="1" t="s">
        <v>2906</v>
      </c>
      <c r="O547" s="1" t="s">
        <v>5935</v>
      </c>
      <c r="P547" s="1" t="s">
        <v>107</v>
      </c>
      <c r="Q547" s="1" t="s">
        <v>5936</v>
      </c>
      <c r="R547" s="1" t="s">
        <v>5937</v>
      </c>
      <c r="S547" s="1" t="s">
        <v>5938</v>
      </c>
      <c r="T547" s="1" t="s">
        <v>52</v>
      </c>
      <c r="U547" s="1" t="s">
        <v>53</v>
      </c>
    </row>
    <row r="548" customFormat="false" ht="15" hidden="false" customHeight="true" outlineLevel="0" collapsed="false">
      <c r="A548" s="1" t="s">
        <v>1779</v>
      </c>
      <c r="B548" s="1" t="s">
        <v>5939</v>
      </c>
      <c r="C548" s="1" t="s">
        <v>4561</v>
      </c>
      <c r="D548" s="1" t="s">
        <v>1780</v>
      </c>
      <c r="E548" s="1" t="s">
        <v>77</v>
      </c>
      <c r="F548" s="1" t="s">
        <v>116</v>
      </c>
      <c r="G548" s="1" t="s">
        <v>88</v>
      </c>
      <c r="H548" s="1" t="s">
        <v>211</v>
      </c>
      <c r="I548" s="1" t="s">
        <v>212</v>
      </c>
      <c r="J548" s="1" t="s">
        <v>5940</v>
      </c>
      <c r="K548" s="1" t="s">
        <v>47</v>
      </c>
      <c r="L548" s="1" t="s">
        <v>1781</v>
      </c>
      <c r="M548" s="1" t="s">
        <v>72</v>
      </c>
      <c r="N548" s="1" t="s">
        <v>2829</v>
      </c>
      <c r="O548" s="1" t="s">
        <v>5941</v>
      </c>
      <c r="P548" s="1" t="s">
        <v>107</v>
      </c>
      <c r="Q548" s="1" t="s">
        <v>5942</v>
      </c>
      <c r="R548" s="1" t="s">
        <v>5943</v>
      </c>
      <c r="S548" s="1" t="s">
        <v>5944</v>
      </c>
      <c r="T548" s="1" t="s">
        <v>52</v>
      </c>
      <c r="U548" s="1" t="s">
        <v>53</v>
      </c>
    </row>
    <row r="549" customFormat="false" ht="15" hidden="false" customHeight="true" outlineLevel="0" collapsed="false">
      <c r="A549" s="1" t="s">
        <v>1782</v>
      </c>
      <c r="B549" s="1" t="s">
        <v>5945</v>
      </c>
      <c r="C549" s="1" t="s">
        <v>5946</v>
      </c>
      <c r="D549" s="1" t="s">
        <v>1783</v>
      </c>
      <c r="E549" s="1" t="s">
        <v>104</v>
      </c>
      <c r="F549" s="1" t="s">
        <v>58</v>
      </c>
      <c r="G549" s="1" t="s">
        <v>42</v>
      </c>
      <c r="H549" s="1" t="s">
        <v>163</v>
      </c>
      <c r="I549" s="1" t="s">
        <v>164</v>
      </c>
      <c r="J549" s="1" t="s">
        <v>99</v>
      </c>
      <c r="K549" s="1" t="s">
        <v>105</v>
      </c>
      <c r="L549" s="1" t="s">
        <v>1784</v>
      </c>
      <c r="M549" s="1" t="s">
        <v>83</v>
      </c>
      <c r="N549" s="1" t="s">
        <v>2899</v>
      </c>
      <c r="O549" s="1" t="s">
        <v>5947</v>
      </c>
      <c r="P549" s="1" t="s">
        <v>203</v>
      </c>
      <c r="Q549" s="1" t="s">
        <v>5948</v>
      </c>
      <c r="R549" s="1" t="s">
        <v>5949</v>
      </c>
      <c r="S549" s="1" t="s">
        <v>5950</v>
      </c>
      <c r="T549" s="1" t="s">
        <v>52</v>
      </c>
      <c r="U549" s="1" t="s">
        <v>53</v>
      </c>
    </row>
    <row r="550" customFormat="false" ht="15" hidden="false" customHeight="true" outlineLevel="0" collapsed="false">
      <c r="A550" s="1" t="s">
        <v>1785</v>
      </c>
      <c r="B550" s="1" t="s">
        <v>3142</v>
      </c>
      <c r="C550" s="1" t="s">
        <v>3141</v>
      </c>
      <c r="D550" s="1" t="s">
        <v>1786</v>
      </c>
      <c r="E550" s="1" t="s">
        <v>168</v>
      </c>
      <c r="F550" s="1" t="s">
        <v>116</v>
      </c>
      <c r="G550" s="1" t="s">
        <v>59</v>
      </c>
      <c r="H550" s="1" t="s">
        <v>174</v>
      </c>
      <c r="I550" s="1" t="s">
        <v>175</v>
      </c>
      <c r="J550" s="1" t="s">
        <v>62</v>
      </c>
      <c r="K550" s="1" t="s">
        <v>188</v>
      </c>
      <c r="L550" s="1" t="s">
        <v>1787</v>
      </c>
      <c r="M550" s="1" t="s">
        <v>65</v>
      </c>
      <c r="N550" s="1" t="s">
        <v>2836</v>
      </c>
      <c r="O550" s="1" t="s">
        <v>5951</v>
      </c>
      <c r="P550" s="1" t="s">
        <v>66</v>
      </c>
      <c r="Q550" s="1" t="s">
        <v>5951</v>
      </c>
      <c r="R550" s="1" t="s">
        <v>5952</v>
      </c>
      <c r="S550" s="1" t="s">
        <v>5953</v>
      </c>
      <c r="T550" s="1" t="s">
        <v>138</v>
      </c>
      <c r="U550" s="1" t="s">
        <v>93</v>
      </c>
    </row>
    <row r="551" customFormat="false" ht="15" hidden="false" customHeight="true" outlineLevel="0" collapsed="false">
      <c r="A551" s="1" t="s">
        <v>1788</v>
      </c>
      <c r="B551" s="1" t="s">
        <v>2911</v>
      </c>
      <c r="C551" s="1" t="s">
        <v>2912</v>
      </c>
      <c r="D551" s="1" t="s">
        <v>1789</v>
      </c>
      <c r="E551" s="1" t="s">
        <v>57</v>
      </c>
      <c r="F551" s="1" t="s">
        <v>116</v>
      </c>
      <c r="G551" s="1" t="s">
        <v>78</v>
      </c>
      <c r="H551" s="1" t="s">
        <v>79</v>
      </c>
      <c r="I551" s="1" t="s">
        <v>80</v>
      </c>
      <c r="J551" s="1" t="s">
        <v>46</v>
      </c>
      <c r="K551" s="1" t="s">
        <v>70</v>
      </c>
      <c r="L551" s="1" t="s">
        <v>1790</v>
      </c>
      <c r="M551" s="1" t="s">
        <v>49</v>
      </c>
      <c r="N551" s="1" t="s">
        <v>2822</v>
      </c>
      <c r="O551" s="1" t="s">
        <v>2913</v>
      </c>
      <c r="P551" s="1" t="s">
        <v>203</v>
      </c>
      <c r="Q551" s="1" t="s">
        <v>2914</v>
      </c>
      <c r="R551" s="1" t="s">
        <v>2915</v>
      </c>
      <c r="S551" s="1" t="s">
        <v>2916</v>
      </c>
      <c r="T551" s="1" t="s">
        <v>52</v>
      </c>
      <c r="U551" s="1" t="s">
        <v>53</v>
      </c>
    </row>
    <row r="552" customFormat="false" ht="15" hidden="false" customHeight="true" outlineLevel="0" collapsed="false">
      <c r="A552" s="1" t="s">
        <v>1791</v>
      </c>
      <c r="B552" s="1" t="s">
        <v>3446</v>
      </c>
      <c r="C552" s="1" t="s">
        <v>5954</v>
      </c>
      <c r="D552" s="1" t="s">
        <v>1792</v>
      </c>
      <c r="E552" s="1" t="s">
        <v>57</v>
      </c>
      <c r="F552" s="1" t="s">
        <v>121</v>
      </c>
      <c r="G552" s="1" t="s">
        <v>59</v>
      </c>
      <c r="H552" s="1" t="s">
        <v>60</v>
      </c>
      <c r="I552" s="1" t="s">
        <v>61</v>
      </c>
      <c r="J552" s="1" t="s">
        <v>99</v>
      </c>
      <c r="K552" s="1" t="s">
        <v>100</v>
      </c>
      <c r="L552" s="1" t="s">
        <v>1793</v>
      </c>
      <c r="M552" s="1" t="s">
        <v>83</v>
      </c>
      <c r="N552" s="1" t="s">
        <v>2815</v>
      </c>
      <c r="O552" s="1" t="s">
        <v>5955</v>
      </c>
      <c r="P552" s="1" t="s">
        <v>50</v>
      </c>
      <c r="Q552" s="1" t="s">
        <v>5956</v>
      </c>
      <c r="R552" s="1" t="s">
        <v>5957</v>
      </c>
      <c r="S552" s="1" t="s">
        <v>5958</v>
      </c>
      <c r="T552" s="1" t="s">
        <v>52</v>
      </c>
      <c r="U552" s="1" t="s">
        <v>53</v>
      </c>
    </row>
    <row r="553" customFormat="false" ht="15" hidden="false" customHeight="true" outlineLevel="0" collapsed="false">
      <c r="A553" s="1" t="s">
        <v>1794</v>
      </c>
      <c r="B553" s="1" t="s">
        <v>5275</v>
      </c>
      <c r="C553" s="1" t="s">
        <v>5959</v>
      </c>
      <c r="D553" s="1" t="s">
        <v>1795</v>
      </c>
      <c r="E553" s="1" t="s">
        <v>159</v>
      </c>
      <c r="F553" s="1" t="s">
        <v>41</v>
      </c>
      <c r="G553" s="1" t="s">
        <v>59</v>
      </c>
      <c r="H553" s="1" t="s">
        <v>262</v>
      </c>
      <c r="I553" s="1" t="s">
        <v>263</v>
      </c>
      <c r="J553" s="1" t="s">
        <v>62</v>
      </c>
      <c r="K553" s="1" t="s">
        <v>91</v>
      </c>
      <c r="L553" s="1" t="s">
        <v>1796</v>
      </c>
      <c r="M553" s="1" t="s">
        <v>49</v>
      </c>
      <c r="N553" s="1" t="s">
        <v>2822</v>
      </c>
      <c r="O553" s="1" t="s">
        <v>5960</v>
      </c>
      <c r="P553" s="1" t="s">
        <v>107</v>
      </c>
      <c r="Q553" s="1" t="s">
        <v>5961</v>
      </c>
      <c r="R553" s="1" t="s">
        <v>5962</v>
      </c>
      <c r="S553" s="1" t="s">
        <v>5963</v>
      </c>
      <c r="T553" s="1" t="s">
        <v>52</v>
      </c>
      <c r="U553" s="1" t="s">
        <v>53</v>
      </c>
    </row>
    <row r="554" customFormat="false" ht="15" hidden="false" customHeight="true" outlineLevel="0" collapsed="false">
      <c r="A554" s="1" t="s">
        <v>1797</v>
      </c>
      <c r="B554" s="1" t="s">
        <v>3060</v>
      </c>
      <c r="C554" s="1" t="s">
        <v>3218</v>
      </c>
      <c r="D554" s="1" t="s">
        <v>1798</v>
      </c>
      <c r="E554" s="1" t="s">
        <v>87</v>
      </c>
      <c r="F554" s="1" t="s">
        <v>116</v>
      </c>
      <c r="G554" s="1" t="s">
        <v>59</v>
      </c>
      <c r="H554" s="1" t="s">
        <v>125</v>
      </c>
      <c r="I554" s="1" t="s">
        <v>126</v>
      </c>
      <c r="J554" s="1" t="s">
        <v>99</v>
      </c>
      <c r="K554" s="1" t="s">
        <v>105</v>
      </c>
      <c r="L554" s="1" t="s">
        <v>1799</v>
      </c>
      <c r="M554" s="1" t="s">
        <v>83</v>
      </c>
      <c r="N554" s="1" t="s">
        <v>2861</v>
      </c>
      <c r="O554" s="1" t="s">
        <v>5964</v>
      </c>
      <c r="P554" s="1" t="s">
        <v>499</v>
      </c>
      <c r="Q554" s="1" t="s">
        <v>5965</v>
      </c>
      <c r="R554" s="1" t="s">
        <v>5966</v>
      </c>
      <c r="S554" s="1" t="s">
        <v>5967</v>
      </c>
      <c r="T554" s="1" t="s">
        <v>52</v>
      </c>
      <c r="U554" s="1" t="s">
        <v>53</v>
      </c>
    </row>
    <row r="555" customFormat="false" ht="15" hidden="false" customHeight="true" outlineLevel="0" collapsed="false">
      <c r="A555" s="1" t="s">
        <v>1800</v>
      </c>
      <c r="B555" s="1" t="s">
        <v>5968</v>
      </c>
      <c r="C555" s="1" t="s">
        <v>5969</v>
      </c>
      <c r="D555" s="1" t="s">
        <v>1801</v>
      </c>
      <c r="E555" s="1" t="s">
        <v>155</v>
      </c>
      <c r="F555" s="1" t="s">
        <v>58</v>
      </c>
      <c r="G555" s="1" t="s">
        <v>88</v>
      </c>
      <c r="H555" s="1" t="s">
        <v>211</v>
      </c>
      <c r="I555" s="1" t="s">
        <v>212</v>
      </c>
      <c r="J555" s="1" t="s">
        <v>46</v>
      </c>
      <c r="K555" s="1" t="s">
        <v>151</v>
      </c>
      <c r="L555" s="1" t="s">
        <v>1802</v>
      </c>
      <c r="M555" s="1" t="s">
        <v>72</v>
      </c>
      <c r="N555" s="1" t="s">
        <v>2899</v>
      </c>
      <c r="O555" s="1" t="s">
        <v>5970</v>
      </c>
      <c r="P555" s="1" t="s">
        <v>84</v>
      </c>
      <c r="Q555" s="1" t="s">
        <v>5971</v>
      </c>
      <c r="R555" s="1" t="s">
        <v>5972</v>
      </c>
      <c r="S555" s="1" t="s">
        <v>5973</v>
      </c>
      <c r="T555" s="1" t="s">
        <v>52</v>
      </c>
      <c r="U555" s="1" t="s">
        <v>53</v>
      </c>
    </row>
    <row r="556" customFormat="false" ht="15" hidden="false" customHeight="true" outlineLevel="0" collapsed="false">
      <c r="A556" s="1" t="s">
        <v>1803</v>
      </c>
      <c r="B556" s="1" t="s">
        <v>5974</v>
      </c>
      <c r="C556" s="1" t="s">
        <v>5975</v>
      </c>
      <c r="D556" s="1" t="s">
        <v>1804</v>
      </c>
      <c r="E556" s="1" t="s">
        <v>77</v>
      </c>
      <c r="F556" s="1" t="s">
        <v>41</v>
      </c>
      <c r="H556" s="1" t="s">
        <v>262</v>
      </c>
      <c r="I556" s="1" t="s">
        <v>263</v>
      </c>
      <c r="J556" s="1" t="s">
        <v>62</v>
      </c>
      <c r="K556" s="1" t="s">
        <v>81</v>
      </c>
      <c r="L556" s="1" t="s">
        <v>1805</v>
      </c>
      <c r="M556" s="1" t="s">
        <v>83</v>
      </c>
      <c r="N556" s="1" t="s">
        <v>2937</v>
      </c>
      <c r="O556" s="1" t="s">
        <v>5976</v>
      </c>
      <c r="P556" s="1" t="s">
        <v>128</v>
      </c>
      <c r="Q556" s="1" t="s">
        <v>5977</v>
      </c>
      <c r="R556" s="1" t="s">
        <v>5978</v>
      </c>
      <c r="S556" s="1" t="s">
        <v>5979</v>
      </c>
      <c r="T556" s="1" t="s">
        <v>52</v>
      </c>
      <c r="U556" s="1" t="s">
        <v>53</v>
      </c>
    </row>
    <row r="557" customFormat="false" ht="15" hidden="false" customHeight="true" outlineLevel="0" collapsed="false">
      <c r="A557" s="1" t="s">
        <v>1806</v>
      </c>
      <c r="B557" s="1" t="s">
        <v>3844</v>
      </c>
      <c r="C557" s="1" t="s">
        <v>5980</v>
      </c>
      <c r="D557" s="1" t="s">
        <v>1807</v>
      </c>
      <c r="E557" s="1" t="s">
        <v>87</v>
      </c>
      <c r="F557" s="1" t="s">
        <v>58</v>
      </c>
      <c r="G557" s="1" t="s">
        <v>78</v>
      </c>
      <c r="H557" s="1" t="s">
        <v>79</v>
      </c>
      <c r="I557" s="1" t="s">
        <v>80</v>
      </c>
      <c r="J557" s="1" t="s">
        <v>46</v>
      </c>
      <c r="K557" s="1" t="s">
        <v>151</v>
      </c>
      <c r="L557" s="1" t="s">
        <v>1808</v>
      </c>
      <c r="M557" s="1" t="s">
        <v>83</v>
      </c>
      <c r="N557" s="1" t="s">
        <v>2815</v>
      </c>
      <c r="O557" s="1" t="s">
        <v>5981</v>
      </c>
      <c r="P557" s="1" t="s">
        <v>128</v>
      </c>
      <c r="Q557" s="1" t="s">
        <v>5982</v>
      </c>
      <c r="R557" s="1" t="s">
        <v>5983</v>
      </c>
      <c r="S557" s="1" t="s">
        <v>5984</v>
      </c>
      <c r="T557" s="1" t="s">
        <v>52</v>
      </c>
      <c r="U557" s="1" t="s">
        <v>53</v>
      </c>
    </row>
    <row r="558" customFormat="false" ht="15" hidden="false" customHeight="true" outlineLevel="0" collapsed="false">
      <c r="A558" s="1" t="s">
        <v>1809</v>
      </c>
      <c r="B558" s="1" t="s">
        <v>4635</v>
      </c>
      <c r="C558" s="1" t="s">
        <v>5282</v>
      </c>
      <c r="D558" s="1" t="s">
        <v>1810</v>
      </c>
      <c r="E558" s="1" t="s">
        <v>104</v>
      </c>
      <c r="F558" s="1" t="s">
        <v>41</v>
      </c>
      <c r="G558" s="1" t="s">
        <v>42</v>
      </c>
      <c r="H558" s="1" t="s">
        <v>270</v>
      </c>
      <c r="I558" s="1" t="s">
        <v>271</v>
      </c>
      <c r="J558" s="1" t="s">
        <v>62</v>
      </c>
      <c r="K558" s="1" t="s">
        <v>63</v>
      </c>
      <c r="L558" s="1" t="s">
        <v>1811</v>
      </c>
      <c r="M558" s="1" t="s">
        <v>72</v>
      </c>
      <c r="N558" s="1" t="s">
        <v>2836</v>
      </c>
      <c r="O558" s="1" t="s">
        <v>5985</v>
      </c>
      <c r="P558" s="1" t="s">
        <v>66</v>
      </c>
      <c r="Q558" s="1" t="s">
        <v>5985</v>
      </c>
      <c r="R558" s="1" t="s">
        <v>5986</v>
      </c>
      <c r="S558" s="1" t="s">
        <v>5987</v>
      </c>
      <c r="T558" s="1" t="s">
        <v>52</v>
      </c>
      <c r="U558" s="1" t="s">
        <v>130</v>
      </c>
    </row>
    <row r="559" customFormat="false" ht="15" hidden="false" customHeight="true" outlineLevel="0" collapsed="false">
      <c r="A559" s="1" t="s">
        <v>1812</v>
      </c>
      <c r="B559" s="1" t="s">
        <v>5988</v>
      </c>
      <c r="C559" s="1" t="s">
        <v>5989</v>
      </c>
      <c r="D559" s="1" t="s">
        <v>1813</v>
      </c>
      <c r="E559" s="1" t="s">
        <v>96</v>
      </c>
      <c r="F559" s="1" t="s">
        <v>121</v>
      </c>
      <c r="G559" s="1" t="s">
        <v>42</v>
      </c>
      <c r="H559" s="1" t="s">
        <v>270</v>
      </c>
      <c r="I559" s="1" t="s">
        <v>271</v>
      </c>
      <c r="J559" s="1" t="s">
        <v>99</v>
      </c>
      <c r="K559" s="1" t="s">
        <v>201</v>
      </c>
      <c r="L559" s="1" t="s">
        <v>1814</v>
      </c>
      <c r="M559" s="1" t="s">
        <v>72</v>
      </c>
      <c r="N559" s="1" t="s">
        <v>2899</v>
      </c>
      <c r="O559" s="1" t="s">
        <v>5990</v>
      </c>
      <c r="P559" s="1" t="s">
        <v>128</v>
      </c>
      <c r="Q559" s="1" t="s">
        <v>5991</v>
      </c>
      <c r="R559" s="1" t="s">
        <v>5992</v>
      </c>
      <c r="S559" s="1" t="s">
        <v>5993</v>
      </c>
      <c r="T559" s="1" t="s">
        <v>52</v>
      </c>
      <c r="U559" s="1" t="s">
        <v>93</v>
      </c>
    </row>
    <row r="560" customFormat="false" ht="15" hidden="false" customHeight="true" outlineLevel="0" collapsed="false">
      <c r="A560" s="1" t="s">
        <v>1815</v>
      </c>
      <c r="B560" s="1" t="s">
        <v>5994</v>
      </c>
      <c r="C560" s="1" t="s">
        <v>5995</v>
      </c>
      <c r="D560" s="1" t="s">
        <v>1816</v>
      </c>
      <c r="E560" s="1" t="s">
        <v>115</v>
      </c>
      <c r="F560" s="1" t="s">
        <v>116</v>
      </c>
      <c r="G560" s="1" t="s">
        <v>42</v>
      </c>
      <c r="H560" s="1" t="s">
        <v>149</v>
      </c>
      <c r="I560" s="1" t="s">
        <v>150</v>
      </c>
      <c r="J560" s="1" t="s">
        <v>99</v>
      </c>
      <c r="K560" s="1" t="s">
        <v>308</v>
      </c>
      <c r="L560" s="1" t="s">
        <v>1817</v>
      </c>
      <c r="M560" s="1" t="s">
        <v>72</v>
      </c>
      <c r="N560" s="1" t="s">
        <v>2861</v>
      </c>
      <c r="O560" s="1" t="s">
        <v>5996</v>
      </c>
      <c r="P560" s="1" t="s">
        <v>50</v>
      </c>
      <c r="Q560" s="1" t="s">
        <v>5997</v>
      </c>
      <c r="R560" s="1" t="s">
        <v>5998</v>
      </c>
      <c r="S560" s="1" t="s">
        <v>5999</v>
      </c>
      <c r="T560" s="1" t="s">
        <v>52</v>
      </c>
      <c r="U560" s="1" t="s">
        <v>53</v>
      </c>
    </row>
    <row r="561" customFormat="false" ht="15" hidden="false" customHeight="true" outlineLevel="0" collapsed="false">
      <c r="A561" s="1" t="s">
        <v>1818</v>
      </c>
      <c r="B561" s="1" t="s">
        <v>5480</v>
      </c>
      <c r="C561" s="1" t="s">
        <v>6000</v>
      </c>
      <c r="D561" s="1" t="s">
        <v>1819</v>
      </c>
      <c r="E561" s="1" t="s">
        <v>192</v>
      </c>
      <c r="F561" s="1" t="s">
        <v>116</v>
      </c>
      <c r="G561" s="1" t="s">
        <v>59</v>
      </c>
      <c r="H561" s="1" t="s">
        <v>174</v>
      </c>
      <c r="I561" s="1" t="s">
        <v>175</v>
      </c>
      <c r="J561" s="1" t="s">
        <v>99</v>
      </c>
      <c r="K561" s="1" t="s">
        <v>105</v>
      </c>
      <c r="L561" s="1" t="s">
        <v>1820</v>
      </c>
      <c r="M561" s="1" t="s">
        <v>49</v>
      </c>
      <c r="N561" s="1" t="s">
        <v>2829</v>
      </c>
      <c r="O561" s="1" t="s">
        <v>6001</v>
      </c>
      <c r="P561" s="1" t="s">
        <v>203</v>
      </c>
      <c r="Q561" s="1" t="s">
        <v>6002</v>
      </c>
      <c r="R561" s="1" t="s">
        <v>6003</v>
      </c>
      <c r="S561" s="1" t="s">
        <v>6004</v>
      </c>
      <c r="T561" s="1" t="s">
        <v>52</v>
      </c>
      <c r="U561" s="1" t="s">
        <v>130</v>
      </c>
    </row>
    <row r="562" customFormat="false" ht="15" hidden="false" customHeight="true" outlineLevel="0" collapsed="false">
      <c r="A562" s="1" t="s">
        <v>1821</v>
      </c>
      <c r="B562" s="1" t="s">
        <v>6005</v>
      </c>
      <c r="C562" s="1" t="s">
        <v>2841</v>
      </c>
      <c r="D562" s="1" t="s">
        <v>1822</v>
      </c>
      <c r="E562" s="1" t="s">
        <v>77</v>
      </c>
      <c r="F562" s="1" t="s">
        <v>41</v>
      </c>
      <c r="G562" s="1" t="s">
        <v>88</v>
      </c>
      <c r="H562" s="1" t="s">
        <v>221</v>
      </c>
      <c r="I562" s="1" t="s">
        <v>222</v>
      </c>
      <c r="J562" s="1" t="s">
        <v>46</v>
      </c>
      <c r="K562" s="1" t="s">
        <v>151</v>
      </c>
      <c r="L562" s="1" t="s">
        <v>1823</v>
      </c>
      <c r="M562" s="1" t="s">
        <v>83</v>
      </c>
      <c r="N562" s="1" t="s">
        <v>2937</v>
      </c>
      <c r="O562" s="1" t="s">
        <v>6006</v>
      </c>
      <c r="P562" s="1" t="s">
        <v>66</v>
      </c>
      <c r="Q562" s="1" t="s">
        <v>6007</v>
      </c>
      <c r="R562" s="1" t="s">
        <v>6008</v>
      </c>
      <c r="S562" s="1" t="s">
        <v>6009</v>
      </c>
      <c r="T562" s="1" t="s">
        <v>52</v>
      </c>
      <c r="U562" s="1" t="s">
        <v>93</v>
      </c>
    </row>
    <row r="563" customFormat="false" ht="15" hidden="false" customHeight="true" outlineLevel="0" collapsed="false">
      <c r="A563" s="1" t="s">
        <v>1824</v>
      </c>
      <c r="B563" s="1" t="s">
        <v>3699</v>
      </c>
      <c r="C563" s="1" t="s">
        <v>6010</v>
      </c>
      <c r="D563" s="1" t="s">
        <v>1825</v>
      </c>
      <c r="E563" s="1" t="s">
        <v>115</v>
      </c>
      <c r="F563" s="1" t="s">
        <v>41</v>
      </c>
      <c r="G563" s="1" t="s">
        <v>42</v>
      </c>
      <c r="H563" s="1" t="s">
        <v>149</v>
      </c>
      <c r="I563" s="1" t="s">
        <v>150</v>
      </c>
      <c r="J563" s="1" t="s">
        <v>99</v>
      </c>
      <c r="K563" s="1" t="s">
        <v>105</v>
      </c>
      <c r="L563" s="1" t="s">
        <v>1826</v>
      </c>
      <c r="M563" s="1" t="s">
        <v>72</v>
      </c>
      <c r="N563" s="1" t="s">
        <v>2937</v>
      </c>
      <c r="O563" s="1" t="s">
        <v>6011</v>
      </c>
      <c r="P563" s="1" t="s">
        <v>66</v>
      </c>
      <c r="Q563" s="1" t="s">
        <v>6012</v>
      </c>
      <c r="R563" s="1" t="s">
        <v>6013</v>
      </c>
      <c r="S563" s="1" t="s">
        <v>6014</v>
      </c>
      <c r="T563" s="1" t="s">
        <v>138</v>
      </c>
      <c r="U563" s="1" t="s">
        <v>130</v>
      </c>
    </row>
    <row r="564" customFormat="false" ht="15" hidden="false" customHeight="true" outlineLevel="0" collapsed="false">
      <c r="A564" s="1" t="s">
        <v>1827</v>
      </c>
      <c r="B564" s="1" t="s">
        <v>6015</v>
      </c>
      <c r="C564" s="1" t="s">
        <v>5945</v>
      </c>
      <c r="D564" s="1" t="s">
        <v>1828</v>
      </c>
      <c r="E564" s="1" t="s">
        <v>40</v>
      </c>
      <c r="F564" s="1" t="s">
        <v>41</v>
      </c>
      <c r="G564" s="1" t="s">
        <v>42</v>
      </c>
      <c r="H564" s="1" t="s">
        <v>149</v>
      </c>
      <c r="I564" s="1" t="s">
        <v>150</v>
      </c>
      <c r="J564" s="1" t="s">
        <v>46</v>
      </c>
      <c r="K564" s="1" t="s">
        <v>183</v>
      </c>
      <c r="L564" s="1" t="s">
        <v>1829</v>
      </c>
      <c r="M564" s="1" t="s">
        <v>65</v>
      </c>
      <c r="N564" s="1" t="s">
        <v>2906</v>
      </c>
      <c r="O564" s="1" t="s">
        <v>6016</v>
      </c>
      <c r="P564" s="1" t="s">
        <v>50</v>
      </c>
      <c r="Q564" s="1" t="s">
        <v>6017</v>
      </c>
      <c r="R564" s="1" t="s">
        <v>6018</v>
      </c>
      <c r="S564" s="1" t="s">
        <v>6019</v>
      </c>
      <c r="T564" s="1" t="s">
        <v>185</v>
      </c>
      <c r="U564" s="1" t="s">
        <v>130</v>
      </c>
    </row>
    <row r="565" customFormat="false" ht="15" hidden="false" customHeight="true" outlineLevel="0" collapsed="false">
      <c r="A565" s="1" t="s">
        <v>1830</v>
      </c>
      <c r="B565" s="1" t="s">
        <v>6020</v>
      </c>
      <c r="C565" s="1" t="s">
        <v>4913</v>
      </c>
      <c r="D565" s="1" t="s">
        <v>1831</v>
      </c>
      <c r="E565" s="1" t="s">
        <v>77</v>
      </c>
      <c r="F565" s="1" t="s">
        <v>116</v>
      </c>
      <c r="G565" s="1" t="s">
        <v>88</v>
      </c>
      <c r="H565" s="1" t="s">
        <v>221</v>
      </c>
      <c r="I565" s="1" t="s">
        <v>222</v>
      </c>
      <c r="J565" s="1" t="s">
        <v>62</v>
      </c>
      <c r="K565" s="1" t="s">
        <v>63</v>
      </c>
      <c r="L565" s="1" t="s">
        <v>1832</v>
      </c>
      <c r="M565" s="1" t="s">
        <v>83</v>
      </c>
      <c r="N565" s="1" t="s">
        <v>2899</v>
      </c>
      <c r="O565" s="1" t="s">
        <v>6021</v>
      </c>
      <c r="P565" s="1" t="s">
        <v>50</v>
      </c>
      <c r="Q565" s="1" t="s">
        <v>6022</v>
      </c>
      <c r="R565" s="1" t="s">
        <v>6023</v>
      </c>
      <c r="S565" s="1" t="s">
        <v>6024</v>
      </c>
      <c r="T565" s="1" t="s">
        <v>138</v>
      </c>
      <c r="U565" s="1" t="s">
        <v>93</v>
      </c>
    </row>
    <row r="566" customFormat="false" ht="15" hidden="false" customHeight="true" outlineLevel="0" collapsed="false">
      <c r="A566" s="1" t="s">
        <v>1833</v>
      </c>
      <c r="B566" s="1" t="s">
        <v>2984</v>
      </c>
      <c r="C566" s="1" t="s">
        <v>6025</v>
      </c>
      <c r="D566" s="1" t="s">
        <v>1834</v>
      </c>
      <c r="E566" s="1" t="s">
        <v>159</v>
      </c>
      <c r="F566" s="1" t="s">
        <v>116</v>
      </c>
      <c r="G566" s="1" t="s">
        <v>78</v>
      </c>
      <c r="H566" s="1" t="s">
        <v>110</v>
      </c>
      <c r="I566" s="1" t="s">
        <v>111</v>
      </c>
      <c r="J566" s="1" t="s">
        <v>62</v>
      </c>
      <c r="K566" s="1" t="s">
        <v>63</v>
      </c>
      <c r="L566" s="1" t="s">
        <v>1835</v>
      </c>
      <c r="M566" s="1" t="s">
        <v>72</v>
      </c>
      <c r="N566" s="1" t="s">
        <v>2868</v>
      </c>
      <c r="O566" s="1" t="s">
        <v>6026</v>
      </c>
      <c r="P566" s="1" t="s">
        <v>50</v>
      </c>
      <c r="Q566" s="1" t="s">
        <v>6027</v>
      </c>
      <c r="R566" s="1" t="s">
        <v>6028</v>
      </c>
      <c r="S566" s="1" t="s">
        <v>6029</v>
      </c>
      <c r="T566" s="1" t="s">
        <v>52</v>
      </c>
      <c r="U566" s="1" t="s">
        <v>53</v>
      </c>
    </row>
    <row r="567" customFormat="false" ht="15" hidden="false" customHeight="true" outlineLevel="0" collapsed="false">
      <c r="A567" s="1" t="s">
        <v>1836</v>
      </c>
      <c r="B567" s="1" t="s">
        <v>6030</v>
      </c>
      <c r="C567" s="1" t="s">
        <v>3106</v>
      </c>
      <c r="D567" s="1" t="s">
        <v>1837</v>
      </c>
      <c r="E567" s="1" t="s">
        <v>57</v>
      </c>
      <c r="F567" s="1" t="s">
        <v>116</v>
      </c>
      <c r="G567" s="1" t="s">
        <v>42</v>
      </c>
      <c r="H567" s="1" t="s">
        <v>384</v>
      </c>
      <c r="I567" s="1" t="s">
        <v>385</v>
      </c>
      <c r="J567" s="1" t="s">
        <v>99</v>
      </c>
      <c r="K567" s="1" t="s">
        <v>201</v>
      </c>
      <c r="L567" s="1" t="s">
        <v>1838</v>
      </c>
      <c r="M567" s="1" t="s">
        <v>83</v>
      </c>
      <c r="N567" s="1" t="s">
        <v>2815</v>
      </c>
      <c r="O567" s="1" t="s">
        <v>6031</v>
      </c>
      <c r="P567" s="1" t="s">
        <v>50</v>
      </c>
      <c r="Q567" s="1" t="s">
        <v>6032</v>
      </c>
      <c r="R567" s="1" t="s">
        <v>6033</v>
      </c>
      <c r="S567" s="1" t="s">
        <v>6034</v>
      </c>
      <c r="T567" s="1" t="s">
        <v>129</v>
      </c>
      <c r="U567" s="1" t="s">
        <v>93</v>
      </c>
    </row>
    <row r="568" customFormat="false" ht="15" hidden="false" customHeight="true" outlineLevel="0" collapsed="false">
      <c r="A568" s="1" t="s">
        <v>1839</v>
      </c>
      <c r="B568" s="1" t="s">
        <v>5701</v>
      </c>
      <c r="C568" s="1" t="s">
        <v>6035</v>
      </c>
      <c r="D568" s="1" t="s">
        <v>1840</v>
      </c>
      <c r="E568" s="1" t="s">
        <v>159</v>
      </c>
      <c r="F568" s="1" t="s">
        <v>58</v>
      </c>
      <c r="G568" s="1" t="s">
        <v>88</v>
      </c>
      <c r="H568" s="1" t="s">
        <v>89</v>
      </c>
      <c r="I568" s="1" t="s">
        <v>90</v>
      </c>
      <c r="J568" s="1" t="s">
        <v>46</v>
      </c>
      <c r="K568" s="1" t="s">
        <v>47</v>
      </c>
      <c r="L568" s="1" t="s">
        <v>1841</v>
      </c>
      <c r="M568" s="1" t="s">
        <v>65</v>
      </c>
      <c r="N568" s="1" t="s">
        <v>2868</v>
      </c>
      <c r="O568" s="1" t="s">
        <v>6036</v>
      </c>
      <c r="P568" s="1" t="s">
        <v>203</v>
      </c>
      <c r="Q568" s="1" t="s">
        <v>6037</v>
      </c>
      <c r="R568" s="1" t="s">
        <v>6038</v>
      </c>
      <c r="S568" s="1" t="s">
        <v>6039</v>
      </c>
      <c r="T568" s="1" t="s">
        <v>185</v>
      </c>
      <c r="U568" s="1" t="s">
        <v>130</v>
      </c>
    </row>
    <row r="569" customFormat="false" ht="15" hidden="false" customHeight="true" outlineLevel="0" collapsed="false">
      <c r="A569" s="1" t="s">
        <v>1842</v>
      </c>
      <c r="B569" s="1" t="s">
        <v>6040</v>
      </c>
      <c r="C569" s="1" t="s">
        <v>6041</v>
      </c>
      <c r="D569" s="1" t="s">
        <v>1843</v>
      </c>
      <c r="E569" s="1" t="s">
        <v>77</v>
      </c>
      <c r="F569" s="1" t="s">
        <v>121</v>
      </c>
      <c r="G569" s="1" t="s">
        <v>42</v>
      </c>
      <c r="H569" s="1" t="s">
        <v>163</v>
      </c>
      <c r="I569" s="1" t="s">
        <v>164</v>
      </c>
      <c r="J569" s="1" t="s">
        <v>62</v>
      </c>
      <c r="K569" s="1" t="s">
        <v>81</v>
      </c>
      <c r="L569" s="1" t="s">
        <v>634</v>
      </c>
      <c r="M569" s="1" t="s">
        <v>65</v>
      </c>
      <c r="N569" s="1" t="s">
        <v>2836</v>
      </c>
      <c r="O569" s="1" t="s">
        <v>6042</v>
      </c>
      <c r="P569" s="1" t="s">
        <v>128</v>
      </c>
      <c r="Q569" s="1" t="s">
        <v>6043</v>
      </c>
      <c r="R569" s="1" t="s">
        <v>6044</v>
      </c>
      <c r="S569" s="1" t="s">
        <v>6045</v>
      </c>
      <c r="T569" s="1" t="s">
        <v>52</v>
      </c>
      <c r="U569" s="1" t="s">
        <v>53</v>
      </c>
    </row>
    <row r="570" customFormat="false" ht="15" hidden="false" customHeight="true" outlineLevel="0" collapsed="false">
      <c r="A570" s="1" t="s">
        <v>1844</v>
      </c>
      <c r="B570" s="1" t="s">
        <v>4836</v>
      </c>
      <c r="C570" s="1" t="s">
        <v>6046</v>
      </c>
      <c r="D570" s="1" t="s">
        <v>1845</v>
      </c>
      <c r="E570" s="1" t="s">
        <v>298</v>
      </c>
      <c r="F570" s="1" t="s">
        <v>116</v>
      </c>
      <c r="G570" s="1" t="s">
        <v>42</v>
      </c>
      <c r="H570" s="1" t="s">
        <v>149</v>
      </c>
      <c r="I570" s="1" t="s">
        <v>150</v>
      </c>
      <c r="J570" s="1" t="s">
        <v>99</v>
      </c>
      <c r="K570" s="1" t="s">
        <v>308</v>
      </c>
      <c r="L570" s="1" t="s">
        <v>1846</v>
      </c>
      <c r="M570" s="1" t="s">
        <v>65</v>
      </c>
      <c r="N570" s="1" t="s">
        <v>2836</v>
      </c>
      <c r="O570" s="1" t="s">
        <v>6047</v>
      </c>
      <c r="P570" s="1" t="s">
        <v>84</v>
      </c>
      <c r="Q570" s="1" t="s">
        <v>6048</v>
      </c>
      <c r="R570" s="1" t="s">
        <v>6049</v>
      </c>
      <c r="S570" s="1" t="s">
        <v>6050</v>
      </c>
      <c r="T570" s="1" t="s">
        <v>52</v>
      </c>
      <c r="U570" s="1" t="s">
        <v>53</v>
      </c>
    </row>
    <row r="571" customFormat="false" ht="15" hidden="false" customHeight="true" outlineLevel="0" collapsed="false">
      <c r="A571" s="1" t="s">
        <v>1847</v>
      </c>
      <c r="B571" s="1" t="s">
        <v>6051</v>
      </c>
      <c r="C571" s="1" t="s">
        <v>6052</v>
      </c>
      <c r="D571" s="1" t="s">
        <v>1848</v>
      </c>
      <c r="E571" s="1" t="s">
        <v>145</v>
      </c>
      <c r="F571" s="1" t="s">
        <v>121</v>
      </c>
      <c r="G571" s="1" t="s">
        <v>88</v>
      </c>
      <c r="H571" s="1" t="s">
        <v>89</v>
      </c>
      <c r="I571" s="1" t="s">
        <v>90</v>
      </c>
      <c r="J571" s="1" t="s">
        <v>62</v>
      </c>
      <c r="K571" s="1" t="s">
        <v>81</v>
      </c>
      <c r="L571" s="1" t="s">
        <v>1849</v>
      </c>
      <c r="M571" s="1" t="s">
        <v>83</v>
      </c>
      <c r="N571" s="1" t="s">
        <v>2815</v>
      </c>
      <c r="O571" s="1" t="s">
        <v>6053</v>
      </c>
      <c r="P571" s="1" t="s">
        <v>84</v>
      </c>
      <c r="Q571" s="1" t="s">
        <v>6054</v>
      </c>
      <c r="R571" s="1" t="s">
        <v>6055</v>
      </c>
      <c r="S571" s="1" t="s">
        <v>6056</v>
      </c>
      <c r="T571" s="1" t="s">
        <v>129</v>
      </c>
      <c r="U571" s="1" t="s">
        <v>130</v>
      </c>
    </row>
    <row r="572" customFormat="false" ht="15" hidden="false" customHeight="true" outlineLevel="0" collapsed="false">
      <c r="A572" s="1" t="s">
        <v>1850</v>
      </c>
      <c r="B572" s="1" t="s">
        <v>3890</v>
      </c>
      <c r="C572" s="1" t="s">
        <v>3640</v>
      </c>
      <c r="D572" s="1" t="s">
        <v>1851</v>
      </c>
      <c r="E572" s="1" t="s">
        <v>77</v>
      </c>
      <c r="F572" s="1" t="s">
        <v>41</v>
      </c>
      <c r="G572" s="1" t="s">
        <v>59</v>
      </c>
      <c r="H572" s="1" t="s">
        <v>262</v>
      </c>
      <c r="I572" s="1" t="s">
        <v>263</v>
      </c>
      <c r="J572" s="1" t="s">
        <v>62</v>
      </c>
      <c r="K572" s="1" t="s">
        <v>81</v>
      </c>
      <c r="L572" s="1" t="s">
        <v>1852</v>
      </c>
      <c r="M572" s="1" t="s">
        <v>49</v>
      </c>
      <c r="N572" s="1" t="s">
        <v>2822</v>
      </c>
      <c r="O572" s="1" t="s">
        <v>6057</v>
      </c>
      <c r="P572" s="1" t="s">
        <v>84</v>
      </c>
      <c r="Q572" s="1" t="s">
        <v>6058</v>
      </c>
      <c r="R572" s="1" t="s">
        <v>6059</v>
      </c>
      <c r="S572" s="1" t="s">
        <v>6060</v>
      </c>
      <c r="T572" s="1" t="s">
        <v>185</v>
      </c>
      <c r="U572" s="1" t="s">
        <v>130</v>
      </c>
    </row>
    <row r="573" customFormat="false" ht="15" hidden="false" customHeight="true" outlineLevel="0" collapsed="false">
      <c r="A573" s="1" t="s">
        <v>1853</v>
      </c>
      <c r="B573" s="1" t="s">
        <v>5980</v>
      </c>
      <c r="C573" s="1" t="s">
        <v>6061</v>
      </c>
      <c r="D573" s="1" t="s">
        <v>1854</v>
      </c>
      <c r="E573" s="1" t="s">
        <v>141</v>
      </c>
      <c r="F573" s="1" t="s">
        <v>58</v>
      </c>
      <c r="G573" s="1" t="s">
        <v>42</v>
      </c>
      <c r="H573" s="1" t="s">
        <v>163</v>
      </c>
      <c r="I573" s="1" t="s">
        <v>164</v>
      </c>
      <c r="J573" s="1" t="s">
        <v>99</v>
      </c>
      <c r="K573" s="1" t="s">
        <v>201</v>
      </c>
      <c r="L573" s="1" t="s">
        <v>1855</v>
      </c>
      <c r="N573" s="1" t="s">
        <v>2829</v>
      </c>
      <c r="O573" s="1" t="s">
        <v>6062</v>
      </c>
      <c r="P573" s="1" t="s">
        <v>66</v>
      </c>
      <c r="Q573" s="1" t="s">
        <v>6063</v>
      </c>
      <c r="R573" s="1" t="s">
        <v>6064</v>
      </c>
      <c r="S573" s="1" t="s">
        <v>6065</v>
      </c>
      <c r="T573" s="1" t="s">
        <v>185</v>
      </c>
      <c r="U573" s="1" t="s">
        <v>130</v>
      </c>
    </row>
    <row r="574" customFormat="false" ht="15" hidden="false" customHeight="true" outlineLevel="0" collapsed="false">
      <c r="A574" s="1" t="s">
        <v>1856</v>
      </c>
      <c r="B574" s="1" t="s">
        <v>6066</v>
      </c>
      <c r="C574" s="1" t="s">
        <v>6067</v>
      </c>
      <c r="D574" s="1" t="s">
        <v>1857</v>
      </c>
      <c r="E574" s="1" t="s">
        <v>192</v>
      </c>
      <c r="F574" s="1" t="s">
        <v>116</v>
      </c>
      <c r="G574" s="1" t="s">
        <v>42</v>
      </c>
      <c r="H574" s="1" t="s">
        <v>384</v>
      </c>
      <c r="I574" s="1" t="s">
        <v>385</v>
      </c>
      <c r="J574" s="1" t="s">
        <v>99</v>
      </c>
      <c r="K574" s="1" t="s">
        <v>201</v>
      </c>
      <c r="L574" s="1" t="s">
        <v>1858</v>
      </c>
      <c r="M574" s="1" t="s">
        <v>83</v>
      </c>
      <c r="N574" s="1" t="s">
        <v>2822</v>
      </c>
      <c r="O574" s="1" t="s">
        <v>6068</v>
      </c>
      <c r="P574" s="1" t="s">
        <v>50</v>
      </c>
      <c r="Q574" s="1" t="s">
        <v>6069</v>
      </c>
      <c r="R574" s="1" t="s">
        <v>6070</v>
      </c>
      <c r="S574" s="1" t="s">
        <v>6071</v>
      </c>
      <c r="T574" s="1" t="s">
        <v>52</v>
      </c>
      <c r="U574" s="1" t="s">
        <v>53</v>
      </c>
    </row>
    <row r="575" customFormat="false" ht="15" hidden="false" customHeight="true" outlineLevel="0" collapsed="false">
      <c r="A575" s="1" t="s">
        <v>1859</v>
      </c>
      <c r="B575" s="1" t="s">
        <v>6072</v>
      </c>
      <c r="C575" s="1" t="s">
        <v>6073</v>
      </c>
      <c r="D575" s="1" t="s">
        <v>1860</v>
      </c>
      <c r="E575" s="1" t="s">
        <v>69</v>
      </c>
      <c r="F575" s="1" t="s">
        <v>41</v>
      </c>
      <c r="G575" s="1" t="s">
        <v>78</v>
      </c>
      <c r="H575" s="1" t="s">
        <v>110</v>
      </c>
      <c r="I575" s="1" t="s">
        <v>111</v>
      </c>
      <c r="J575" s="1" t="s">
        <v>99</v>
      </c>
      <c r="K575" s="1" t="s">
        <v>201</v>
      </c>
      <c r="L575" s="1" t="s">
        <v>1861</v>
      </c>
      <c r="M575" s="1" t="s">
        <v>83</v>
      </c>
      <c r="N575" s="1" t="s">
        <v>2836</v>
      </c>
      <c r="O575" s="1" t="s">
        <v>6074</v>
      </c>
      <c r="P575" s="1" t="s">
        <v>66</v>
      </c>
      <c r="Q575" s="1" t="s">
        <v>6074</v>
      </c>
      <c r="R575" s="1" t="s">
        <v>6075</v>
      </c>
      <c r="S575" s="1" t="s">
        <v>6076</v>
      </c>
      <c r="T575" s="1" t="s">
        <v>52</v>
      </c>
      <c r="U575" s="1" t="s">
        <v>53</v>
      </c>
    </row>
    <row r="576" customFormat="false" ht="15" hidden="false" customHeight="true" outlineLevel="0" collapsed="false">
      <c r="A576" s="1" t="s">
        <v>1862</v>
      </c>
      <c r="B576" s="1" t="s">
        <v>6077</v>
      </c>
      <c r="C576" s="1" t="s">
        <v>4744</v>
      </c>
      <c r="D576" s="1" t="s">
        <v>841</v>
      </c>
      <c r="E576" s="1" t="s">
        <v>192</v>
      </c>
      <c r="F576" s="1" t="s">
        <v>121</v>
      </c>
      <c r="G576" s="1" t="s">
        <v>42</v>
      </c>
      <c r="H576" s="1" t="s">
        <v>149</v>
      </c>
      <c r="I576" s="1" t="s">
        <v>150</v>
      </c>
      <c r="J576" s="1" t="s">
        <v>99</v>
      </c>
      <c r="K576" s="1" t="s">
        <v>308</v>
      </c>
      <c r="L576" s="1" t="s">
        <v>1863</v>
      </c>
      <c r="M576" s="1" t="s">
        <v>83</v>
      </c>
      <c r="N576" s="1" t="s">
        <v>2937</v>
      </c>
      <c r="O576" s="1" t="s">
        <v>6078</v>
      </c>
      <c r="P576" s="1" t="s">
        <v>66</v>
      </c>
      <c r="Q576" s="1" t="s">
        <v>6079</v>
      </c>
      <c r="R576" s="1" t="s">
        <v>6080</v>
      </c>
      <c r="S576" s="1" t="s">
        <v>6081</v>
      </c>
      <c r="T576" s="1" t="s">
        <v>52</v>
      </c>
      <c r="U576" s="1" t="s">
        <v>53</v>
      </c>
    </row>
    <row r="577" customFormat="false" ht="15" hidden="false" customHeight="true" outlineLevel="0" collapsed="false">
      <c r="A577" s="1" t="s">
        <v>1864</v>
      </c>
      <c r="B577" s="1" t="s">
        <v>6082</v>
      </c>
      <c r="C577" s="1" t="s">
        <v>6083</v>
      </c>
      <c r="D577" s="1" t="s">
        <v>1865</v>
      </c>
      <c r="E577" s="1" t="s">
        <v>159</v>
      </c>
      <c r="F577" s="1" t="s">
        <v>121</v>
      </c>
      <c r="G577" s="1" t="s">
        <v>78</v>
      </c>
      <c r="H577" s="1" t="s">
        <v>216</v>
      </c>
      <c r="I577" s="1" t="s">
        <v>217</v>
      </c>
      <c r="J577" s="1" t="s">
        <v>62</v>
      </c>
      <c r="K577" s="1" t="s">
        <v>81</v>
      </c>
      <c r="L577" s="1" t="s">
        <v>1866</v>
      </c>
      <c r="M577" s="1" t="s">
        <v>65</v>
      </c>
      <c r="N577" s="1" t="s">
        <v>2937</v>
      </c>
      <c r="O577" s="1" t="s">
        <v>6084</v>
      </c>
      <c r="P577" s="1" t="s">
        <v>50</v>
      </c>
      <c r="Q577" s="1" t="s">
        <v>6085</v>
      </c>
      <c r="R577" s="1" t="s">
        <v>6086</v>
      </c>
      <c r="S577" s="1" t="s">
        <v>6087</v>
      </c>
      <c r="T577" s="1" t="s">
        <v>185</v>
      </c>
      <c r="U577" s="1" t="s">
        <v>130</v>
      </c>
    </row>
    <row r="578" customFormat="false" ht="15" hidden="false" customHeight="true" outlineLevel="0" collapsed="false">
      <c r="A578" s="1" t="s">
        <v>1867</v>
      </c>
      <c r="B578" s="1" t="s">
        <v>6088</v>
      </c>
      <c r="C578" s="1" t="s">
        <v>6089</v>
      </c>
      <c r="D578" s="1" t="s">
        <v>1868</v>
      </c>
      <c r="E578" s="1" t="s">
        <v>168</v>
      </c>
      <c r="F578" s="1" t="s">
        <v>121</v>
      </c>
      <c r="H578" s="1" t="s">
        <v>174</v>
      </c>
      <c r="I578" s="1" t="s">
        <v>175</v>
      </c>
      <c r="J578" s="1" t="s">
        <v>46</v>
      </c>
      <c r="K578" s="1" t="s">
        <v>183</v>
      </c>
      <c r="L578" s="1" t="s">
        <v>1869</v>
      </c>
      <c r="M578" s="1" t="s">
        <v>83</v>
      </c>
      <c r="N578" s="1" t="s">
        <v>2899</v>
      </c>
      <c r="O578" s="1" t="s">
        <v>6090</v>
      </c>
      <c r="P578" s="1" t="s">
        <v>66</v>
      </c>
      <c r="Q578" s="1" t="s">
        <v>6091</v>
      </c>
      <c r="R578" s="1" t="s">
        <v>6092</v>
      </c>
      <c r="S578" s="1" t="s">
        <v>6093</v>
      </c>
      <c r="T578" s="1" t="s">
        <v>129</v>
      </c>
      <c r="U578" s="1" t="s">
        <v>130</v>
      </c>
    </row>
    <row r="579" customFormat="false" ht="15" hidden="false" customHeight="true" outlineLevel="0" collapsed="false">
      <c r="A579" s="1" t="s">
        <v>1870</v>
      </c>
      <c r="B579" s="1" t="s">
        <v>3325</v>
      </c>
      <c r="C579" s="1" t="s">
        <v>6094</v>
      </c>
      <c r="D579" s="1" t="s">
        <v>1871</v>
      </c>
      <c r="E579" s="1" t="s">
        <v>141</v>
      </c>
      <c r="F579" s="1" t="s">
        <v>116</v>
      </c>
      <c r="G579" s="1" t="s">
        <v>88</v>
      </c>
      <c r="H579" s="1" t="s">
        <v>97</v>
      </c>
      <c r="I579" s="1" t="s">
        <v>98</v>
      </c>
      <c r="J579" s="1" t="s">
        <v>62</v>
      </c>
      <c r="K579" s="1" t="s">
        <v>81</v>
      </c>
      <c r="L579" s="1" t="s">
        <v>1872</v>
      </c>
      <c r="M579" s="1" t="s">
        <v>83</v>
      </c>
      <c r="N579" s="1" t="s">
        <v>2906</v>
      </c>
      <c r="O579" s="1" t="s">
        <v>6095</v>
      </c>
      <c r="P579" s="1" t="s">
        <v>66</v>
      </c>
      <c r="Q579" s="1" t="s">
        <v>6096</v>
      </c>
      <c r="R579" s="1" t="s">
        <v>6097</v>
      </c>
      <c r="S579" s="1" t="s">
        <v>6098</v>
      </c>
      <c r="T579" s="1" t="s">
        <v>52</v>
      </c>
      <c r="U579" s="1" t="s">
        <v>53</v>
      </c>
    </row>
    <row r="580" customFormat="false" ht="15" hidden="false" customHeight="true" outlineLevel="0" collapsed="false">
      <c r="A580" s="1" t="s">
        <v>1873</v>
      </c>
      <c r="B580" s="1" t="s">
        <v>6099</v>
      </c>
      <c r="C580" s="1" t="s">
        <v>6100</v>
      </c>
      <c r="D580" s="1" t="s">
        <v>329</v>
      </c>
      <c r="E580" s="1" t="s">
        <v>104</v>
      </c>
      <c r="F580" s="1" t="s">
        <v>58</v>
      </c>
      <c r="G580" s="1" t="s">
        <v>88</v>
      </c>
      <c r="H580" s="1" t="s">
        <v>211</v>
      </c>
      <c r="I580" s="1" t="s">
        <v>212</v>
      </c>
      <c r="J580" s="1" t="s">
        <v>99</v>
      </c>
      <c r="K580" s="1" t="s">
        <v>105</v>
      </c>
      <c r="L580" s="1" t="s">
        <v>1874</v>
      </c>
      <c r="M580" s="1" t="s">
        <v>72</v>
      </c>
      <c r="N580" s="1" t="s">
        <v>2815</v>
      </c>
      <c r="O580" s="1" t="s">
        <v>6101</v>
      </c>
      <c r="P580" s="1" t="s">
        <v>128</v>
      </c>
      <c r="Q580" s="1" t="s">
        <v>6102</v>
      </c>
      <c r="R580" s="1" t="s">
        <v>6103</v>
      </c>
      <c r="S580" s="1" t="s">
        <v>6104</v>
      </c>
      <c r="T580" s="1" t="s">
        <v>52</v>
      </c>
      <c r="U580" s="1" t="s">
        <v>53</v>
      </c>
    </row>
    <row r="581" customFormat="false" ht="15" hidden="false" customHeight="true" outlineLevel="0" collapsed="false">
      <c r="A581" s="1" t="s">
        <v>1875</v>
      </c>
      <c r="B581" s="1" t="s">
        <v>6105</v>
      </c>
      <c r="C581" s="1" t="s">
        <v>6106</v>
      </c>
      <c r="D581" s="1" t="s">
        <v>1876</v>
      </c>
      <c r="E581" s="1" t="s">
        <v>155</v>
      </c>
      <c r="F581" s="1" t="s">
        <v>58</v>
      </c>
      <c r="G581" s="1" t="s">
        <v>78</v>
      </c>
      <c r="H581" s="1" t="s">
        <v>281</v>
      </c>
      <c r="I581" s="1" t="s">
        <v>282</v>
      </c>
      <c r="J581" s="1" t="s">
        <v>46</v>
      </c>
      <c r="K581" s="1" t="s">
        <v>151</v>
      </c>
      <c r="L581" s="1" t="s">
        <v>1877</v>
      </c>
      <c r="M581" s="1" t="s">
        <v>65</v>
      </c>
      <c r="N581" s="1" t="s">
        <v>2836</v>
      </c>
      <c r="O581" s="1" t="s">
        <v>6107</v>
      </c>
      <c r="P581" s="1" t="s">
        <v>66</v>
      </c>
      <c r="Q581" s="1" t="s">
        <v>6107</v>
      </c>
      <c r="R581" s="1" t="s">
        <v>6108</v>
      </c>
      <c r="S581" s="1" t="s">
        <v>6109</v>
      </c>
      <c r="T581" s="1" t="s">
        <v>52</v>
      </c>
      <c r="U581" s="1" t="s">
        <v>53</v>
      </c>
    </row>
    <row r="582" customFormat="false" ht="15" hidden="false" customHeight="true" outlineLevel="0" collapsed="false">
      <c r="A582" s="1" t="s">
        <v>1878</v>
      </c>
      <c r="B582" s="1" t="s">
        <v>6110</v>
      </c>
      <c r="C582" s="1" t="s">
        <v>4523</v>
      </c>
      <c r="D582" s="1" t="s">
        <v>1879</v>
      </c>
      <c r="E582" s="1" t="s">
        <v>298</v>
      </c>
      <c r="F582" s="1" t="s">
        <v>41</v>
      </c>
      <c r="G582" s="1" t="s">
        <v>78</v>
      </c>
      <c r="H582" s="1" t="s">
        <v>216</v>
      </c>
      <c r="I582" s="1" t="s">
        <v>217</v>
      </c>
      <c r="J582" s="1" t="s">
        <v>62</v>
      </c>
      <c r="K582" s="1" t="s">
        <v>91</v>
      </c>
      <c r="L582" s="1" t="s">
        <v>1880</v>
      </c>
      <c r="M582" s="1" t="s">
        <v>83</v>
      </c>
      <c r="N582" s="1" t="s">
        <v>2822</v>
      </c>
      <c r="O582" s="1" t="s">
        <v>6111</v>
      </c>
      <c r="P582" s="1" t="s">
        <v>107</v>
      </c>
      <c r="Q582" s="1" t="s">
        <v>6112</v>
      </c>
      <c r="R582" s="1" t="s">
        <v>6113</v>
      </c>
      <c r="S582" s="1" t="s">
        <v>6114</v>
      </c>
      <c r="T582" s="1" t="s">
        <v>185</v>
      </c>
      <c r="U582" s="1" t="s">
        <v>130</v>
      </c>
    </row>
    <row r="583" customFormat="false" ht="15" hidden="false" customHeight="true" outlineLevel="0" collapsed="false">
      <c r="A583" s="1" t="s">
        <v>1881</v>
      </c>
      <c r="B583" s="1" t="s">
        <v>4392</v>
      </c>
      <c r="C583" s="1" t="s">
        <v>6115</v>
      </c>
      <c r="D583" s="1" t="s">
        <v>1882</v>
      </c>
      <c r="E583" s="1" t="s">
        <v>104</v>
      </c>
      <c r="F583" s="1" t="s">
        <v>41</v>
      </c>
      <c r="G583" s="1" t="s">
        <v>42</v>
      </c>
      <c r="H583" s="1" t="s">
        <v>384</v>
      </c>
      <c r="I583" s="1" t="s">
        <v>385</v>
      </c>
      <c r="J583" s="1" t="s">
        <v>46</v>
      </c>
      <c r="K583" s="1" t="s">
        <v>70</v>
      </c>
      <c r="L583" s="1" t="s">
        <v>1883</v>
      </c>
      <c r="M583" s="1" t="s">
        <v>49</v>
      </c>
      <c r="N583" s="1" t="s">
        <v>2937</v>
      </c>
      <c r="O583" s="1" t="s">
        <v>6116</v>
      </c>
      <c r="P583" s="1" t="s">
        <v>66</v>
      </c>
      <c r="Q583" s="1" t="s">
        <v>6117</v>
      </c>
      <c r="R583" s="1" t="s">
        <v>6118</v>
      </c>
      <c r="S583" s="1" t="s">
        <v>6119</v>
      </c>
      <c r="T583" s="1" t="s">
        <v>129</v>
      </c>
      <c r="U583" s="1" t="s">
        <v>130</v>
      </c>
    </row>
    <row r="584" customFormat="false" ht="15" hidden="false" customHeight="true" outlineLevel="0" collapsed="false">
      <c r="A584" s="1" t="s">
        <v>1884</v>
      </c>
      <c r="B584" s="1" t="s">
        <v>6120</v>
      </c>
      <c r="C584" s="1" t="s">
        <v>6121</v>
      </c>
      <c r="D584" s="1" t="s">
        <v>1885</v>
      </c>
      <c r="E584" s="1" t="s">
        <v>87</v>
      </c>
      <c r="F584" s="1" t="s">
        <v>41</v>
      </c>
      <c r="G584" s="1" t="s">
        <v>59</v>
      </c>
      <c r="H584" s="1" t="s">
        <v>60</v>
      </c>
      <c r="I584" s="1" t="s">
        <v>61</v>
      </c>
      <c r="J584" s="1" t="s">
        <v>46</v>
      </c>
      <c r="K584" s="1" t="s">
        <v>70</v>
      </c>
      <c r="L584" s="1" t="s">
        <v>1886</v>
      </c>
      <c r="M584" s="1" t="s">
        <v>72</v>
      </c>
      <c r="N584" s="1" t="s">
        <v>2829</v>
      </c>
      <c r="O584" s="1" t="s">
        <v>6122</v>
      </c>
      <c r="P584" s="1" t="s">
        <v>66</v>
      </c>
      <c r="Q584" s="1" t="s">
        <v>6123</v>
      </c>
      <c r="R584" s="1" t="s">
        <v>6124</v>
      </c>
      <c r="S584" s="1" t="s">
        <v>6125</v>
      </c>
      <c r="T584" s="1" t="s">
        <v>138</v>
      </c>
      <c r="U584" s="1" t="s">
        <v>130</v>
      </c>
    </row>
    <row r="585" customFormat="false" ht="15" hidden="false" customHeight="true" outlineLevel="0" collapsed="false">
      <c r="A585" s="1" t="s">
        <v>1887</v>
      </c>
      <c r="B585" s="1" t="s">
        <v>3553</v>
      </c>
      <c r="C585" s="1" t="s">
        <v>6126</v>
      </c>
      <c r="D585" s="1" t="s">
        <v>1888</v>
      </c>
      <c r="E585" s="1" t="s">
        <v>168</v>
      </c>
      <c r="F585" s="1" t="s">
        <v>58</v>
      </c>
      <c r="G585" s="1" t="s">
        <v>59</v>
      </c>
      <c r="H585" s="1" t="s">
        <v>125</v>
      </c>
      <c r="I585" s="1" t="s">
        <v>126</v>
      </c>
      <c r="J585" s="1" t="s">
        <v>46</v>
      </c>
      <c r="K585" s="1" t="s">
        <v>151</v>
      </c>
      <c r="L585" s="1" t="s">
        <v>1889</v>
      </c>
      <c r="M585" s="1" t="s">
        <v>72</v>
      </c>
      <c r="N585" s="1" t="s">
        <v>2836</v>
      </c>
      <c r="O585" s="1" t="s">
        <v>6127</v>
      </c>
      <c r="P585" s="1" t="s">
        <v>50</v>
      </c>
      <c r="Q585" s="1" t="s">
        <v>6128</v>
      </c>
      <c r="R585" s="1" t="s">
        <v>6129</v>
      </c>
      <c r="S585" s="1" t="s">
        <v>6130</v>
      </c>
      <c r="T585" s="1" t="s">
        <v>185</v>
      </c>
      <c r="U585" s="1" t="s">
        <v>130</v>
      </c>
    </row>
    <row r="586" customFormat="false" ht="15" hidden="false" customHeight="true" outlineLevel="0" collapsed="false">
      <c r="A586" s="1" t="s">
        <v>1890</v>
      </c>
      <c r="B586" s="1" t="s">
        <v>6131</v>
      </c>
      <c r="C586" s="1" t="s">
        <v>6132</v>
      </c>
      <c r="D586" s="1" t="s">
        <v>1891</v>
      </c>
      <c r="E586" s="1" t="s">
        <v>96</v>
      </c>
      <c r="F586" s="1" t="s">
        <v>41</v>
      </c>
      <c r="G586" s="1" t="s">
        <v>59</v>
      </c>
      <c r="H586" s="1" t="s">
        <v>174</v>
      </c>
      <c r="I586" s="1" t="s">
        <v>175</v>
      </c>
      <c r="J586" s="1" t="s">
        <v>46</v>
      </c>
      <c r="K586" s="1" t="s">
        <v>70</v>
      </c>
      <c r="L586" s="1" t="s">
        <v>1892</v>
      </c>
      <c r="M586" s="1" t="s">
        <v>65</v>
      </c>
      <c r="N586" s="1" t="s">
        <v>2836</v>
      </c>
      <c r="O586" s="1" t="s">
        <v>6133</v>
      </c>
      <c r="P586" s="1" t="s">
        <v>107</v>
      </c>
      <c r="Q586" s="1" t="s">
        <v>6134</v>
      </c>
      <c r="R586" s="1" t="s">
        <v>6135</v>
      </c>
      <c r="S586" s="1" t="s">
        <v>6136</v>
      </c>
      <c r="T586" s="1" t="s">
        <v>138</v>
      </c>
      <c r="U586" s="1" t="s">
        <v>130</v>
      </c>
    </row>
    <row r="587" customFormat="false" ht="15" hidden="false" customHeight="true" outlineLevel="0" collapsed="false">
      <c r="A587" s="1" t="s">
        <v>1893</v>
      </c>
      <c r="B587" s="1" t="s">
        <v>4797</v>
      </c>
      <c r="C587" s="1" t="s">
        <v>6137</v>
      </c>
      <c r="D587" s="1" t="s">
        <v>1894</v>
      </c>
      <c r="E587" s="1" t="s">
        <v>192</v>
      </c>
      <c r="F587" s="1" t="s">
        <v>58</v>
      </c>
      <c r="G587" s="1" t="s">
        <v>4046</v>
      </c>
      <c r="H587" s="1" t="s">
        <v>89</v>
      </c>
      <c r="I587" s="1" t="s">
        <v>90</v>
      </c>
      <c r="J587" s="1" t="s">
        <v>99</v>
      </c>
      <c r="K587" s="1" t="s">
        <v>201</v>
      </c>
      <c r="L587" s="1" t="s">
        <v>1895</v>
      </c>
      <c r="M587" s="1" t="s">
        <v>72</v>
      </c>
      <c r="N587" s="1" t="s">
        <v>2861</v>
      </c>
      <c r="O587" s="1" t="s">
        <v>6138</v>
      </c>
      <c r="P587" s="1" t="s">
        <v>66</v>
      </c>
      <c r="Q587" s="1" t="s">
        <v>6139</v>
      </c>
      <c r="R587" s="1" t="s">
        <v>6140</v>
      </c>
      <c r="S587" s="1" t="s">
        <v>6141</v>
      </c>
      <c r="T587" s="1" t="s">
        <v>52</v>
      </c>
      <c r="U587" s="1" t="s">
        <v>53</v>
      </c>
    </row>
    <row r="588" customFormat="false" ht="15" hidden="false" customHeight="true" outlineLevel="0" collapsed="false">
      <c r="A588" s="1" t="s">
        <v>1896</v>
      </c>
      <c r="B588" s="1" t="s">
        <v>6142</v>
      </c>
      <c r="C588" s="1" t="s">
        <v>6143</v>
      </c>
      <c r="D588" s="1" t="s">
        <v>1897</v>
      </c>
      <c r="E588" s="1" t="s">
        <v>57</v>
      </c>
      <c r="F588" s="1" t="s">
        <v>121</v>
      </c>
      <c r="G588" s="1" t="s">
        <v>42</v>
      </c>
      <c r="H588" s="1" t="s">
        <v>149</v>
      </c>
      <c r="I588" s="1" t="s">
        <v>150</v>
      </c>
      <c r="J588" s="1" t="s">
        <v>46</v>
      </c>
      <c r="K588" s="1" t="s">
        <v>183</v>
      </c>
      <c r="L588" s="1" t="s">
        <v>1898</v>
      </c>
      <c r="M588" s="1" t="s">
        <v>49</v>
      </c>
      <c r="N588" s="1" t="s">
        <v>2906</v>
      </c>
      <c r="O588" s="1" t="s">
        <v>6144</v>
      </c>
      <c r="P588" s="1" t="s">
        <v>50</v>
      </c>
      <c r="Q588" s="1" t="s">
        <v>6145</v>
      </c>
      <c r="R588" s="1" t="s">
        <v>6146</v>
      </c>
      <c r="S588" s="1" t="s">
        <v>6147</v>
      </c>
      <c r="T588" s="1" t="s">
        <v>52</v>
      </c>
      <c r="U588" s="1" t="s">
        <v>53</v>
      </c>
    </row>
    <row r="589" customFormat="false" ht="15" hidden="false" customHeight="true" outlineLevel="0" collapsed="false">
      <c r="A589" s="1" t="s">
        <v>1899</v>
      </c>
      <c r="B589" s="1" t="s">
        <v>6148</v>
      </c>
      <c r="C589" s="1" t="s">
        <v>6149</v>
      </c>
      <c r="D589" s="1" t="s">
        <v>1900</v>
      </c>
      <c r="E589" s="1" t="s">
        <v>298</v>
      </c>
      <c r="F589" s="1" t="s">
        <v>121</v>
      </c>
      <c r="G589" s="1" t="s">
        <v>88</v>
      </c>
      <c r="H589" s="1" t="s">
        <v>97</v>
      </c>
      <c r="I589" s="1" t="s">
        <v>98</v>
      </c>
      <c r="J589" s="1" t="s">
        <v>99</v>
      </c>
      <c r="K589" s="1" t="s">
        <v>100</v>
      </c>
      <c r="L589" s="1" t="s">
        <v>1901</v>
      </c>
      <c r="M589" s="1" t="s">
        <v>72</v>
      </c>
      <c r="N589" s="1" t="s">
        <v>2836</v>
      </c>
      <c r="O589" s="1" t="s">
        <v>6150</v>
      </c>
      <c r="P589" s="1" t="s">
        <v>107</v>
      </c>
      <c r="Q589" s="1" t="s">
        <v>6151</v>
      </c>
      <c r="R589" s="1" t="s">
        <v>6152</v>
      </c>
      <c r="S589" s="1" t="s">
        <v>6153</v>
      </c>
      <c r="T589" s="1" t="s">
        <v>129</v>
      </c>
      <c r="U589" s="1" t="s">
        <v>93</v>
      </c>
    </row>
    <row r="590" customFormat="false" ht="15" hidden="false" customHeight="true" outlineLevel="0" collapsed="false">
      <c r="A590" s="1" t="s">
        <v>1902</v>
      </c>
      <c r="B590" s="1" t="s">
        <v>6154</v>
      </c>
      <c r="C590" s="1" t="s">
        <v>6155</v>
      </c>
      <c r="D590" s="1" t="s">
        <v>1903</v>
      </c>
      <c r="E590" s="1" t="s">
        <v>155</v>
      </c>
      <c r="F590" s="1" t="s">
        <v>121</v>
      </c>
      <c r="G590" s="1" t="s">
        <v>78</v>
      </c>
      <c r="H590" s="1" t="s">
        <v>206</v>
      </c>
      <c r="I590" s="1" t="s">
        <v>207</v>
      </c>
      <c r="J590" s="1" t="s">
        <v>99</v>
      </c>
      <c r="K590" s="1" t="s">
        <v>100</v>
      </c>
      <c r="L590" s="1" t="s">
        <v>1904</v>
      </c>
      <c r="M590" s="1" t="s">
        <v>49</v>
      </c>
      <c r="N590" s="1" t="s">
        <v>2861</v>
      </c>
      <c r="O590" s="1" t="s">
        <v>6156</v>
      </c>
      <c r="P590" s="1" t="s">
        <v>203</v>
      </c>
      <c r="Q590" s="1" t="s">
        <v>6157</v>
      </c>
      <c r="R590" s="1" t="s">
        <v>6158</v>
      </c>
      <c r="S590" s="1" t="s">
        <v>6159</v>
      </c>
      <c r="T590" s="1" t="s">
        <v>129</v>
      </c>
      <c r="U590" s="1" t="s">
        <v>93</v>
      </c>
    </row>
    <row r="591" customFormat="false" ht="15" hidden="false" customHeight="true" outlineLevel="0" collapsed="false">
      <c r="A591" s="1" t="s">
        <v>1905</v>
      </c>
      <c r="B591" s="1" t="s">
        <v>6160</v>
      </c>
      <c r="C591" s="1" t="s">
        <v>6161</v>
      </c>
      <c r="D591" s="1" t="s">
        <v>1906</v>
      </c>
      <c r="E591" s="1" t="s">
        <v>168</v>
      </c>
      <c r="F591" s="1" t="s">
        <v>116</v>
      </c>
      <c r="G591" s="1" t="s">
        <v>42</v>
      </c>
      <c r="H591" s="1" t="s">
        <v>163</v>
      </c>
      <c r="I591" s="1" t="s">
        <v>164</v>
      </c>
      <c r="J591" s="1" t="s">
        <v>99</v>
      </c>
      <c r="K591" s="1" t="s">
        <v>201</v>
      </c>
      <c r="L591" s="1" t="s">
        <v>1907</v>
      </c>
      <c r="M591" s="1" t="s">
        <v>72</v>
      </c>
      <c r="N591" s="1" t="s">
        <v>2822</v>
      </c>
      <c r="O591" s="1" t="s">
        <v>6162</v>
      </c>
      <c r="P591" s="1" t="s">
        <v>66</v>
      </c>
      <c r="Q591" s="1" t="s">
        <v>6163</v>
      </c>
      <c r="R591" s="1" t="s">
        <v>6164</v>
      </c>
      <c r="S591" s="1" t="s">
        <v>6165</v>
      </c>
      <c r="T591" s="1" t="s">
        <v>52</v>
      </c>
      <c r="U591" s="1" t="s">
        <v>53</v>
      </c>
    </row>
    <row r="592" customFormat="false" ht="15" hidden="false" customHeight="true" outlineLevel="0" collapsed="false">
      <c r="A592" s="1" t="s">
        <v>1908</v>
      </c>
      <c r="B592" s="1" t="s">
        <v>3141</v>
      </c>
      <c r="C592" s="1" t="s">
        <v>6166</v>
      </c>
      <c r="D592" s="1" t="s">
        <v>1909</v>
      </c>
      <c r="E592" s="1" t="s">
        <v>155</v>
      </c>
      <c r="F592" s="1" t="s">
        <v>121</v>
      </c>
      <c r="G592" s="1" t="s">
        <v>42</v>
      </c>
      <c r="H592" s="1" t="s">
        <v>384</v>
      </c>
      <c r="I592" s="1" t="s">
        <v>385</v>
      </c>
      <c r="J592" s="1" t="s">
        <v>62</v>
      </c>
      <c r="K592" s="1" t="s">
        <v>91</v>
      </c>
      <c r="L592" s="1" t="s">
        <v>1910</v>
      </c>
      <c r="M592" s="1" t="s">
        <v>65</v>
      </c>
      <c r="N592" s="1" t="s">
        <v>2815</v>
      </c>
      <c r="O592" s="1" t="s">
        <v>6167</v>
      </c>
      <c r="P592" s="1" t="s">
        <v>66</v>
      </c>
      <c r="Q592" s="1" t="s">
        <v>6168</v>
      </c>
      <c r="R592" s="1" t="s">
        <v>6169</v>
      </c>
      <c r="S592" s="1" t="s">
        <v>6170</v>
      </c>
      <c r="T592" s="1" t="s">
        <v>138</v>
      </c>
      <c r="U592" s="1" t="s">
        <v>93</v>
      </c>
    </row>
    <row r="593" customFormat="false" ht="15" hidden="false" customHeight="true" outlineLevel="0" collapsed="false">
      <c r="A593" s="1" t="s">
        <v>1911</v>
      </c>
      <c r="B593" s="1" t="s">
        <v>6171</v>
      </c>
      <c r="C593" s="1" t="s">
        <v>6172</v>
      </c>
      <c r="D593" s="1" t="s">
        <v>1912</v>
      </c>
      <c r="E593" s="1" t="s">
        <v>159</v>
      </c>
      <c r="F593" s="1" t="s">
        <v>41</v>
      </c>
      <c r="G593" s="1" t="s">
        <v>78</v>
      </c>
      <c r="H593" s="1" t="s">
        <v>206</v>
      </c>
      <c r="I593" s="1" t="s">
        <v>207</v>
      </c>
      <c r="J593" s="1" t="s">
        <v>99</v>
      </c>
      <c r="K593" s="1" t="s">
        <v>105</v>
      </c>
      <c r="L593" s="1" t="s">
        <v>1913</v>
      </c>
      <c r="M593" s="1" t="s">
        <v>72</v>
      </c>
      <c r="N593" s="1" t="s">
        <v>2822</v>
      </c>
      <c r="O593" s="1" t="s">
        <v>6173</v>
      </c>
      <c r="P593" s="1" t="s">
        <v>66</v>
      </c>
      <c r="Q593" s="1" t="s">
        <v>6174</v>
      </c>
      <c r="R593" s="1" t="s">
        <v>6175</v>
      </c>
      <c r="S593" s="1" t="s">
        <v>6176</v>
      </c>
      <c r="T593" s="1" t="s">
        <v>185</v>
      </c>
      <c r="U593" s="1" t="s">
        <v>130</v>
      </c>
    </row>
    <row r="594" customFormat="false" ht="15" hidden="false" customHeight="true" outlineLevel="0" collapsed="false">
      <c r="A594" s="1" t="s">
        <v>1914</v>
      </c>
      <c r="B594" s="1" t="s">
        <v>3791</v>
      </c>
      <c r="C594" s="1" t="s">
        <v>3861</v>
      </c>
      <c r="D594" s="1" t="s">
        <v>1915</v>
      </c>
      <c r="E594" s="1" t="s">
        <v>57</v>
      </c>
      <c r="F594" s="1" t="s">
        <v>41</v>
      </c>
      <c r="G594" s="1" t="s">
        <v>59</v>
      </c>
      <c r="H594" s="1" t="s">
        <v>125</v>
      </c>
      <c r="I594" s="1" t="s">
        <v>126</v>
      </c>
      <c r="J594" s="1" t="s">
        <v>99</v>
      </c>
      <c r="K594" s="1" t="s">
        <v>100</v>
      </c>
      <c r="L594" s="1" t="s">
        <v>1916</v>
      </c>
      <c r="M594" s="1" t="s">
        <v>65</v>
      </c>
      <c r="N594" s="1" t="s">
        <v>2861</v>
      </c>
      <c r="O594" s="1" t="s">
        <v>6177</v>
      </c>
      <c r="P594" s="1" t="s">
        <v>107</v>
      </c>
      <c r="Q594" s="1" t="s">
        <v>6178</v>
      </c>
      <c r="R594" s="1" t="s">
        <v>6179</v>
      </c>
      <c r="S594" s="1" t="s">
        <v>6180</v>
      </c>
      <c r="T594" s="1" t="s">
        <v>52</v>
      </c>
      <c r="U594" s="1" t="s">
        <v>53</v>
      </c>
    </row>
    <row r="595" customFormat="false" ht="15" hidden="false" customHeight="true" outlineLevel="0" collapsed="false">
      <c r="A595" s="1" t="s">
        <v>1917</v>
      </c>
      <c r="B595" s="1" t="s">
        <v>4410</v>
      </c>
      <c r="C595" s="1" t="s">
        <v>6181</v>
      </c>
      <c r="D595" s="1" t="s">
        <v>1709</v>
      </c>
      <c r="E595" s="1" t="s">
        <v>77</v>
      </c>
      <c r="F595" s="1" t="s">
        <v>121</v>
      </c>
      <c r="G595" s="1" t="s">
        <v>42</v>
      </c>
      <c r="H595" s="1" t="s">
        <v>163</v>
      </c>
      <c r="I595" s="1" t="s">
        <v>164</v>
      </c>
      <c r="J595" s="1" t="s">
        <v>62</v>
      </c>
      <c r="K595" s="1" t="s">
        <v>63</v>
      </c>
      <c r="L595" s="1" t="s">
        <v>1918</v>
      </c>
      <c r="M595" s="1" t="s">
        <v>49</v>
      </c>
      <c r="N595" s="1" t="s">
        <v>2899</v>
      </c>
      <c r="O595" s="1" t="s">
        <v>6182</v>
      </c>
      <c r="P595" s="1" t="s">
        <v>84</v>
      </c>
      <c r="Q595" s="1" t="s">
        <v>6183</v>
      </c>
      <c r="R595" s="1" t="s">
        <v>6184</v>
      </c>
      <c r="S595" s="1" t="s">
        <v>6185</v>
      </c>
      <c r="T595" s="1" t="s">
        <v>52</v>
      </c>
      <c r="U595" s="1" t="s">
        <v>53</v>
      </c>
    </row>
    <row r="596" customFormat="false" ht="15" hidden="false" customHeight="true" outlineLevel="0" collapsed="false">
      <c r="A596" s="1" t="s">
        <v>1919</v>
      </c>
      <c r="B596" s="1" t="s">
        <v>6186</v>
      </c>
      <c r="C596" s="1" t="s">
        <v>4147</v>
      </c>
      <c r="D596" s="1" t="s">
        <v>1920</v>
      </c>
      <c r="E596" s="1" t="s">
        <v>40</v>
      </c>
      <c r="F596" s="1" t="s">
        <v>58</v>
      </c>
      <c r="G596" s="1" t="s">
        <v>59</v>
      </c>
      <c r="H596" s="1" t="s">
        <v>125</v>
      </c>
      <c r="I596" s="1" t="s">
        <v>126</v>
      </c>
      <c r="J596" s="1" t="s">
        <v>62</v>
      </c>
      <c r="K596" s="1" t="s">
        <v>91</v>
      </c>
      <c r="L596" s="1" t="s">
        <v>1921</v>
      </c>
      <c r="M596" s="1" t="s">
        <v>72</v>
      </c>
      <c r="N596" s="1" t="s">
        <v>2822</v>
      </c>
      <c r="O596" s="1" t="s">
        <v>6187</v>
      </c>
      <c r="P596" s="1" t="s">
        <v>66</v>
      </c>
      <c r="Q596" s="1" t="s">
        <v>6188</v>
      </c>
      <c r="R596" s="1" t="s">
        <v>6189</v>
      </c>
      <c r="S596" s="1" t="s">
        <v>6190</v>
      </c>
      <c r="T596" s="1" t="s">
        <v>52</v>
      </c>
      <c r="U596" s="1" t="s">
        <v>53</v>
      </c>
    </row>
    <row r="597" customFormat="false" ht="15" hidden="false" customHeight="true" outlineLevel="0" collapsed="false">
      <c r="A597" s="1" t="s">
        <v>1922</v>
      </c>
      <c r="B597" s="1" t="s">
        <v>6191</v>
      </c>
      <c r="C597" s="1" t="s">
        <v>6192</v>
      </c>
      <c r="D597" s="1" t="s">
        <v>1923</v>
      </c>
      <c r="E597" s="1" t="s">
        <v>57</v>
      </c>
      <c r="F597" s="1" t="s">
        <v>116</v>
      </c>
      <c r="G597" s="1" t="s">
        <v>42</v>
      </c>
      <c r="H597" s="1" t="s">
        <v>163</v>
      </c>
      <c r="I597" s="1" t="s">
        <v>164</v>
      </c>
      <c r="J597" s="1" t="s">
        <v>99</v>
      </c>
      <c r="K597" s="1" t="s">
        <v>201</v>
      </c>
      <c r="L597" s="1" t="s">
        <v>1924</v>
      </c>
      <c r="M597" s="1" t="s">
        <v>72</v>
      </c>
      <c r="N597" s="1" t="s">
        <v>2861</v>
      </c>
      <c r="O597" s="1" t="s">
        <v>6193</v>
      </c>
      <c r="P597" s="1" t="s">
        <v>203</v>
      </c>
      <c r="Q597" s="1" t="s">
        <v>6194</v>
      </c>
      <c r="R597" s="1" t="s">
        <v>6195</v>
      </c>
      <c r="S597" s="1" t="s">
        <v>6196</v>
      </c>
      <c r="T597" s="1" t="s">
        <v>52</v>
      </c>
      <c r="U597" s="1" t="s">
        <v>53</v>
      </c>
    </row>
    <row r="598" customFormat="false" ht="15" hidden="false" customHeight="true" outlineLevel="0" collapsed="false">
      <c r="A598" s="1" t="s">
        <v>1925</v>
      </c>
      <c r="B598" s="1" t="s">
        <v>4506</v>
      </c>
      <c r="C598" s="1" t="s">
        <v>3297</v>
      </c>
      <c r="D598" s="1" t="s">
        <v>1926</v>
      </c>
      <c r="E598" s="1" t="s">
        <v>115</v>
      </c>
      <c r="F598" s="1" t="s">
        <v>41</v>
      </c>
      <c r="G598" s="1" t="s">
        <v>78</v>
      </c>
      <c r="H598" s="1" t="s">
        <v>216</v>
      </c>
      <c r="I598" s="1" t="s">
        <v>217</v>
      </c>
      <c r="J598" s="1" t="s">
        <v>62</v>
      </c>
      <c r="K598" s="1" t="s">
        <v>91</v>
      </c>
      <c r="L598" s="1" t="s">
        <v>1927</v>
      </c>
      <c r="M598" s="1" t="s">
        <v>49</v>
      </c>
      <c r="N598" s="1" t="s">
        <v>2899</v>
      </c>
      <c r="O598" s="1" t="s">
        <v>6197</v>
      </c>
      <c r="P598" s="1" t="s">
        <v>84</v>
      </c>
      <c r="Q598" s="1" t="s">
        <v>6198</v>
      </c>
      <c r="R598" s="1" t="s">
        <v>6199</v>
      </c>
      <c r="S598" s="1" t="s">
        <v>6200</v>
      </c>
      <c r="T598" s="1" t="s">
        <v>52</v>
      </c>
      <c r="U598" s="1" t="s">
        <v>53</v>
      </c>
    </row>
    <row r="599" customFormat="false" ht="15" hidden="false" customHeight="true" outlineLevel="0" collapsed="false">
      <c r="A599" s="1" t="s">
        <v>1928</v>
      </c>
      <c r="B599" s="1" t="s">
        <v>6201</v>
      </c>
      <c r="C599" s="1" t="s">
        <v>3389</v>
      </c>
      <c r="D599" s="1" t="s">
        <v>1929</v>
      </c>
      <c r="E599" s="1" t="s">
        <v>115</v>
      </c>
      <c r="F599" s="1" t="s">
        <v>41</v>
      </c>
      <c r="G599" s="1" t="s">
        <v>78</v>
      </c>
      <c r="H599" s="1" t="s">
        <v>79</v>
      </c>
      <c r="I599" s="1" t="s">
        <v>80</v>
      </c>
      <c r="J599" s="1" t="s">
        <v>99</v>
      </c>
      <c r="K599" s="1" t="s">
        <v>105</v>
      </c>
      <c r="L599" s="1" t="s">
        <v>1930</v>
      </c>
      <c r="M599" s="1" t="s">
        <v>65</v>
      </c>
      <c r="N599" s="1" t="s">
        <v>2899</v>
      </c>
      <c r="O599" s="1" t="s">
        <v>6202</v>
      </c>
      <c r="P599" s="1" t="s">
        <v>84</v>
      </c>
      <c r="Q599" s="1" t="s">
        <v>6203</v>
      </c>
      <c r="R599" s="1" t="s">
        <v>6204</v>
      </c>
      <c r="S599" s="1" t="s">
        <v>6205</v>
      </c>
      <c r="T599" s="1" t="s">
        <v>52</v>
      </c>
      <c r="U599" s="1" t="s">
        <v>53</v>
      </c>
    </row>
    <row r="600" customFormat="false" ht="15" hidden="false" customHeight="true" outlineLevel="0" collapsed="false">
      <c r="A600" s="1" t="s">
        <v>1931</v>
      </c>
      <c r="B600" s="1" t="s">
        <v>2820</v>
      </c>
      <c r="C600" s="1" t="s">
        <v>2821</v>
      </c>
      <c r="D600" s="1" t="s">
        <v>1932</v>
      </c>
      <c r="E600" s="1" t="s">
        <v>87</v>
      </c>
      <c r="F600" s="1" t="s">
        <v>116</v>
      </c>
      <c r="G600" s="1" t="s">
        <v>59</v>
      </c>
      <c r="H600" s="1" t="s">
        <v>125</v>
      </c>
      <c r="I600" s="1" t="s">
        <v>126</v>
      </c>
      <c r="J600" s="1" t="s">
        <v>99</v>
      </c>
      <c r="K600" s="1" t="s">
        <v>105</v>
      </c>
      <c r="L600" s="1" t="s">
        <v>1933</v>
      </c>
      <c r="M600" s="1" t="s">
        <v>65</v>
      </c>
      <c r="N600" s="1" t="s">
        <v>2822</v>
      </c>
      <c r="O600" s="1" t="s">
        <v>2823</v>
      </c>
      <c r="P600" s="1" t="s">
        <v>84</v>
      </c>
      <c r="Q600" s="1" t="s">
        <v>2824</v>
      </c>
      <c r="R600" s="1" t="s">
        <v>2825</v>
      </c>
      <c r="S600" s="1" t="s">
        <v>2826</v>
      </c>
      <c r="T600" s="1" t="s">
        <v>52</v>
      </c>
      <c r="U600" s="1" t="s">
        <v>53</v>
      </c>
    </row>
    <row r="601" customFormat="false" ht="15" hidden="false" customHeight="true" outlineLevel="0" collapsed="false">
      <c r="A601" s="1" t="s">
        <v>1934</v>
      </c>
      <c r="B601" s="1" t="s">
        <v>6206</v>
      </c>
      <c r="C601" s="1" t="s">
        <v>4722</v>
      </c>
      <c r="D601" s="1" t="s">
        <v>1935</v>
      </c>
      <c r="E601" s="1" t="s">
        <v>77</v>
      </c>
      <c r="F601" s="1" t="s">
        <v>41</v>
      </c>
      <c r="G601" s="1" t="s">
        <v>42</v>
      </c>
      <c r="H601" s="1" t="s">
        <v>149</v>
      </c>
      <c r="I601" s="1" t="s">
        <v>150</v>
      </c>
      <c r="J601" s="1" t="s">
        <v>99</v>
      </c>
      <c r="K601" s="1" t="s">
        <v>201</v>
      </c>
      <c r="L601" s="1" t="s">
        <v>1936</v>
      </c>
      <c r="M601" s="1" t="s">
        <v>72</v>
      </c>
      <c r="N601" s="1" t="s">
        <v>2822</v>
      </c>
      <c r="O601" s="1" t="s">
        <v>6207</v>
      </c>
      <c r="P601" s="1" t="s">
        <v>84</v>
      </c>
      <c r="Q601" s="1" t="s">
        <v>6208</v>
      </c>
      <c r="R601" s="1" t="s">
        <v>6209</v>
      </c>
      <c r="S601" s="1" t="s">
        <v>6210</v>
      </c>
      <c r="T601" s="1" t="s">
        <v>52</v>
      </c>
      <c r="U601" s="1" t="s">
        <v>53</v>
      </c>
    </row>
    <row r="602" customFormat="false" ht="15" hidden="false" customHeight="true" outlineLevel="0" collapsed="false">
      <c r="A602" s="1" t="s">
        <v>1937</v>
      </c>
      <c r="B602" s="1" t="s">
        <v>6211</v>
      </c>
      <c r="C602" s="1" t="s">
        <v>6212</v>
      </c>
      <c r="D602" s="1" t="s">
        <v>1938</v>
      </c>
      <c r="E602" s="1" t="s">
        <v>87</v>
      </c>
      <c r="F602" s="1" t="s">
        <v>116</v>
      </c>
      <c r="G602" s="1" t="s">
        <v>88</v>
      </c>
      <c r="H602" s="1" t="s">
        <v>97</v>
      </c>
      <c r="I602" s="1" t="s">
        <v>98</v>
      </c>
      <c r="J602" s="1" t="s">
        <v>46</v>
      </c>
      <c r="K602" s="1" t="s">
        <v>151</v>
      </c>
      <c r="L602" s="1" t="s">
        <v>1939</v>
      </c>
      <c r="M602" s="1" t="s">
        <v>65</v>
      </c>
      <c r="N602" s="1" t="s">
        <v>2822</v>
      </c>
      <c r="O602" s="1" t="s">
        <v>6213</v>
      </c>
      <c r="Q602" s="1" t="s">
        <v>6214</v>
      </c>
      <c r="R602" s="1" t="s">
        <v>6215</v>
      </c>
      <c r="S602" s="1" t="s">
        <v>6216</v>
      </c>
      <c r="T602" s="1" t="s">
        <v>52</v>
      </c>
      <c r="U602" s="1" t="s">
        <v>53</v>
      </c>
    </row>
    <row r="603" customFormat="false" ht="15" hidden="false" customHeight="true" outlineLevel="0" collapsed="false">
      <c r="A603" s="1" t="s">
        <v>1940</v>
      </c>
      <c r="B603" s="1" t="s">
        <v>6217</v>
      </c>
      <c r="C603" s="1" t="s">
        <v>6218</v>
      </c>
      <c r="D603" s="1" t="s">
        <v>1941</v>
      </c>
      <c r="E603" s="1" t="s">
        <v>87</v>
      </c>
      <c r="F603" s="1" t="s">
        <v>121</v>
      </c>
      <c r="G603" s="1" t="s">
        <v>59</v>
      </c>
      <c r="H603" s="1" t="s">
        <v>125</v>
      </c>
      <c r="I603" s="1" t="s">
        <v>126</v>
      </c>
      <c r="J603" s="1" t="s">
        <v>46</v>
      </c>
      <c r="K603" s="1" t="s">
        <v>47</v>
      </c>
      <c r="L603" s="1" t="s">
        <v>1942</v>
      </c>
      <c r="M603" s="1" t="s">
        <v>49</v>
      </c>
      <c r="N603" s="1" t="s">
        <v>2829</v>
      </c>
      <c r="O603" s="1" t="s">
        <v>6219</v>
      </c>
      <c r="P603" s="1" t="s">
        <v>50</v>
      </c>
      <c r="Q603" s="1" t="s">
        <v>6220</v>
      </c>
      <c r="R603" s="1" t="s">
        <v>6221</v>
      </c>
      <c r="S603" s="1" t="s">
        <v>6222</v>
      </c>
      <c r="T603" s="1" t="s">
        <v>52</v>
      </c>
      <c r="U603" s="1" t="s">
        <v>53</v>
      </c>
    </row>
    <row r="604" customFormat="false" ht="15" hidden="false" customHeight="true" outlineLevel="0" collapsed="false">
      <c r="A604" s="1" t="s">
        <v>1943</v>
      </c>
      <c r="B604" s="1" t="s">
        <v>6223</v>
      </c>
      <c r="C604" s="1" t="s">
        <v>6224</v>
      </c>
      <c r="D604" s="1" t="s">
        <v>1944</v>
      </c>
      <c r="E604" s="1" t="s">
        <v>155</v>
      </c>
      <c r="F604" s="1" t="s">
        <v>41</v>
      </c>
      <c r="G604" s="1" t="s">
        <v>59</v>
      </c>
      <c r="H604" s="1" t="s">
        <v>262</v>
      </c>
      <c r="I604" s="1" t="s">
        <v>263</v>
      </c>
      <c r="J604" s="1" t="s">
        <v>99</v>
      </c>
      <c r="K604" s="1" t="s">
        <v>105</v>
      </c>
      <c r="L604" s="1" t="s">
        <v>1945</v>
      </c>
      <c r="M604" s="1" t="s">
        <v>49</v>
      </c>
      <c r="N604" s="1" t="s">
        <v>2899</v>
      </c>
      <c r="O604" s="1" t="s">
        <v>6225</v>
      </c>
      <c r="P604" s="1" t="s">
        <v>107</v>
      </c>
      <c r="Q604" s="1" t="s">
        <v>6226</v>
      </c>
      <c r="R604" s="1" t="s">
        <v>6227</v>
      </c>
      <c r="S604" s="1" t="s">
        <v>6228</v>
      </c>
      <c r="T604" s="1" t="s">
        <v>52</v>
      </c>
      <c r="U604" s="1" t="s">
        <v>53</v>
      </c>
    </row>
    <row r="605" customFormat="false" ht="15" hidden="false" customHeight="true" outlineLevel="0" collapsed="false">
      <c r="A605" s="1" t="s">
        <v>1946</v>
      </c>
      <c r="B605" s="1" t="s">
        <v>6229</v>
      </c>
      <c r="C605" s="1" t="s">
        <v>3512</v>
      </c>
      <c r="D605" s="1" t="s">
        <v>368</v>
      </c>
      <c r="E605" s="1" t="s">
        <v>96</v>
      </c>
      <c r="F605" s="1" t="s">
        <v>116</v>
      </c>
      <c r="G605" s="1" t="s">
        <v>59</v>
      </c>
      <c r="H605" s="1" t="s">
        <v>174</v>
      </c>
      <c r="I605" s="1" t="s">
        <v>175</v>
      </c>
      <c r="J605" s="1" t="s">
        <v>99</v>
      </c>
      <c r="K605" s="1" t="s">
        <v>100</v>
      </c>
      <c r="L605" s="1" t="s">
        <v>1947</v>
      </c>
      <c r="M605" s="1" t="s">
        <v>72</v>
      </c>
      <c r="N605" s="1" t="s">
        <v>2861</v>
      </c>
      <c r="O605" s="1" t="s">
        <v>6230</v>
      </c>
      <c r="P605" s="1" t="s">
        <v>128</v>
      </c>
      <c r="Q605" s="1" t="s">
        <v>6231</v>
      </c>
      <c r="R605" s="1" t="s">
        <v>6232</v>
      </c>
      <c r="S605" s="1" t="s">
        <v>6233</v>
      </c>
      <c r="T605" s="1" t="s">
        <v>138</v>
      </c>
      <c r="U605" s="1" t="s">
        <v>93</v>
      </c>
    </row>
    <row r="606" customFormat="false" ht="15" hidden="false" customHeight="true" outlineLevel="0" collapsed="false">
      <c r="A606" s="1" t="s">
        <v>1948</v>
      </c>
      <c r="B606" s="1" t="s">
        <v>6234</v>
      </c>
      <c r="C606" s="1" t="s">
        <v>6235</v>
      </c>
      <c r="D606" s="1" t="s">
        <v>1949</v>
      </c>
      <c r="E606" s="1" t="s">
        <v>87</v>
      </c>
      <c r="F606" s="1" t="s">
        <v>41</v>
      </c>
      <c r="G606" s="1" t="s">
        <v>88</v>
      </c>
      <c r="H606" s="1" t="s">
        <v>97</v>
      </c>
      <c r="I606" s="1" t="s">
        <v>98</v>
      </c>
      <c r="J606" s="1" t="s">
        <v>46</v>
      </c>
      <c r="K606" s="1" t="s">
        <v>183</v>
      </c>
      <c r="L606" s="1" t="s">
        <v>1950</v>
      </c>
      <c r="M606" s="1" t="s">
        <v>65</v>
      </c>
      <c r="N606" s="1" t="s">
        <v>2822</v>
      </c>
      <c r="O606" s="1" t="s">
        <v>6236</v>
      </c>
      <c r="P606" s="1" t="s">
        <v>66</v>
      </c>
      <c r="Q606" s="1" t="s">
        <v>6237</v>
      </c>
      <c r="R606" s="1" t="s">
        <v>6238</v>
      </c>
      <c r="S606" s="1" t="s">
        <v>4522</v>
      </c>
      <c r="T606" s="1" t="s">
        <v>52</v>
      </c>
      <c r="U606" s="1" t="s">
        <v>53</v>
      </c>
    </row>
    <row r="607" customFormat="false" ht="15" hidden="false" customHeight="true" outlineLevel="0" collapsed="false">
      <c r="A607" s="1" t="s">
        <v>1951</v>
      </c>
      <c r="B607" s="1" t="s">
        <v>5911</v>
      </c>
      <c r="C607" s="1" t="s">
        <v>6239</v>
      </c>
      <c r="D607" s="1" t="s">
        <v>1952</v>
      </c>
      <c r="E607" s="1" t="s">
        <v>298</v>
      </c>
      <c r="F607" s="1" t="s">
        <v>116</v>
      </c>
      <c r="G607" s="1" t="s">
        <v>88</v>
      </c>
      <c r="H607" s="1" t="s">
        <v>221</v>
      </c>
      <c r="I607" s="1" t="s">
        <v>222</v>
      </c>
      <c r="J607" s="1" t="s">
        <v>62</v>
      </c>
      <c r="K607" s="1" t="s">
        <v>81</v>
      </c>
      <c r="L607" s="1" t="s">
        <v>1953</v>
      </c>
      <c r="M607" s="1" t="s">
        <v>49</v>
      </c>
      <c r="N607" s="1" t="s">
        <v>2829</v>
      </c>
      <c r="O607" s="1" t="s">
        <v>6240</v>
      </c>
      <c r="P607" s="1" t="s">
        <v>806</v>
      </c>
      <c r="Q607" s="1" t="s">
        <v>6241</v>
      </c>
      <c r="R607" s="1" t="s">
        <v>6242</v>
      </c>
      <c r="S607" s="1" t="s">
        <v>6243</v>
      </c>
      <c r="T607" s="1" t="s">
        <v>52</v>
      </c>
      <c r="U607" s="1" t="s">
        <v>93</v>
      </c>
    </row>
    <row r="608" customFormat="false" ht="15" hidden="false" customHeight="true" outlineLevel="0" collapsed="false">
      <c r="A608" s="1" t="s">
        <v>1954</v>
      </c>
      <c r="B608" s="1" t="s">
        <v>6244</v>
      </c>
      <c r="C608" s="1" t="s">
        <v>5806</v>
      </c>
      <c r="D608" s="1" t="s">
        <v>1955</v>
      </c>
      <c r="E608" s="1" t="s">
        <v>145</v>
      </c>
      <c r="F608" s="1" t="s">
        <v>121</v>
      </c>
      <c r="G608" s="1" t="s">
        <v>88</v>
      </c>
      <c r="H608" s="1" t="s">
        <v>97</v>
      </c>
      <c r="I608" s="1" t="s">
        <v>98</v>
      </c>
      <c r="J608" s="1" t="s">
        <v>99</v>
      </c>
      <c r="K608" s="1" t="s">
        <v>105</v>
      </c>
      <c r="L608" s="1" t="s">
        <v>1956</v>
      </c>
      <c r="M608" s="1" t="s">
        <v>65</v>
      </c>
      <c r="N608" s="1" t="s">
        <v>2822</v>
      </c>
      <c r="O608" s="1" t="s">
        <v>6245</v>
      </c>
      <c r="P608" s="1" t="s">
        <v>84</v>
      </c>
      <c r="Q608" s="1" t="s">
        <v>6246</v>
      </c>
      <c r="R608" s="1" t="s">
        <v>6247</v>
      </c>
      <c r="S608" s="1" t="s">
        <v>6248</v>
      </c>
      <c r="T608" s="1" t="s">
        <v>52</v>
      </c>
      <c r="U608" s="1" t="s">
        <v>53</v>
      </c>
    </row>
    <row r="609" customFormat="false" ht="15" hidden="false" customHeight="true" outlineLevel="0" collapsed="false">
      <c r="A609" s="1" t="s">
        <v>1957</v>
      </c>
      <c r="B609" s="1" t="s">
        <v>6192</v>
      </c>
      <c r="C609" s="1" t="s">
        <v>6244</v>
      </c>
      <c r="D609" s="1" t="s">
        <v>1958</v>
      </c>
      <c r="E609" s="1" t="s">
        <v>159</v>
      </c>
      <c r="F609" s="1" t="s">
        <v>121</v>
      </c>
      <c r="G609" s="1" t="s">
        <v>59</v>
      </c>
      <c r="H609" s="1" t="s">
        <v>174</v>
      </c>
      <c r="I609" s="1" t="s">
        <v>175</v>
      </c>
      <c r="J609" s="1" t="s">
        <v>46</v>
      </c>
      <c r="K609" s="1" t="s">
        <v>151</v>
      </c>
      <c r="L609" s="1" t="s">
        <v>1959</v>
      </c>
      <c r="M609" s="1" t="s">
        <v>65</v>
      </c>
      <c r="N609" s="1" t="s">
        <v>2829</v>
      </c>
      <c r="O609" s="1" t="s">
        <v>6249</v>
      </c>
      <c r="P609" s="1" t="s">
        <v>107</v>
      </c>
      <c r="Q609" s="1" t="s">
        <v>6250</v>
      </c>
      <c r="R609" s="1" t="s">
        <v>6251</v>
      </c>
      <c r="S609" s="1" t="s">
        <v>6252</v>
      </c>
      <c r="T609" s="1" t="s">
        <v>52</v>
      </c>
      <c r="U609" s="1" t="s">
        <v>53</v>
      </c>
    </row>
    <row r="610" customFormat="false" ht="15" hidden="false" customHeight="true" outlineLevel="0" collapsed="false">
      <c r="A610" s="1" t="s">
        <v>1960</v>
      </c>
      <c r="B610" s="1" t="s">
        <v>5350</v>
      </c>
      <c r="C610" s="1" t="s">
        <v>4635</v>
      </c>
      <c r="D610" s="1" t="s">
        <v>1738</v>
      </c>
      <c r="E610" s="1" t="s">
        <v>40</v>
      </c>
      <c r="F610" s="1" t="s">
        <v>121</v>
      </c>
      <c r="G610" s="1" t="s">
        <v>88</v>
      </c>
      <c r="H610" s="1" t="s">
        <v>221</v>
      </c>
      <c r="I610" s="1" t="s">
        <v>222</v>
      </c>
      <c r="J610" s="1" t="s">
        <v>62</v>
      </c>
      <c r="K610" s="1" t="s">
        <v>81</v>
      </c>
      <c r="L610" s="1" t="s">
        <v>1961</v>
      </c>
      <c r="M610" s="1" t="s">
        <v>49</v>
      </c>
      <c r="N610" s="1" t="s">
        <v>2899</v>
      </c>
      <c r="O610" s="1" t="s">
        <v>6253</v>
      </c>
      <c r="P610" s="1" t="s">
        <v>66</v>
      </c>
      <c r="Q610" s="1" t="s">
        <v>6254</v>
      </c>
      <c r="R610" s="1" t="s">
        <v>6255</v>
      </c>
      <c r="S610" s="1" t="s">
        <v>6256</v>
      </c>
      <c r="T610" s="1" t="s">
        <v>52</v>
      </c>
      <c r="U610" s="1" t="s">
        <v>53</v>
      </c>
    </row>
    <row r="611" customFormat="false" ht="15" hidden="false" customHeight="true" outlineLevel="0" collapsed="false">
      <c r="A611" s="1" t="s">
        <v>1962</v>
      </c>
      <c r="B611" s="1" t="s">
        <v>5234</v>
      </c>
      <c r="C611" s="1" t="s">
        <v>4196</v>
      </c>
      <c r="D611" s="1" t="s">
        <v>1963</v>
      </c>
      <c r="E611" s="1" t="s">
        <v>159</v>
      </c>
      <c r="F611" s="1" t="s">
        <v>121</v>
      </c>
      <c r="G611" s="1" t="s">
        <v>78</v>
      </c>
      <c r="H611" s="1" t="s">
        <v>206</v>
      </c>
      <c r="I611" s="1" t="s">
        <v>207</v>
      </c>
      <c r="J611" s="1" t="s">
        <v>62</v>
      </c>
      <c r="K611" s="1" t="s">
        <v>91</v>
      </c>
      <c r="L611" s="1" t="s">
        <v>1964</v>
      </c>
      <c r="M611" s="1" t="s">
        <v>83</v>
      </c>
      <c r="N611" s="1" t="s">
        <v>2906</v>
      </c>
      <c r="O611" s="1" t="s">
        <v>6257</v>
      </c>
      <c r="P611" s="1" t="s">
        <v>66</v>
      </c>
      <c r="Q611" s="1" t="s">
        <v>6258</v>
      </c>
      <c r="R611" s="1" t="s">
        <v>6259</v>
      </c>
      <c r="S611" s="1" t="s">
        <v>6260</v>
      </c>
      <c r="T611" s="1" t="s">
        <v>52</v>
      </c>
      <c r="U611" s="1" t="s">
        <v>53</v>
      </c>
    </row>
    <row r="612" customFormat="false" ht="15" hidden="false" customHeight="true" outlineLevel="0" collapsed="false">
      <c r="A612" s="1" t="s">
        <v>1965</v>
      </c>
      <c r="B612" s="1" t="s">
        <v>6261</v>
      </c>
      <c r="C612" s="1" t="s">
        <v>6262</v>
      </c>
      <c r="D612" s="1" t="s">
        <v>1408</v>
      </c>
      <c r="E612" s="1" t="s">
        <v>40</v>
      </c>
      <c r="F612" s="1" t="s">
        <v>121</v>
      </c>
      <c r="G612" s="1" t="s">
        <v>88</v>
      </c>
      <c r="H612" s="1" t="s">
        <v>97</v>
      </c>
      <c r="I612" s="1" t="s">
        <v>98</v>
      </c>
      <c r="J612" s="1" t="s">
        <v>62</v>
      </c>
      <c r="K612" s="1" t="s">
        <v>91</v>
      </c>
      <c r="L612" s="1" t="s">
        <v>1966</v>
      </c>
      <c r="M612" s="1" t="s">
        <v>83</v>
      </c>
      <c r="N612" s="1" t="s">
        <v>2836</v>
      </c>
      <c r="O612" s="1" t="s">
        <v>6263</v>
      </c>
      <c r="P612" s="1" t="s">
        <v>203</v>
      </c>
      <c r="Q612" s="1" t="s">
        <v>6264</v>
      </c>
      <c r="R612" s="1" t="s">
        <v>6265</v>
      </c>
      <c r="S612" s="1" t="s">
        <v>6266</v>
      </c>
      <c r="T612" s="1" t="s">
        <v>52</v>
      </c>
      <c r="U612" s="1" t="s">
        <v>53</v>
      </c>
    </row>
    <row r="613" customFormat="false" ht="15" hidden="false" customHeight="true" outlineLevel="0" collapsed="false">
      <c r="A613" s="1" t="s">
        <v>1967</v>
      </c>
      <c r="B613" s="1" t="s">
        <v>5910</v>
      </c>
      <c r="C613" s="1" t="s">
        <v>6267</v>
      </c>
      <c r="D613" s="1" t="s">
        <v>1968</v>
      </c>
      <c r="E613" s="1" t="s">
        <v>87</v>
      </c>
      <c r="F613" s="1" t="s">
        <v>58</v>
      </c>
      <c r="G613" s="1" t="s">
        <v>42</v>
      </c>
      <c r="H613" s="1" t="s">
        <v>44</v>
      </c>
      <c r="I613" s="1" t="s">
        <v>45</v>
      </c>
      <c r="J613" s="1" t="s">
        <v>46</v>
      </c>
      <c r="K613" s="1" t="s">
        <v>183</v>
      </c>
      <c r="L613" s="1" t="s">
        <v>1969</v>
      </c>
      <c r="M613" s="1" t="s">
        <v>65</v>
      </c>
      <c r="N613" s="1" t="s">
        <v>2861</v>
      </c>
      <c r="O613" s="1" t="s">
        <v>6268</v>
      </c>
      <c r="P613" s="1" t="s">
        <v>203</v>
      </c>
      <c r="Q613" s="1" t="s">
        <v>6269</v>
      </c>
      <c r="R613" s="1" t="s">
        <v>6270</v>
      </c>
      <c r="S613" s="1" t="s">
        <v>6271</v>
      </c>
      <c r="T613" s="1" t="s">
        <v>52</v>
      </c>
      <c r="U613" s="1" t="s">
        <v>53</v>
      </c>
    </row>
    <row r="614" customFormat="false" ht="15" hidden="false" customHeight="true" outlineLevel="0" collapsed="false">
      <c r="A614" s="1" t="s">
        <v>1970</v>
      </c>
      <c r="B614" s="1" t="s">
        <v>6272</v>
      </c>
      <c r="C614" s="1" t="s">
        <v>6273</v>
      </c>
      <c r="D614" s="1" t="s">
        <v>1971</v>
      </c>
      <c r="E614" s="1" t="s">
        <v>115</v>
      </c>
      <c r="F614" s="1" t="s">
        <v>41</v>
      </c>
      <c r="H614" s="1" t="s">
        <v>60</v>
      </c>
      <c r="I614" s="1" t="s">
        <v>61</v>
      </c>
      <c r="J614" s="1" t="s">
        <v>99</v>
      </c>
      <c r="K614" s="1" t="s">
        <v>201</v>
      </c>
      <c r="L614" s="1" t="s">
        <v>1972</v>
      </c>
      <c r="M614" s="1" t="s">
        <v>83</v>
      </c>
      <c r="N614" s="1" t="s">
        <v>2836</v>
      </c>
      <c r="O614" s="1" t="s">
        <v>6274</v>
      </c>
      <c r="P614" s="1" t="s">
        <v>66</v>
      </c>
      <c r="Q614" s="1" t="s">
        <v>6274</v>
      </c>
      <c r="R614" s="1" t="s">
        <v>6275</v>
      </c>
      <c r="S614" s="1" t="s">
        <v>6276</v>
      </c>
      <c r="T614" s="1" t="s">
        <v>52</v>
      </c>
      <c r="U614" s="1" t="s">
        <v>53</v>
      </c>
    </row>
    <row r="615" customFormat="false" ht="15" hidden="false" customHeight="true" outlineLevel="0" collapsed="false">
      <c r="A615" s="1" t="s">
        <v>1973</v>
      </c>
      <c r="B615" s="1" t="s">
        <v>5707</v>
      </c>
      <c r="C615" s="1" t="s">
        <v>6277</v>
      </c>
      <c r="D615" s="1" t="s">
        <v>1974</v>
      </c>
      <c r="E615" s="1" t="s">
        <v>192</v>
      </c>
      <c r="F615" s="1" t="s">
        <v>121</v>
      </c>
      <c r="G615" s="1" t="s">
        <v>88</v>
      </c>
      <c r="H615" s="1" t="s">
        <v>211</v>
      </c>
      <c r="I615" s="1" t="s">
        <v>212</v>
      </c>
      <c r="J615" s="1" t="s">
        <v>99</v>
      </c>
      <c r="K615" s="1" t="s">
        <v>308</v>
      </c>
      <c r="L615" s="1" t="s">
        <v>1975</v>
      </c>
      <c r="M615" s="1" t="s">
        <v>65</v>
      </c>
      <c r="N615" s="1" t="s">
        <v>2899</v>
      </c>
      <c r="O615" s="1" t="s">
        <v>6278</v>
      </c>
      <c r="P615" s="1" t="s">
        <v>84</v>
      </c>
      <c r="Q615" s="1" t="s">
        <v>6279</v>
      </c>
      <c r="R615" s="1" t="s">
        <v>6280</v>
      </c>
      <c r="S615" s="1" t="s">
        <v>6281</v>
      </c>
      <c r="T615" s="1" t="s">
        <v>52</v>
      </c>
      <c r="U615" s="1" t="s">
        <v>53</v>
      </c>
    </row>
    <row r="616" customFormat="false" ht="15" hidden="false" customHeight="true" outlineLevel="0" collapsed="false">
      <c r="A616" s="1" t="s">
        <v>1976</v>
      </c>
      <c r="B616" s="1" t="s">
        <v>5539</v>
      </c>
      <c r="C616" s="1" t="s">
        <v>6282</v>
      </c>
      <c r="D616" s="1" t="s">
        <v>1977</v>
      </c>
      <c r="E616" s="1" t="s">
        <v>87</v>
      </c>
      <c r="F616" s="1" t="s">
        <v>121</v>
      </c>
      <c r="G616" s="1" t="s">
        <v>78</v>
      </c>
      <c r="H616" s="1" t="s">
        <v>79</v>
      </c>
      <c r="I616" s="1" t="s">
        <v>80</v>
      </c>
      <c r="J616" s="1" t="s">
        <v>62</v>
      </c>
      <c r="K616" s="1" t="s">
        <v>91</v>
      </c>
      <c r="L616" s="1" t="s">
        <v>1978</v>
      </c>
      <c r="M616" s="1" t="s">
        <v>83</v>
      </c>
      <c r="N616" s="1" t="s">
        <v>2861</v>
      </c>
      <c r="O616" s="1" t="s">
        <v>6283</v>
      </c>
      <c r="P616" s="1" t="s">
        <v>84</v>
      </c>
      <c r="Q616" s="1" t="s">
        <v>6284</v>
      </c>
      <c r="R616" s="1" t="s">
        <v>6285</v>
      </c>
      <c r="S616" s="1" t="s">
        <v>6286</v>
      </c>
      <c r="T616" s="1" t="s">
        <v>129</v>
      </c>
      <c r="U616" s="1" t="s">
        <v>93</v>
      </c>
    </row>
    <row r="617" customFormat="false" ht="15" hidden="false" customHeight="true" outlineLevel="0" collapsed="false">
      <c r="A617" s="1" t="s">
        <v>1979</v>
      </c>
      <c r="B617" s="1" t="s">
        <v>6287</v>
      </c>
      <c r="C617" s="1" t="s">
        <v>6288</v>
      </c>
      <c r="D617" s="1" t="s">
        <v>1980</v>
      </c>
      <c r="E617" s="1" t="s">
        <v>145</v>
      </c>
      <c r="F617" s="1" t="s">
        <v>116</v>
      </c>
      <c r="G617" s="1" t="s">
        <v>78</v>
      </c>
      <c r="H617" s="1" t="s">
        <v>216</v>
      </c>
      <c r="I617" s="1" t="s">
        <v>217</v>
      </c>
      <c r="J617" s="1" t="s">
        <v>46</v>
      </c>
      <c r="K617" s="1" t="s">
        <v>70</v>
      </c>
      <c r="L617" s="1" t="s">
        <v>1981</v>
      </c>
      <c r="M617" s="1" t="s">
        <v>49</v>
      </c>
      <c r="N617" s="1" t="s">
        <v>2868</v>
      </c>
      <c r="O617" s="1" t="s">
        <v>6289</v>
      </c>
      <c r="P617" s="1" t="s">
        <v>203</v>
      </c>
      <c r="Q617" s="1" t="s">
        <v>6290</v>
      </c>
      <c r="R617" s="1" t="s">
        <v>6291</v>
      </c>
      <c r="S617" s="1" t="s">
        <v>6292</v>
      </c>
      <c r="T617" s="1" t="s">
        <v>52</v>
      </c>
      <c r="U617" s="1" t="s">
        <v>53</v>
      </c>
    </row>
    <row r="618" customFormat="false" ht="15" hidden="false" customHeight="true" outlineLevel="0" collapsed="false">
      <c r="A618" s="1" t="s">
        <v>1982</v>
      </c>
      <c r="B618" s="1" t="s">
        <v>6293</v>
      </c>
      <c r="C618" s="1" t="s">
        <v>6206</v>
      </c>
      <c r="D618" s="1" t="s">
        <v>1983</v>
      </c>
      <c r="E618" s="1" t="s">
        <v>298</v>
      </c>
      <c r="F618" s="1" t="s">
        <v>41</v>
      </c>
      <c r="G618" s="1" t="s">
        <v>78</v>
      </c>
      <c r="H618" s="1" t="s">
        <v>79</v>
      </c>
      <c r="I618" s="1" t="s">
        <v>80</v>
      </c>
      <c r="J618" s="1" t="s">
        <v>46</v>
      </c>
      <c r="K618" s="1" t="s">
        <v>47</v>
      </c>
      <c r="L618" s="1" t="s">
        <v>1984</v>
      </c>
      <c r="M618" s="1" t="s">
        <v>83</v>
      </c>
      <c r="N618" s="1" t="s">
        <v>2815</v>
      </c>
      <c r="O618" s="1" t="s">
        <v>6294</v>
      </c>
      <c r="P618" s="1" t="s">
        <v>50</v>
      </c>
      <c r="Q618" s="1" t="s">
        <v>6295</v>
      </c>
      <c r="R618" s="1" t="s">
        <v>6296</v>
      </c>
      <c r="S618" s="1" t="s">
        <v>6297</v>
      </c>
      <c r="T618" s="1" t="s">
        <v>52</v>
      </c>
      <c r="U618" s="1" t="s">
        <v>53</v>
      </c>
    </row>
    <row r="619" customFormat="false" ht="15" hidden="false" customHeight="true" outlineLevel="0" collapsed="false">
      <c r="A619" s="1" t="s">
        <v>1985</v>
      </c>
      <c r="B619" s="1" t="s">
        <v>6298</v>
      </c>
      <c r="C619" s="1" t="s">
        <v>3954</v>
      </c>
      <c r="D619" s="1" t="s">
        <v>1986</v>
      </c>
      <c r="E619" s="1" t="s">
        <v>57</v>
      </c>
      <c r="F619" s="1" t="s">
        <v>121</v>
      </c>
      <c r="G619" s="1" t="s">
        <v>78</v>
      </c>
      <c r="H619" s="1" t="s">
        <v>79</v>
      </c>
      <c r="I619" s="1" t="s">
        <v>80</v>
      </c>
      <c r="J619" s="1" t="s">
        <v>99</v>
      </c>
      <c r="K619" s="1" t="s">
        <v>201</v>
      </c>
      <c r="L619" s="1" t="s">
        <v>1987</v>
      </c>
      <c r="M619" s="1" t="s">
        <v>83</v>
      </c>
      <c r="N619" s="1" t="s">
        <v>2899</v>
      </c>
      <c r="O619" s="1" t="s">
        <v>6299</v>
      </c>
      <c r="P619" s="1" t="s">
        <v>66</v>
      </c>
      <c r="Q619" s="1" t="s">
        <v>6300</v>
      </c>
      <c r="R619" s="1" t="s">
        <v>6301</v>
      </c>
      <c r="S619" s="1" t="s">
        <v>6302</v>
      </c>
      <c r="T619" s="1" t="s">
        <v>52</v>
      </c>
      <c r="U619" s="1" t="s">
        <v>53</v>
      </c>
    </row>
    <row r="620" customFormat="false" ht="15" hidden="false" customHeight="true" outlineLevel="0" collapsed="false">
      <c r="A620" s="1" t="s">
        <v>1988</v>
      </c>
      <c r="B620" s="1" t="s">
        <v>6303</v>
      </c>
      <c r="C620" s="1" t="s">
        <v>3436</v>
      </c>
      <c r="D620" s="1" t="s">
        <v>1989</v>
      </c>
      <c r="E620" s="1" t="s">
        <v>298</v>
      </c>
      <c r="F620" s="1" t="s">
        <v>116</v>
      </c>
      <c r="G620" s="1" t="s">
        <v>42</v>
      </c>
      <c r="H620" s="1" t="s">
        <v>44</v>
      </c>
      <c r="I620" s="1" t="s">
        <v>45</v>
      </c>
      <c r="J620" s="1" t="s">
        <v>62</v>
      </c>
      <c r="K620" s="1" t="s">
        <v>63</v>
      </c>
      <c r="L620" s="1" t="s">
        <v>1990</v>
      </c>
      <c r="M620" s="1" t="s">
        <v>65</v>
      </c>
      <c r="N620" s="1" t="s">
        <v>2899</v>
      </c>
      <c r="O620" s="1" t="s">
        <v>6304</v>
      </c>
      <c r="P620" s="1" t="s">
        <v>84</v>
      </c>
      <c r="Q620" s="1" t="s">
        <v>6305</v>
      </c>
      <c r="R620" s="1" t="s">
        <v>6306</v>
      </c>
      <c r="S620" s="1" t="s">
        <v>6307</v>
      </c>
      <c r="T620" s="1" t="s">
        <v>185</v>
      </c>
      <c r="U620" s="1" t="s">
        <v>93</v>
      </c>
    </row>
    <row r="621" customFormat="false" ht="15" hidden="false" customHeight="true" outlineLevel="0" collapsed="false">
      <c r="A621" s="1" t="s">
        <v>1991</v>
      </c>
      <c r="B621" s="1" t="s">
        <v>3878</v>
      </c>
      <c r="C621" s="1" t="s">
        <v>6308</v>
      </c>
      <c r="D621" s="1" t="s">
        <v>1992</v>
      </c>
      <c r="E621" s="1" t="s">
        <v>141</v>
      </c>
      <c r="F621" s="1" t="s">
        <v>116</v>
      </c>
      <c r="G621" s="1" t="s">
        <v>78</v>
      </c>
      <c r="H621" s="1" t="s">
        <v>281</v>
      </c>
      <c r="I621" s="1" t="s">
        <v>282</v>
      </c>
      <c r="J621" s="1" t="s">
        <v>46</v>
      </c>
      <c r="K621" s="1" t="s">
        <v>183</v>
      </c>
      <c r="L621" s="1" t="s">
        <v>1993</v>
      </c>
      <c r="M621" s="1" t="s">
        <v>72</v>
      </c>
      <c r="N621" s="1" t="s">
        <v>2836</v>
      </c>
      <c r="O621" s="1" t="s">
        <v>6309</v>
      </c>
      <c r="P621" s="1" t="s">
        <v>50</v>
      </c>
      <c r="Q621" s="1" t="s">
        <v>6310</v>
      </c>
      <c r="R621" s="1" t="s">
        <v>6311</v>
      </c>
      <c r="S621" s="1" t="s">
        <v>6312</v>
      </c>
      <c r="T621" s="1" t="s">
        <v>129</v>
      </c>
      <c r="U621" s="1" t="s">
        <v>130</v>
      </c>
    </row>
    <row r="622" customFormat="false" ht="15" hidden="false" customHeight="true" outlineLevel="0" collapsed="false">
      <c r="A622" s="1" t="s">
        <v>1994</v>
      </c>
      <c r="B622" s="1" t="s">
        <v>6313</v>
      </c>
      <c r="C622" s="1" t="s">
        <v>6314</v>
      </c>
      <c r="D622" s="1" t="s">
        <v>1995</v>
      </c>
      <c r="E622" s="1" t="s">
        <v>96</v>
      </c>
      <c r="F622" s="1" t="s">
        <v>41</v>
      </c>
      <c r="G622" s="1" t="s">
        <v>42</v>
      </c>
      <c r="H622" s="1" t="s">
        <v>163</v>
      </c>
      <c r="I622" s="1" t="s">
        <v>164</v>
      </c>
      <c r="J622" s="1" t="s">
        <v>99</v>
      </c>
      <c r="K622" s="1" t="s">
        <v>308</v>
      </c>
      <c r="L622" s="1" t="s">
        <v>1996</v>
      </c>
      <c r="M622" s="1" t="s">
        <v>83</v>
      </c>
      <c r="N622" s="1" t="s">
        <v>2899</v>
      </c>
      <c r="O622" s="1" t="s">
        <v>6315</v>
      </c>
      <c r="P622" s="1" t="s">
        <v>66</v>
      </c>
      <c r="Q622" s="1" t="s">
        <v>6316</v>
      </c>
      <c r="R622" s="1" t="s">
        <v>6317</v>
      </c>
      <c r="S622" s="1" t="s">
        <v>4963</v>
      </c>
      <c r="T622" s="1" t="s">
        <v>52</v>
      </c>
      <c r="U622" s="1" t="s">
        <v>53</v>
      </c>
    </row>
    <row r="623" customFormat="false" ht="15" hidden="false" customHeight="true" outlineLevel="0" collapsed="false">
      <c r="A623" s="1" t="s">
        <v>1997</v>
      </c>
      <c r="B623" s="1" t="s">
        <v>2960</v>
      </c>
      <c r="C623" s="1" t="s">
        <v>6318</v>
      </c>
      <c r="D623" s="1" t="s">
        <v>1998</v>
      </c>
      <c r="E623" s="1" t="s">
        <v>115</v>
      </c>
      <c r="F623" s="1" t="s">
        <v>41</v>
      </c>
      <c r="G623" s="1" t="s">
        <v>88</v>
      </c>
      <c r="H623" s="1" t="s">
        <v>89</v>
      </c>
      <c r="I623" s="1" t="s">
        <v>90</v>
      </c>
      <c r="J623" s="1" t="s">
        <v>62</v>
      </c>
      <c r="K623" s="1" t="s">
        <v>91</v>
      </c>
      <c r="L623" s="1" t="s">
        <v>1999</v>
      </c>
      <c r="M623" s="1" t="s">
        <v>65</v>
      </c>
      <c r="N623" s="1" t="s">
        <v>2829</v>
      </c>
      <c r="O623" s="1" t="s">
        <v>6319</v>
      </c>
      <c r="Q623" s="1" t="s">
        <v>6320</v>
      </c>
      <c r="R623" s="1" t="s">
        <v>6321</v>
      </c>
      <c r="S623" s="1" t="s">
        <v>6322</v>
      </c>
      <c r="T623" s="1" t="s">
        <v>52</v>
      </c>
      <c r="U623" s="1" t="s">
        <v>53</v>
      </c>
    </row>
    <row r="624" customFormat="false" ht="15" hidden="false" customHeight="true" outlineLevel="0" collapsed="false">
      <c r="A624" s="1" t="s">
        <v>2000</v>
      </c>
      <c r="B624" s="1" t="s">
        <v>6323</v>
      </c>
      <c r="C624" s="1" t="s">
        <v>6324</v>
      </c>
      <c r="D624" s="1" t="s">
        <v>2001</v>
      </c>
      <c r="E624" s="1" t="s">
        <v>96</v>
      </c>
      <c r="F624" s="1" t="s">
        <v>41</v>
      </c>
      <c r="G624" s="1" t="s">
        <v>59</v>
      </c>
      <c r="H624" s="1" t="s">
        <v>174</v>
      </c>
      <c r="I624" s="1" t="s">
        <v>175</v>
      </c>
      <c r="J624" s="1" t="s">
        <v>46</v>
      </c>
      <c r="K624" s="1" t="s">
        <v>151</v>
      </c>
      <c r="L624" s="1" t="s">
        <v>2002</v>
      </c>
      <c r="M624" s="1" t="s">
        <v>83</v>
      </c>
      <c r="N624" s="1" t="s">
        <v>2937</v>
      </c>
      <c r="O624" s="1" t="s">
        <v>6325</v>
      </c>
      <c r="P624" s="1" t="s">
        <v>128</v>
      </c>
      <c r="Q624" s="1" t="s">
        <v>6326</v>
      </c>
      <c r="R624" s="1" t="s">
        <v>6327</v>
      </c>
      <c r="S624" s="1" t="s">
        <v>6328</v>
      </c>
      <c r="T624" s="1" t="s">
        <v>52</v>
      </c>
      <c r="U624" s="1" t="s">
        <v>53</v>
      </c>
    </row>
    <row r="625" customFormat="false" ht="15" hidden="false" customHeight="true" outlineLevel="0" collapsed="false">
      <c r="A625" s="1" t="s">
        <v>2003</v>
      </c>
      <c r="B625" s="1" t="s">
        <v>6329</v>
      </c>
      <c r="C625" s="1" t="s">
        <v>6330</v>
      </c>
      <c r="D625" s="1" t="s">
        <v>2004</v>
      </c>
      <c r="E625" s="1" t="s">
        <v>96</v>
      </c>
      <c r="F625" s="1" t="s">
        <v>121</v>
      </c>
      <c r="G625" s="1" t="s">
        <v>42</v>
      </c>
      <c r="H625" s="1" t="s">
        <v>149</v>
      </c>
      <c r="I625" s="1" t="s">
        <v>150</v>
      </c>
      <c r="J625" s="1" t="s">
        <v>46</v>
      </c>
      <c r="K625" s="1" t="s">
        <v>151</v>
      </c>
      <c r="L625" s="1" t="s">
        <v>2005</v>
      </c>
      <c r="M625" s="1" t="s">
        <v>49</v>
      </c>
      <c r="N625" s="1" t="s">
        <v>2861</v>
      </c>
      <c r="O625" s="1" t="s">
        <v>6331</v>
      </c>
      <c r="P625" s="1" t="s">
        <v>128</v>
      </c>
      <c r="Q625" s="1" t="s">
        <v>6332</v>
      </c>
      <c r="R625" s="1" t="s">
        <v>6333</v>
      </c>
      <c r="S625" s="1" t="s">
        <v>6334</v>
      </c>
      <c r="T625" s="1" t="s">
        <v>52</v>
      </c>
      <c r="U625" s="1" t="s">
        <v>53</v>
      </c>
    </row>
    <row r="626" customFormat="false" ht="15" hidden="false" customHeight="true" outlineLevel="0" collapsed="false">
      <c r="A626" s="1" t="s">
        <v>2006</v>
      </c>
      <c r="B626" s="1" t="s">
        <v>6335</v>
      </c>
      <c r="C626" s="1" t="s">
        <v>6336</v>
      </c>
      <c r="D626" s="1" t="s">
        <v>2007</v>
      </c>
      <c r="E626" s="1" t="s">
        <v>104</v>
      </c>
      <c r="F626" s="1" t="s">
        <v>121</v>
      </c>
      <c r="G626" s="1" t="s">
        <v>59</v>
      </c>
      <c r="H626" s="1" t="s">
        <v>196</v>
      </c>
      <c r="I626" s="1" t="s">
        <v>197</v>
      </c>
      <c r="J626" s="1" t="s">
        <v>62</v>
      </c>
      <c r="K626" s="1" t="s">
        <v>91</v>
      </c>
      <c r="L626" s="1" t="s">
        <v>2008</v>
      </c>
      <c r="M626" s="1" t="s">
        <v>72</v>
      </c>
      <c r="N626" s="1" t="s">
        <v>2868</v>
      </c>
      <c r="O626" s="1" t="s">
        <v>6337</v>
      </c>
      <c r="P626" s="1" t="s">
        <v>128</v>
      </c>
      <c r="Q626" s="1" t="s">
        <v>6338</v>
      </c>
      <c r="R626" s="1" t="s">
        <v>6339</v>
      </c>
      <c r="S626" s="1" t="s">
        <v>6340</v>
      </c>
      <c r="T626" s="1" t="s">
        <v>52</v>
      </c>
      <c r="U626" s="1" t="s">
        <v>53</v>
      </c>
    </row>
    <row r="627" customFormat="false" ht="15" hidden="false" customHeight="true" outlineLevel="0" collapsed="false">
      <c r="A627" s="1" t="s">
        <v>2009</v>
      </c>
      <c r="B627" s="1" t="s">
        <v>6341</v>
      </c>
      <c r="C627" s="1" t="s">
        <v>4467</v>
      </c>
      <c r="D627" s="1" t="s">
        <v>2010</v>
      </c>
      <c r="E627" s="1" t="s">
        <v>192</v>
      </c>
      <c r="F627" s="1" t="s">
        <v>116</v>
      </c>
      <c r="G627" s="1" t="s">
        <v>88</v>
      </c>
      <c r="H627" s="1" t="s">
        <v>44</v>
      </c>
      <c r="I627" s="1" t="s">
        <v>136</v>
      </c>
      <c r="J627" s="1" t="s">
        <v>62</v>
      </c>
      <c r="K627" s="1" t="s">
        <v>91</v>
      </c>
      <c r="L627" s="1" t="s">
        <v>2011</v>
      </c>
      <c r="M627" s="1" t="s">
        <v>65</v>
      </c>
      <c r="N627" s="1" t="s">
        <v>2822</v>
      </c>
      <c r="O627" s="1" t="s">
        <v>6342</v>
      </c>
      <c r="P627" s="1" t="s">
        <v>50</v>
      </c>
      <c r="Q627" s="1" t="s">
        <v>6343</v>
      </c>
      <c r="R627" s="1" t="s">
        <v>6344</v>
      </c>
      <c r="S627" s="1" t="s">
        <v>6345</v>
      </c>
      <c r="T627" s="1" t="s">
        <v>52</v>
      </c>
      <c r="U627" s="1" t="s">
        <v>53</v>
      </c>
    </row>
    <row r="628" customFormat="false" ht="15" hidden="false" customHeight="true" outlineLevel="0" collapsed="false">
      <c r="A628" s="1" t="s">
        <v>2012</v>
      </c>
      <c r="B628" s="1" t="s">
        <v>4449</v>
      </c>
      <c r="C628" s="1" t="s">
        <v>6346</v>
      </c>
      <c r="D628" s="1" t="s">
        <v>2013</v>
      </c>
      <c r="E628" s="1" t="s">
        <v>159</v>
      </c>
      <c r="F628" s="1" t="s">
        <v>121</v>
      </c>
      <c r="G628" s="1" t="s">
        <v>59</v>
      </c>
      <c r="H628" s="1" t="s">
        <v>196</v>
      </c>
      <c r="I628" s="1" t="s">
        <v>197</v>
      </c>
      <c r="J628" s="1" t="s">
        <v>99</v>
      </c>
      <c r="K628" s="1" t="s">
        <v>308</v>
      </c>
      <c r="L628" s="1" t="s">
        <v>2014</v>
      </c>
      <c r="M628" s="1" t="s">
        <v>83</v>
      </c>
      <c r="N628" s="1" t="s">
        <v>2861</v>
      </c>
      <c r="O628" s="1" t="s">
        <v>6347</v>
      </c>
      <c r="P628" s="1" t="s">
        <v>66</v>
      </c>
      <c r="Q628" s="1" t="s">
        <v>6348</v>
      </c>
      <c r="R628" s="1" t="s">
        <v>6349</v>
      </c>
      <c r="S628" s="1" t="s">
        <v>6350</v>
      </c>
      <c r="T628" s="1" t="s">
        <v>138</v>
      </c>
      <c r="U628" s="1" t="s">
        <v>130</v>
      </c>
    </row>
    <row r="629" customFormat="false" ht="15" hidden="false" customHeight="true" outlineLevel="0" collapsed="false">
      <c r="A629" s="1" t="s">
        <v>2015</v>
      </c>
      <c r="B629" s="1" t="s">
        <v>4479</v>
      </c>
      <c r="C629" s="1" t="s">
        <v>4902</v>
      </c>
      <c r="D629" s="1" t="s">
        <v>2016</v>
      </c>
      <c r="E629" s="1" t="s">
        <v>40</v>
      </c>
      <c r="F629" s="1" t="s">
        <v>58</v>
      </c>
      <c r="G629" s="1" t="s">
        <v>78</v>
      </c>
      <c r="H629" s="1" t="s">
        <v>216</v>
      </c>
      <c r="I629" s="1" t="s">
        <v>217</v>
      </c>
      <c r="J629" s="1" t="s">
        <v>99</v>
      </c>
      <c r="K629" s="1" t="s">
        <v>201</v>
      </c>
      <c r="L629" s="1" t="s">
        <v>2017</v>
      </c>
      <c r="M629" s="1" t="s">
        <v>49</v>
      </c>
      <c r="N629" s="1" t="s">
        <v>2868</v>
      </c>
      <c r="O629" s="1" t="s">
        <v>6351</v>
      </c>
      <c r="P629" s="1" t="s">
        <v>107</v>
      </c>
      <c r="Q629" s="1" t="s">
        <v>6352</v>
      </c>
      <c r="R629" s="1" t="s">
        <v>6353</v>
      </c>
      <c r="S629" s="1" t="s">
        <v>6354</v>
      </c>
      <c r="T629" s="1" t="s">
        <v>138</v>
      </c>
      <c r="U629" s="1" t="s">
        <v>93</v>
      </c>
    </row>
    <row r="630" customFormat="false" ht="15" hidden="false" customHeight="true" outlineLevel="0" collapsed="false">
      <c r="A630" s="1" t="s">
        <v>2018</v>
      </c>
      <c r="B630" s="1" t="s">
        <v>5836</v>
      </c>
      <c r="C630" s="1" t="s">
        <v>6355</v>
      </c>
      <c r="D630" s="1" t="s">
        <v>2019</v>
      </c>
      <c r="E630" s="1" t="s">
        <v>87</v>
      </c>
      <c r="F630" s="1" t="s">
        <v>121</v>
      </c>
      <c r="G630" s="1" t="s">
        <v>59</v>
      </c>
      <c r="H630" s="1" t="s">
        <v>262</v>
      </c>
      <c r="I630" s="1" t="s">
        <v>263</v>
      </c>
      <c r="J630" s="1" t="s">
        <v>99</v>
      </c>
      <c r="K630" s="1" t="s">
        <v>100</v>
      </c>
      <c r="L630" s="1" t="s">
        <v>2020</v>
      </c>
      <c r="M630" s="1" t="s">
        <v>65</v>
      </c>
      <c r="N630" s="1" t="s">
        <v>2906</v>
      </c>
      <c r="O630" s="1" t="s">
        <v>6356</v>
      </c>
      <c r="P630" s="1" t="s">
        <v>128</v>
      </c>
      <c r="Q630" s="1" t="s">
        <v>6357</v>
      </c>
      <c r="R630" s="1" t="s">
        <v>6358</v>
      </c>
      <c r="S630" s="1" t="s">
        <v>6359</v>
      </c>
      <c r="T630" s="1" t="s">
        <v>52</v>
      </c>
      <c r="U630" s="1" t="s">
        <v>53</v>
      </c>
    </row>
    <row r="631" customFormat="false" ht="15" hidden="false" customHeight="true" outlineLevel="0" collapsed="false">
      <c r="A631" s="1" t="s">
        <v>2021</v>
      </c>
      <c r="B631" s="1" t="s">
        <v>3489</v>
      </c>
      <c r="C631" s="1" t="s">
        <v>6360</v>
      </c>
      <c r="D631" s="1" t="s">
        <v>2022</v>
      </c>
      <c r="E631" s="1" t="s">
        <v>77</v>
      </c>
      <c r="F631" s="1" t="s">
        <v>121</v>
      </c>
      <c r="G631" s="1" t="s">
        <v>88</v>
      </c>
      <c r="H631" s="1" t="s">
        <v>211</v>
      </c>
      <c r="I631" s="1" t="s">
        <v>212</v>
      </c>
      <c r="J631" s="1" t="s">
        <v>62</v>
      </c>
      <c r="K631" s="1" t="s">
        <v>63</v>
      </c>
      <c r="L631" s="1" t="s">
        <v>2023</v>
      </c>
      <c r="M631" s="1" t="s">
        <v>65</v>
      </c>
      <c r="N631" s="1" t="s">
        <v>2822</v>
      </c>
      <c r="O631" s="1" t="s">
        <v>6361</v>
      </c>
      <c r="P631" s="1" t="s">
        <v>107</v>
      </c>
      <c r="Q631" s="1" t="s">
        <v>6362</v>
      </c>
      <c r="R631" s="1" t="s">
        <v>6363</v>
      </c>
      <c r="S631" s="1" t="s">
        <v>6364</v>
      </c>
      <c r="T631" s="1" t="s">
        <v>52</v>
      </c>
      <c r="U631" s="1" t="s">
        <v>53</v>
      </c>
    </row>
    <row r="632" customFormat="false" ht="15" hidden="false" customHeight="true" outlineLevel="0" collapsed="false">
      <c r="A632" s="1" t="s">
        <v>2024</v>
      </c>
      <c r="B632" s="1" t="s">
        <v>2814</v>
      </c>
      <c r="C632" s="1" t="s">
        <v>4568</v>
      </c>
      <c r="D632" s="1" t="s">
        <v>2025</v>
      </c>
      <c r="E632" s="1" t="s">
        <v>141</v>
      </c>
      <c r="F632" s="1" t="s">
        <v>116</v>
      </c>
      <c r="G632" s="1" t="s">
        <v>59</v>
      </c>
      <c r="H632" s="1" t="s">
        <v>196</v>
      </c>
      <c r="I632" s="1" t="s">
        <v>197</v>
      </c>
      <c r="J632" s="1" t="s">
        <v>46</v>
      </c>
      <c r="K632" s="1" t="s">
        <v>47</v>
      </c>
      <c r="L632" s="1" t="s">
        <v>2026</v>
      </c>
      <c r="M632" s="1" t="s">
        <v>83</v>
      </c>
      <c r="N632" s="1" t="s">
        <v>2937</v>
      </c>
      <c r="O632" s="1" t="s">
        <v>6365</v>
      </c>
      <c r="P632" s="1" t="s">
        <v>203</v>
      </c>
      <c r="Q632" s="1" t="s">
        <v>6366</v>
      </c>
      <c r="R632" s="1" t="s">
        <v>6367</v>
      </c>
      <c r="S632" s="1" t="s">
        <v>6368</v>
      </c>
      <c r="T632" s="1" t="s">
        <v>52</v>
      </c>
      <c r="U632" s="1" t="s">
        <v>53</v>
      </c>
    </row>
    <row r="633" customFormat="false" ht="15" hidden="false" customHeight="true" outlineLevel="0" collapsed="false">
      <c r="A633" s="1" t="s">
        <v>2027</v>
      </c>
      <c r="B633" s="1" t="s">
        <v>4506</v>
      </c>
      <c r="C633" s="1" t="s">
        <v>4619</v>
      </c>
      <c r="D633" s="1" t="s">
        <v>2028</v>
      </c>
      <c r="E633" s="1" t="s">
        <v>155</v>
      </c>
      <c r="F633" s="1" t="s">
        <v>121</v>
      </c>
      <c r="G633" s="1" t="s">
        <v>88</v>
      </c>
      <c r="H633" s="1" t="s">
        <v>44</v>
      </c>
      <c r="I633" s="1" t="s">
        <v>136</v>
      </c>
      <c r="J633" s="1" t="s">
        <v>62</v>
      </c>
      <c r="K633" s="1" t="s">
        <v>91</v>
      </c>
      <c r="L633" s="1" t="s">
        <v>2029</v>
      </c>
      <c r="M633" s="1" t="s">
        <v>83</v>
      </c>
      <c r="N633" s="1" t="s">
        <v>2861</v>
      </c>
      <c r="O633" s="1" t="s">
        <v>6369</v>
      </c>
      <c r="P633" s="1" t="s">
        <v>203</v>
      </c>
      <c r="Q633" s="1" t="s">
        <v>6370</v>
      </c>
      <c r="R633" s="1" t="s">
        <v>6371</v>
      </c>
      <c r="S633" s="1" t="s">
        <v>6372</v>
      </c>
      <c r="T633" s="1" t="s">
        <v>52</v>
      </c>
      <c r="U633" s="1" t="s">
        <v>53</v>
      </c>
    </row>
    <row r="634" customFormat="false" ht="15" hidden="false" customHeight="true" outlineLevel="0" collapsed="false">
      <c r="A634" s="1" t="s">
        <v>2030</v>
      </c>
      <c r="B634" s="1" t="s">
        <v>2847</v>
      </c>
      <c r="C634" s="1" t="s">
        <v>2848</v>
      </c>
      <c r="D634" s="1" t="s">
        <v>2031</v>
      </c>
      <c r="E634" s="1" t="s">
        <v>159</v>
      </c>
      <c r="F634" s="1" t="s">
        <v>58</v>
      </c>
      <c r="G634" s="1" t="s">
        <v>78</v>
      </c>
      <c r="H634" s="1" t="s">
        <v>206</v>
      </c>
      <c r="I634" s="1" t="s">
        <v>207</v>
      </c>
      <c r="J634" s="1" t="s">
        <v>62</v>
      </c>
      <c r="K634" s="1" t="s">
        <v>81</v>
      </c>
      <c r="L634" s="1" t="s">
        <v>2032</v>
      </c>
      <c r="M634" s="1" t="s">
        <v>72</v>
      </c>
      <c r="N634" s="1" t="s">
        <v>2829</v>
      </c>
      <c r="O634" s="1" t="s">
        <v>2849</v>
      </c>
      <c r="P634" s="1" t="s">
        <v>66</v>
      </c>
      <c r="Q634" s="1" t="s">
        <v>2850</v>
      </c>
      <c r="R634" s="1" t="s">
        <v>2851</v>
      </c>
      <c r="S634" s="1" t="s">
        <v>2852</v>
      </c>
      <c r="T634" s="1" t="s">
        <v>52</v>
      </c>
      <c r="U634" s="1" t="s">
        <v>53</v>
      </c>
    </row>
    <row r="635" customFormat="false" ht="15" hidden="false" customHeight="true" outlineLevel="0" collapsed="false">
      <c r="A635" s="1" t="s">
        <v>2033</v>
      </c>
      <c r="B635" s="1" t="s">
        <v>6373</v>
      </c>
      <c r="C635" s="1" t="s">
        <v>6374</v>
      </c>
      <c r="D635" s="1" t="s">
        <v>2034</v>
      </c>
      <c r="E635" s="1" t="s">
        <v>155</v>
      </c>
      <c r="F635" s="1" t="s">
        <v>58</v>
      </c>
      <c r="G635" s="1" t="s">
        <v>78</v>
      </c>
      <c r="H635" s="1" t="s">
        <v>281</v>
      </c>
      <c r="I635" s="1" t="s">
        <v>282</v>
      </c>
      <c r="J635" s="1" t="s">
        <v>99</v>
      </c>
      <c r="K635" s="1" t="s">
        <v>100</v>
      </c>
      <c r="L635" s="1" t="s">
        <v>2035</v>
      </c>
      <c r="M635" s="1" t="s">
        <v>49</v>
      </c>
      <c r="N635" s="1" t="s">
        <v>2836</v>
      </c>
      <c r="O635" s="1" t="s">
        <v>6375</v>
      </c>
      <c r="P635" s="1" t="s">
        <v>107</v>
      </c>
      <c r="Q635" s="1" t="s">
        <v>6376</v>
      </c>
      <c r="R635" s="1" t="s">
        <v>6377</v>
      </c>
      <c r="S635" s="1" t="s">
        <v>6378</v>
      </c>
      <c r="T635" s="1" t="s">
        <v>52</v>
      </c>
      <c r="U635" s="1" t="s">
        <v>53</v>
      </c>
    </row>
    <row r="636" customFormat="false" ht="15" hidden="false" customHeight="true" outlineLevel="0" collapsed="false">
      <c r="A636" s="1" t="s">
        <v>2036</v>
      </c>
      <c r="B636" s="1" t="s">
        <v>6379</v>
      </c>
      <c r="C636" s="1" t="s">
        <v>5383</v>
      </c>
      <c r="D636" s="1" t="s">
        <v>2037</v>
      </c>
      <c r="E636" s="1" t="s">
        <v>115</v>
      </c>
      <c r="F636" s="1" t="s">
        <v>41</v>
      </c>
      <c r="G636" s="1" t="s">
        <v>78</v>
      </c>
      <c r="H636" s="1" t="s">
        <v>79</v>
      </c>
      <c r="I636" s="1" t="s">
        <v>80</v>
      </c>
      <c r="J636" s="1" t="s">
        <v>62</v>
      </c>
      <c r="K636" s="1" t="s">
        <v>91</v>
      </c>
      <c r="L636" s="1" t="s">
        <v>2038</v>
      </c>
      <c r="M636" s="1" t="s">
        <v>49</v>
      </c>
      <c r="N636" s="1" t="s">
        <v>2937</v>
      </c>
      <c r="O636" s="1" t="s">
        <v>6380</v>
      </c>
      <c r="P636" s="1" t="s">
        <v>128</v>
      </c>
      <c r="Q636" s="1" t="s">
        <v>6381</v>
      </c>
      <c r="R636" s="1" t="s">
        <v>6382</v>
      </c>
      <c r="S636" s="1" t="s">
        <v>6383</v>
      </c>
      <c r="T636" s="1" t="s">
        <v>52</v>
      </c>
      <c r="U636" s="1" t="s">
        <v>53</v>
      </c>
    </row>
    <row r="637" customFormat="false" ht="15" hidden="false" customHeight="true" outlineLevel="0" collapsed="false">
      <c r="A637" s="1" t="s">
        <v>2039</v>
      </c>
      <c r="B637" s="1" t="s">
        <v>6261</v>
      </c>
      <c r="C637" s="1" t="s">
        <v>6384</v>
      </c>
      <c r="D637" s="1" t="s">
        <v>2040</v>
      </c>
      <c r="E637" s="1" t="s">
        <v>57</v>
      </c>
      <c r="F637" s="1" t="s">
        <v>116</v>
      </c>
      <c r="G637" s="1" t="s">
        <v>78</v>
      </c>
      <c r="H637" s="1" t="s">
        <v>110</v>
      </c>
      <c r="I637" s="1" t="s">
        <v>111</v>
      </c>
      <c r="J637" s="1" t="s">
        <v>62</v>
      </c>
      <c r="K637" s="1" t="s">
        <v>91</v>
      </c>
      <c r="L637" s="1" t="s">
        <v>2041</v>
      </c>
      <c r="M637" s="1" t="s">
        <v>65</v>
      </c>
      <c r="N637" s="1" t="s">
        <v>2906</v>
      </c>
      <c r="O637" s="1" t="s">
        <v>6385</v>
      </c>
      <c r="P637" s="1" t="s">
        <v>84</v>
      </c>
      <c r="Q637" s="1" t="s">
        <v>6386</v>
      </c>
      <c r="R637" s="1" t="s">
        <v>6387</v>
      </c>
      <c r="S637" s="1" t="s">
        <v>6388</v>
      </c>
      <c r="T637" s="1" t="s">
        <v>52</v>
      </c>
      <c r="U637" s="1" t="s">
        <v>53</v>
      </c>
    </row>
    <row r="638" customFormat="false" ht="15" hidden="false" customHeight="true" outlineLevel="0" collapsed="false">
      <c r="A638" s="1" t="s">
        <v>2042</v>
      </c>
      <c r="B638" s="1" t="s">
        <v>6389</v>
      </c>
      <c r="C638" s="1" t="s">
        <v>6390</v>
      </c>
      <c r="D638" s="1" t="s">
        <v>2043</v>
      </c>
      <c r="E638" s="1" t="s">
        <v>87</v>
      </c>
      <c r="F638" s="1" t="s">
        <v>41</v>
      </c>
      <c r="G638" s="1" t="s">
        <v>78</v>
      </c>
      <c r="H638" s="1" t="s">
        <v>281</v>
      </c>
      <c r="I638" s="1" t="s">
        <v>282</v>
      </c>
      <c r="J638" s="1" t="s">
        <v>46</v>
      </c>
      <c r="K638" s="1" t="s">
        <v>47</v>
      </c>
      <c r="L638" s="1" t="s">
        <v>2044</v>
      </c>
      <c r="M638" s="1" t="s">
        <v>83</v>
      </c>
      <c r="N638" s="1" t="s">
        <v>2861</v>
      </c>
      <c r="O638" s="1" t="s">
        <v>6391</v>
      </c>
      <c r="P638" s="1" t="s">
        <v>107</v>
      </c>
      <c r="Q638" s="1" t="s">
        <v>6392</v>
      </c>
      <c r="R638" s="1" t="s">
        <v>6393</v>
      </c>
      <c r="S638" s="1" t="s">
        <v>6394</v>
      </c>
      <c r="T638" s="1" t="s">
        <v>52</v>
      </c>
      <c r="U638" s="1" t="s">
        <v>53</v>
      </c>
    </row>
    <row r="639" customFormat="false" ht="15" hidden="false" customHeight="true" outlineLevel="0" collapsed="false">
      <c r="A639" s="1" t="s">
        <v>2045</v>
      </c>
      <c r="B639" s="1" t="s">
        <v>6395</v>
      </c>
      <c r="C639" s="1" t="s">
        <v>6396</v>
      </c>
      <c r="D639" s="1" t="s">
        <v>2046</v>
      </c>
      <c r="E639" s="1" t="s">
        <v>145</v>
      </c>
      <c r="F639" s="1" t="s">
        <v>58</v>
      </c>
      <c r="G639" s="1" t="s">
        <v>88</v>
      </c>
      <c r="H639" s="1" t="s">
        <v>221</v>
      </c>
      <c r="I639" s="1" t="s">
        <v>222</v>
      </c>
      <c r="J639" s="1" t="s">
        <v>99</v>
      </c>
      <c r="K639" s="1" t="s">
        <v>105</v>
      </c>
      <c r="L639" s="1" t="s">
        <v>2047</v>
      </c>
      <c r="M639" s="1" t="s">
        <v>72</v>
      </c>
      <c r="N639" s="1" t="s">
        <v>2868</v>
      </c>
      <c r="O639" s="1" t="s">
        <v>6397</v>
      </c>
      <c r="P639" s="1" t="s">
        <v>50</v>
      </c>
      <c r="Q639" s="1" t="s">
        <v>6398</v>
      </c>
      <c r="R639" s="1" t="s">
        <v>6399</v>
      </c>
      <c r="S639" s="1" t="s">
        <v>6400</v>
      </c>
      <c r="T639" s="1" t="s">
        <v>52</v>
      </c>
      <c r="U639" s="1" t="s">
        <v>53</v>
      </c>
    </row>
    <row r="640" customFormat="false" ht="15" hidden="false" customHeight="true" outlineLevel="0" collapsed="false">
      <c r="A640" s="1" t="s">
        <v>2048</v>
      </c>
      <c r="B640" s="1" t="s">
        <v>6217</v>
      </c>
      <c r="C640" s="1" t="s">
        <v>6401</v>
      </c>
      <c r="D640" s="1" t="s">
        <v>2049</v>
      </c>
      <c r="E640" s="1" t="s">
        <v>40</v>
      </c>
      <c r="F640" s="1" t="s">
        <v>116</v>
      </c>
      <c r="G640" s="1" t="s">
        <v>78</v>
      </c>
      <c r="H640" s="1" t="s">
        <v>216</v>
      </c>
      <c r="I640" s="1" t="s">
        <v>217</v>
      </c>
      <c r="J640" s="1" t="s">
        <v>46</v>
      </c>
      <c r="K640" s="1" t="s">
        <v>151</v>
      </c>
      <c r="L640" s="1" t="s">
        <v>2050</v>
      </c>
      <c r="M640" s="1" t="s">
        <v>49</v>
      </c>
      <c r="N640" s="1" t="s">
        <v>2822</v>
      </c>
      <c r="O640" s="1" t="s">
        <v>6402</v>
      </c>
      <c r="P640" s="1" t="s">
        <v>50</v>
      </c>
      <c r="Q640" s="1" t="s">
        <v>6403</v>
      </c>
      <c r="R640" s="1" t="s">
        <v>6404</v>
      </c>
      <c r="S640" s="1" t="s">
        <v>6405</v>
      </c>
      <c r="T640" s="1" t="s">
        <v>185</v>
      </c>
      <c r="U640" s="1" t="s">
        <v>130</v>
      </c>
    </row>
    <row r="641" customFormat="false" ht="15" hidden="false" customHeight="true" outlineLevel="0" collapsed="false">
      <c r="A641" s="1" t="s">
        <v>2051</v>
      </c>
      <c r="B641" s="1" t="s">
        <v>6406</v>
      </c>
      <c r="C641" s="1" t="s">
        <v>5021</v>
      </c>
      <c r="D641" s="1" t="s">
        <v>2052</v>
      </c>
      <c r="E641" s="1" t="s">
        <v>69</v>
      </c>
      <c r="F641" s="1" t="s">
        <v>58</v>
      </c>
      <c r="G641" s="1" t="s">
        <v>59</v>
      </c>
      <c r="H641" s="1" t="s">
        <v>60</v>
      </c>
      <c r="I641" s="1" t="s">
        <v>61</v>
      </c>
      <c r="J641" s="1" t="s">
        <v>62</v>
      </c>
      <c r="K641" s="1" t="s">
        <v>91</v>
      </c>
      <c r="L641" s="1" t="s">
        <v>2053</v>
      </c>
      <c r="M641" s="1" t="s">
        <v>49</v>
      </c>
      <c r="N641" s="1" t="s">
        <v>2836</v>
      </c>
      <c r="O641" s="1" t="s">
        <v>6407</v>
      </c>
      <c r="P641" s="1" t="s">
        <v>128</v>
      </c>
      <c r="Q641" s="1" t="s">
        <v>6408</v>
      </c>
      <c r="R641" s="1" t="s">
        <v>6409</v>
      </c>
      <c r="S641" s="1" t="s">
        <v>6410</v>
      </c>
      <c r="T641" s="1" t="s">
        <v>52</v>
      </c>
      <c r="U641" s="1" t="s">
        <v>53</v>
      </c>
    </row>
    <row r="642" customFormat="false" ht="15" hidden="false" customHeight="true" outlineLevel="0" collapsed="false">
      <c r="A642" s="1" t="s">
        <v>2054</v>
      </c>
      <c r="B642" s="1" t="s">
        <v>6411</v>
      </c>
      <c r="C642" s="1" t="s">
        <v>6412</v>
      </c>
      <c r="D642" s="1" t="s">
        <v>2055</v>
      </c>
      <c r="E642" s="1" t="s">
        <v>96</v>
      </c>
      <c r="F642" s="1" t="s">
        <v>41</v>
      </c>
      <c r="G642" s="1" t="s">
        <v>88</v>
      </c>
      <c r="H642" s="1" t="s">
        <v>221</v>
      </c>
      <c r="I642" s="1" t="s">
        <v>222</v>
      </c>
      <c r="J642" s="1" t="s">
        <v>46</v>
      </c>
      <c r="K642" s="1" t="s">
        <v>151</v>
      </c>
      <c r="L642" s="1" t="s">
        <v>2056</v>
      </c>
      <c r="M642" s="1" t="s">
        <v>72</v>
      </c>
      <c r="N642" s="1" t="s">
        <v>2836</v>
      </c>
      <c r="O642" s="1" t="s">
        <v>6413</v>
      </c>
      <c r="P642" s="1" t="s">
        <v>50</v>
      </c>
      <c r="Q642" s="1" t="s">
        <v>6414</v>
      </c>
      <c r="R642" s="1" t="s">
        <v>6415</v>
      </c>
      <c r="S642" s="1" t="s">
        <v>6416</v>
      </c>
      <c r="T642" s="1" t="s">
        <v>52</v>
      </c>
      <c r="U642" s="1" t="s">
        <v>53</v>
      </c>
    </row>
    <row r="643" customFormat="false" ht="15" hidden="false" customHeight="true" outlineLevel="0" collapsed="false">
      <c r="A643" s="1" t="s">
        <v>2057</v>
      </c>
      <c r="B643" s="1" t="s">
        <v>6417</v>
      </c>
      <c r="C643" s="1" t="s">
        <v>5127</v>
      </c>
      <c r="D643" s="1" t="s">
        <v>2058</v>
      </c>
      <c r="E643" s="1" t="s">
        <v>40</v>
      </c>
      <c r="F643" s="1" t="s">
        <v>41</v>
      </c>
      <c r="G643" s="1" t="s">
        <v>42</v>
      </c>
      <c r="H643" s="1" t="s">
        <v>384</v>
      </c>
      <c r="I643" s="1" t="s">
        <v>385</v>
      </c>
      <c r="J643" s="1" t="s">
        <v>62</v>
      </c>
      <c r="K643" s="1" t="s">
        <v>81</v>
      </c>
      <c r="L643" s="1" t="s">
        <v>2059</v>
      </c>
      <c r="M643" s="1" t="s">
        <v>65</v>
      </c>
      <c r="N643" s="1" t="s">
        <v>2868</v>
      </c>
      <c r="O643" s="1" t="s">
        <v>6418</v>
      </c>
      <c r="P643" s="1" t="s">
        <v>66</v>
      </c>
      <c r="Q643" s="1" t="s">
        <v>6419</v>
      </c>
      <c r="R643" s="1" t="s">
        <v>6420</v>
      </c>
      <c r="S643" s="1" t="s">
        <v>6421</v>
      </c>
      <c r="T643" s="1" t="s">
        <v>52</v>
      </c>
      <c r="U643" s="1" t="s">
        <v>53</v>
      </c>
    </row>
    <row r="644" customFormat="false" ht="15" hidden="false" customHeight="true" outlineLevel="0" collapsed="false">
      <c r="A644" s="1" t="s">
        <v>2060</v>
      </c>
      <c r="B644" s="1" t="s">
        <v>5112</v>
      </c>
      <c r="C644" s="1" t="s">
        <v>2948</v>
      </c>
      <c r="D644" s="1" t="s">
        <v>2061</v>
      </c>
      <c r="E644" s="1" t="s">
        <v>69</v>
      </c>
      <c r="F644" s="1" t="s">
        <v>121</v>
      </c>
      <c r="G644" s="1" t="s">
        <v>59</v>
      </c>
      <c r="H644" s="1" t="s">
        <v>196</v>
      </c>
      <c r="I644" s="1" t="s">
        <v>197</v>
      </c>
      <c r="J644" s="1" t="s">
        <v>46</v>
      </c>
      <c r="K644" s="1" t="s">
        <v>6422</v>
      </c>
      <c r="L644" s="1" t="s">
        <v>2062</v>
      </c>
      <c r="M644" s="1" t="s">
        <v>49</v>
      </c>
      <c r="N644" s="1" t="s">
        <v>2899</v>
      </c>
      <c r="O644" s="1" t="s">
        <v>6423</v>
      </c>
      <c r="P644" s="1" t="s">
        <v>84</v>
      </c>
      <c r="Q644" s="1" t="s">
        <v>6424</v>
      </c>
      <c r="R644" s="1" t="s">
        <v>6425</v>
      </c>
      <c r="S644" s="1" t="s">
        <v>6426</v>
      </c>
      <c r="T644" s="1" t="s">
        <v>185</v>
      </c>
      <c r="U644" s="1" t="s">
        <v>130</v>
      </c>
    </row>
    <row r="645" customFormat="false" ht="15" hidden="false" customHeight="true" outlineLevel="0" collapsed="false">
      <c r="A645" s="1" t="s">
        <v>2063</v>
      </c>
      <c r="B645" s="1" t="s">
        <v>6427</v>
      </c>
      <c r="C645" s="1" t="s">
        <v>6428</v>
      </c>
      <c r="D645" s="1" t="s">
        <v>759</v>
      </c>
      <c r="E645" s="1" t="s">
        <v>155</v>
      </c>
      <c r="F645" s="1" t="s">
        <v>121</v>
      </c>
      <c r="G645" s="1" t="s">
        <v>42</v>
      </c>
      <c r="H645" s="1" t="s">
        <v>163</v>
      </c>
      <c r="I645" s="1" t="s">
        <v>164</v>
      </c>
      <c r="J645" s="1" t="s">
        <v>46</v>
      </c>
      <c r="K645" s="1" t="s">
        <v>117</v>
      </c>
      <c r="L645" s="1" t="s">
        <v>2064</v>
      </c>
      <c r="M645" s="1" t="s">
        <v>83</v>
      </c>
      <c r="N645" s="1" t="s">
        <v>2861</v>
      </c>
      <c r="O645" s="1" t="s">
        <v>6429</v>
      </c>
      <c r="P645" s="1" t="s">
        <v>107</v>
      </c>
      <c r="Q645" s="1" t="s">
        <v>6430</v>
      </c>
      <c r="R645" s="1" t="s">
        <v>6431</v>
      </c>
      <c r="S645" s="1" t="s">
        <v>6432</v>
      </c>
      <c r="T645" s="1" t="s">
        <v>185</v>
      </c>
      <c r="U645" s="1" t="s">
        <v>130</v>
      </c>
    </row>
    <row r="646" customFormat="false" ht="15" hidden="false" customHeight="true" outlineLevel="0" collapsed="false">
      <c r="A646" s="1" t="s">
        <v>2065</v>
      </c>
      <c r="B646" s="1" t="s">
        <v>5884</v>
      </c>
      <c r="C646" s="1" t="s">
        <v>6433</v>
      </c>
      <c r="D646" s="1" t="s">
        <v>2066</v>
      </c>
      <c r="E646" s="1" t="s">
        <v>96</v>
      </c>
      <c r="F646" s="1" t="s">
        <v>41</v>
      </c>
      <c r="G646" s="1" t="s">
        <v>59</v>
      </c>
      <c r="H646" s="1" t="s">
        <v>125</v>
      </c>
      <c r="I646" s="1" t="s">
        <v>126</v>
      </c>
      <c r="J646" s="1" t="s">
        <v>62</v>
      </c>
      <c r="K646" s="1" t="s">
        <v>91</v>
      </c>
      <c r="L646" s="1" t="s">
        <v>2067</v>
      </c>
      <c r="M646" s="1" t="s">
        <v>83</v>
      </c>
      <c r="N646" s="1" t="s">
        <v>2937</v>
      </c>
      <c r="O646" s="1" t="s">
        <v>6434</v>
      </c>
      <c r="P646" s="1" t="s">
        <v>128</v>
      </c>
      <c r="Q646" s="1" t="s">
        <v>6435</v>
      </c>
      <c r="R646" s="1" t="s">
        <v>6436</v>
      </c>
      <c r="S646" s="1" t="s">
        <v>6437</v>
      </c>
      <c r="T646" s="1" t="s">
        <v>52</v>
      </c>
      <c r="U646" s="1" t="s">
        <v>53</v>
      </c>
    </row>
    <row r="647" customFormat="false" ht="15" hidden="false" customHeight="true" outlineLevel="0" collapsed="false">
      <c r="A647" s="1" t="s">
        <v>2068</v>
      </c>
      <c r="B647" s="1" t="s">
        <v>6438</v>
      </c>
      <c r="C647" s="1" t="s">
        <v>6067</v>
      </c>
      <c r="D647" s="1" t="s">
        <v>2069</v>
      </c>
      <c r="E647" s="1" t="s">
        <v>298</v>
      </c>
      <c r="F647" s="1" t="s">
        <v>41</v>
      </c>
      <c r="G647" s="1" t="s">
        <v>59</v>
      </c>
      <c r="H647" s="1" t="s">
        <v>174</v>
      </c>
      <c r="I647" s="1" t="s">
        <v>175</v>
      </c>
      <c r="J647" s="1" t="s">
        <v>62</v>
      </c>
      <c r="K647" s="1" t="s">
        <v>91</v>
      </c>
      <c r="L647" s="1" t="s">
        <v>2070</v>
      </c>
      <c r="M647" s="1" t="s">
        <v>49</v>
      </c>
      <c r="N647" s="1" t="s">
        <v>2815</v>
      </c>
      <c r="O647" s="1" t="s">
        <v>6439</v>
      </c>
      <c r="P647" s="1" t="s">
        <v>203</v>
      </c>
      <c r="Q647" s="1" t="s">
        <v>6440</v>
      </c>
      <c r="R647" s="1" t="s">
        <v>6441</v>
      </c>
      <c r="S647" s="1" t="s">
        <v>6442</v>
      </c>
      <c r="T647" s="1" t="s">
        <v>52</v>
      </c>
      <c r="U647" s="1" t="s">
        <v>53</v>
      </c>
    </row>
    <row r="648" customFormat="false" ht="15" hidden="false" customHeight="true" outlineLevel="0" collapsed="false">
      <c r="A648" s="1" t="s">
        <v>2071</v>
      </c>
      <c r="B648" s="1" t="s">
        <v>6443</v>
      </c>
      <c r="C648" s="1" t="s">
        <v>6444</v>
      </c>
      <c r="D648" s="1" t="s">
        <v>2072</v>
      </c>
      <c r="E648" s="1" t="s">
        <v>96</v>
      </c>
      <c r="F648" s="1" t="s">
        <v>58</v>
      </c>
      <c r="G648" s="1" t="s">
        <v>59</v>
      </c>
      <c r="H648" s="1" t="s">
        <v>262</v>
      </c>
      <c r="I648" s="1" t="s">
        <v>263</v>
      </c>
      <c r="J648" s="1" t="s">
        <v>99</v>
      </c>
      <c r="K648" s="1" t="s">
        <v>308</v>
      </c>
      <c r="L648" s="1" t="s">
        <v>2073</v>
      </c>
      <c r="M648" s="1" t="s">
        <v>72</v>
      </c>
      <c r="N648" s="1" t="s">
        <v>2822</v>
      </c>
      <c r="O648" s="1" t="s">
        <v>6445</v>
      </c>
      <c r="P648" s="1" t="s">
        <v>84</v>
      </c>
      <c r="Q648" s="1" t="s">
        <v>6446</v>
      </c>
      <c r="R648" s="1" t="s">
        <v>6447</v>
      </c>
      <c r="S648" s="1" t="s">
        <v>6448</v>
      </c>
      <c r="T648" s="1" t="s">
        <v>52</v>
      </c>
      <c r="U648" s="1" t="s">
        <v>53</v>
      </c>
    </row>
    <row r="649" customFormat="false" ht="15" hidden="false" customHeight="true" outlineLevel="0" collapsed="false">
      <c r="A649" s="1" t="s">
        <v>2074</v>
      </c>
      <c r="B649" s="1" t="s">
        <v>4375</v>
      </c>
      <c r="C649" s="1" t="s">
        <v>6449</v>
      </c>
      <c r="D649" s="1" t="s">
        <v>2075</v>
      </c>
      <c r="E649" s="1" t="s">
        <v>6450</v>
      </c>
      <c r="F649" s="1" t="s">
        <v>58</v>
      </c>
      <c r="G649" s="1" t="s">
        <v>42</v>
      </c>
      <c r="H649" s="1" t="s">
        <v>149</v>
      </c>
      <c r="I649" s="1" t="s">
        <v>150</v>
      </c>
      <c r="J649" s="1" t="s">
        <v>46</v>
      </c>
      <c r="K649" s="1" t="s">
        <v>70</v>
      </c>
      <c r="L649" s="1" t="s">
        <v>2076</v>
      </c>
      <c r="M649" s="1" t="s">
        <v>72</v>
      </c>
      <c r="N649" s="1" t="s">
        <v>2861</v>
      </c>
      <c r="O649" s="1" t="s">
        <v>6451</v>
      </c>
      <c r="P649" s="1" t="s">
        <v>107</v>
      </c>
      <c r="Q649" s="1" t="s">
        <v>6452</v>
      </c>
      <c r="R649" s="1" t="s">
        <v>6453</v>
      </c>
      <c r="S649" s="1" t="s">
        <v>6454</v>
      </c>
      <c r="T649" s="1" t="s">
        <v>52</v>
      </c>
      <c r="U649" s="1" t="s">
        <v>53</v>
      </c>
    </row>
    <row r="650" customFormat="false" ht="15" hidden="false" customHeight="true" outlineLevel="0" collapsed="false">
      <c r="A650" s="1" t="s">
        <v>2077</v>
      </c>
      <c r="B650" s="1" t="s">
        <v>6455</v>
      </c>
      <c r="C650" s="1" t="s">
        <v>3236</v>
      </c>
      <c r="D650" s="1" t="s">
        <v>2078</v>
      </c>
      <c r="E650" s="1" t="s">
        <v>104</v>
      </c>
      <c r="F650" s="1" t="s">
        <v>58</v>
      </c>
      <c r="G650" s="1" t="s">
        <v>78</v>
      </c>
      <c r="H650" s="1" t="s">
        <v>110</v>
      </c>
      <c r="I650" s="1" t="s">
        <v>111</v>
      </c>
      <c r="J650" s="1" t="s">
        <v>46</v>
      </c>
      <c r="K650" s="1" t="s">
        <v>70</v>
      </c>
      <c r="L650" s="1" t="s">
        <v>2079</v>
      </c>
      <c r="M650" s="1" t="s">
        <v>65</v>
      </c>
      <c r="N650" s="1" t="s">
        <v>2899</v>
      </c>
      <c r="O650" s="1" t="s">
        <v>6456</v>
      </c>
      <c r="P650" s="1" t="s">
        <v>50</v>
      </c>
      <c r="Q650" s="1" t="s">
        <v>6457</v>
      </c>
      <c r="R650" s="1" t="s">
        <v>6458</v>
      </c>
      <c r="S650" s="1" t="s">
        <v>6459</v>
      </c>
      <c r="T650" s="1" t="s">
        <v>185</v>
      </c>
      <c r="U650" s="1" t="s">
        <v>130</v>
      </c>
    </row>
    <row r="651" customFormat="false" ht="15" hidden="false" customHeight="true" outlineLevel="0" collapsed="false">
      <c r="A651" s="1" t="s">
        <v>2080</v>
      </c>
      <c r="B651" s="1" t="s">
        <v>6460</v>
      </c>
      <c r="C651" s="1" t="s">
        <v>6461</v>
      </c>
      <c r="D651" s="1" t="s">
        <v>2081</v>
      </c>
      <c r="E651" s="1" t="s">
        <v>298</v>
      </c>
      <c r="F651" s="1" t="s">
        <v>58</v>
      </c>
      <c r="G651" s="1" t="s">
        <v>78</v>
      </c>
      <c r="H651" s="1" t="s">
        <v>216</v>
      </c>
      <c r="I651" s="1" t="s">
        <v>217</v>
      </c>
      <c r="J651" s="1" t="s">
        <v>99</v>
      </c>
      <c r="K651" s="1" t="s">
        <v>100</v>
      </c>
      <c r="L651" s="1" t="s">
        <v>2082</v>
      </c>
      <c r="M651" s="1" t="s">
        <v>83</v>
      </c>
      <c r="N651" s="1" t="s">
        <v>2937</v>
      </c>
      <c r="O651" s="1" t="s">
        <v>6462</v>
      </c>
      <c r="P651" s="1" t="s">
        <v>84</v>
      </c>
      <c r="Q651" s="1" t="s">
        <v>6463</v>
      </c>
      <c r="R651" s="1" t="s">
        <v>6464</v>
      </c>
      <c r="S651" s="1" t="s">
        <v>6465</v>
      </c>
      <c r="T651" s="1" t="s">
        <v>52</v>
      </c>
      <c r="U651" s="1" t="s">
        <v>53</v>
      </c>
    </row>
    <row r="652" customFormat="false" ht="15" hidden="false" customHeight="true" outlineLevel="0" collapsed="false">
      <c r="A652" s="1" t="s">
        <v>2083</v>
      </c>
      <c r="B652" s="1" t="s">
        <v>6466</v>
      </c>
      <c r="C652" s="1" t="s">
        <v>6467</v>
      </c>
      <c r="D652" s="1" t="s">
        <v>412</v>
      </c>
      <c r="E652" s="1" t="s">
        <v>155</v>
      </c>
      <c r="F652" s="1" t="s">
        <v>121</v>
      </c>
      <c r="G652" s="1" t="s">
        <v>59</v>
      </c>
      <c r="H652" s="1" t="s">
        <v>174</v>
      </c>
      <c r="I652" s="1" t="s">
        <v>175</v>
      </c>
      <c r="J652" s="1" t="s">
        <v>99</v>
      </c>
      <c r="K652" s="1" t="s">
        <v>100</v>
      </c>
      <c r="L652" s="1" t="s">
        <v>2084</v>
      </c>
      <c r="M652" s="1" t="s">
        <v>65</v>
      </c>
      <c r="N652" s="1" t="s">
        <v>2906</v>
      </c>
      <c r="O652" s="1" t="s">
        <v>6468</v>
      </c>
      <c r="P652" s="1" t="s">
        <v>107</v>
      </c>
      <c r="Q652" s="1" t="s">
        <v>6469</v>
      </c>
      <c r="R652" s="1" t="s">
        <v>6470</v>
      </c>
      <c r="S652" s="1" t="s">
        <v>6471</v>
      </c>
      <c r="T652" s="1" t="s">
        <v>185</v>
      </c>
      <c r="U652" s="1" t="s">
        <v>130</v>
      </c>
    </row>
    <row r="653" customFormat="false" ht="15" hidden="false" customHeight="true" outlineLevel="0" collapsed="false">
      <c r="A653" s="1" t="s">
        <v>2085</v>
      </c>
      <c r="B653" s="1" t="s">
        <v>4427</v>
      </c>
      <c r="C653" s="1" t="s">
        <v>2828</v>
      </c>
      <c r="D653" s="1" t="s">
        <v>2086</v>
      </c>
      <c r="E653" s="1" t="s">
        <v>57</v>
      </c>
      <c r="F653" s="1" t="s">
        <v>58</v>
      </c>
      <c r="G653" s="1" t="s">
        <v>78</v>
      </c>
      <c r="H653" s="1" t="s">
        <v>110</v>
      </c>
      <c r="I653" s="1" t="s">
        <v>111</v>
      </c>
      <c r="J653" s="1" t="s">
        <v>46</v>
      </c>
      <c r="K653" s="1" t="s">
        <v>47</v>
      </c>
      <c r="L653" s="1" t="s">
        <v>2087</v>
      </c>
      <c r="M653" s="1" t="s">
        <v>49</v>
      </c>
      <c r="N653" s="1" t="s">
        <v>2822</v>
      </c>
      <c r="O653" s="1" t="s">
        <v>6472</v>
      </c>
      <c r="P653" s="1" t="s">
        <v>66</v>
      </c>
      <c r="Q653" s="1" t="s">
        <v>6473</v>
      </c>
      <c r="R653" s="1" t="s">
        <v>6474</v>
      </c>
      <c r="S653" s="1" t="s">
        <v>6475</v>
      </c>
      <c r="T653" s="1" t="s">
        <v>52</v>
      </c>
      <c r="U653" s="1" t="s">
        <v>53</v>
      </c>
    </row>
    <row r="654" customFormat="false" ht="15" hidden="false" customHeight="true" outlineLevel="0" collapsed="false">
      <c r="A654" s="1" t="s">
        <v>2088</v>
      </c>
      <c r="B654" s="1" t="s">
        <v>6476</v>
      </c>
      <c r="C654" s="1" t="s">
        <v>6477</v>
      </c>
      <c r="D654" s="1" t="s">
        <v>1732</v>
      </c>
      <c r="E654" s="1" t="s">
        <v>159</v>
      </c>
      <c r="F654" s="1" t="s">
        <v>41</v>
      </c>
      <c r="G654" s="1" t="s">
        <v>42</v>
      </c>
      <c r="H654" s="1" t="s">
        <v>163</v>
      </c>
      <c r="I654" s="1" t="s">
        <v>164</v>
      </c>
      <c r="J654" s="1" t="s">
        <v>46</v>
      </c>
      <c r="K654" s="1" t="s">
        <v>183</v>
      </c>
      <c r="L654" s="1" t="s">
        <v>2089</v>
      </c>
      <c r="M654" s="1" t="s">
        <v>83</v>
      </c>
      <c r="N654" s="1" t="s">
        <v>2829</v>
      </c>
      <c r="O654" s="1" t="s">
        <v>6478</v>
      </c>
      <c r="P654" s="1" t="s">
        <v>107</v>
      </c>
      <c r="Q654" s="1" t="s">
        <v>6479</v>
      </c>
      <c r="R654" s="1" t="s">
        <v>6480</v>
      </c>
      <c r="S654" s="1" t="s">
        <v>6481</v>
      </c>
      <c r="T654" s="1" t="s">
        <v>52</v>
      </c>
      <c r="U654" s="1" t="s">
        <v>53</v>
      </c>
    </row>
    <row r="655" customFormat="false" ht="15" hidden="false" customHeight="true" outlineLevel="0" collapsed="false">
      <c r="A655" s="1" t="s">
        <v>2090</v>
      </c>
      <c r="B655" s="1" t="s">
        <v>6482</v>
      </c>
      <c r="C655" s="1" t="s">
        <v>6483</v>
      </c>
      <c r="D655" s="1" t="s">
        <v>2091</v>
      </c>
      <c r="E655" s="1" t="s">
        <v>141</v>
      </c>
      <c r="F655" s="1" t="s">
        <v>58</v>
      </c>
      <c r="G655" s="1" t="s">
        <v>78</v>
      </c>
      <c r="H655" s="1" t="s">
        <v>281</v>
      </c>
      <c r="I655" s="1" t="s">
        <v>282</v>
      </c>
      <c r="J655" s="1" t="s">
        <v>99</v>
      </c>
      <c r="K655" s="1" t="s">
        <v>105</v>
      </c>
      <c r="L655" s="1" t="s">
        <v>2092</v>
      </c>
      <c r="M655" s="1" t="s">
        <v>49</v>
      </c>
      <c r="N655" s="1" t="s">
        <v>2906</v>
      </c>
      <c r="O655" s="1" t="s">
        <v>6484</v>
      </c>
      <c r="P655" s="1" t="s">
        <v>107</v>
      </c>
      <c r="Q655" s="1" t="s">
        <v>6485</v>
      </c>
      <c r="R655" s="1" t="s">
        <v>6486</v>
      </c>
      <c r="S655" s="1" t="s">
        <v>6487</v>
      </c>
      <c r="T655" s="1" t="s">
        <v>52</v>
      </c>
      <c r="U655" s="1" t="s">
        <v>53</v>
      </c>
    </row>
    <row r="656" customFormat="false" ht="15" hidden="false" customHeight="true" outlineLevel="0" collapsed="false">
      <c r="A656" s="1" t="s">
        <v>2093</v>
      </c>
      <c r="B656" s="1" t="s">
        <v>6488</v>
      </c>
      <c r="C656" s="1" t="s">
        <v>3014</v>
      </c>
      <c r="D656" s="1" t="s">
        <v>966</v>
      </c>
      <c r="E656" s="1" t="s">
        <v>192</v>
      </c>
      <c r="F656" s="1" t="s">
        <v>116</v>
      </c>
      <c r="G656" s="1" t="s">
        <v>59</v>
      </c>
      <c r="H656" s="1" t="s">
        <v>174</v>
      </c>
      <c r="I656" s="1" t="s">
        <v>175</v>
      </c>
      <c r="J656" s="1" t="s">
        <v>99</v>
      </c>
      <c r="K656" s="1" t="s">
        <v>308</v>
      </c>
      <c r="L656" s="1" t="s">
        <v>2094</v>
      </c>
      <c r="M656" s="1" t="s">
        <v>65</v>
      </c>
      <c r="N656" s="1" t="s">
        <v>2836</v>
      </c>
      <c r="O656" s="1" t="s">
        <v>6489</v>
      </c>
      <c r="P656" s="1" t="s">
        <v>50</v>
      </c>
      <c r="Q656" s="1" t="s">
        <v>6490</v>
      </c>
      <c r="R656" s="1" t="s">
        <v>6491</v>
      </c>
      <c r="S656" s="1" t="s">
        <v>6492</v>
      </c>
      <c r="T656" s="1" t="s">
        <v>52</v>
      </c>
      <c r="U656" s="1" t="s">
        <v>53</v>
      </c>
    </row>
    <row r="657" customFormat="false" ht="15" hidden="false" customHeight="true" outlineLevel="0" collapsed="false">
      <c r="A657" s="1" t="s">
        <v>2095</v>
      </c>
      <c r="B657" s="1" t="s">
        <v>3641</v>
      </c>
      <c r="C657" s="1" t="s">
        <v>3641</v>
      </c>
      <c r="D657" s="1" t="s">
        <v>2096</v>
      </c>
      <c r="E657" s="1" t="s">
        <v>104</v>
      </c>
      <c r="F657" s="1" t="s">
        <v>121</v>
      </c>
      <c r="G657" s="1" t="s">
        <v>59</v>
      </c>
      <c r="H657" s="1" t="s">
        <v>125</v>
      </c>
      <c r="I657" s="1" t="s">
        <v>126</v>
      </c>
      <c r="J657" s="1" t="s">
        <v>62</v>
      </c>
      <c r="K657" s="1" t="s">
        <v>81</v>
      </c>
      <c r="L657" s="1" t="s">
        <v>2097</v>
      </c>
      <c r="M657" s="1" t="s">
        <v>83</v>
      </c>
      <c r="N657" s="1" t="s">
        <v>2937</v>
      </c>
      <c r="O657" s="1" t="s">
        <v>6493</v>
      </c>
      <c r="P657" s="1" t="s">
        <v>66</v>
      </c>
      <c r="Q657" s="1" t="s">
        <v>6494</v>
      </c>
      <c r="R657" s="1" t="s">
        <v>6495</v>
      </c>
      <c r="S657" s="1" t="s">
        <v>6496</v>
      </c>
      <c r="T657" s="1" t="s">
        <v>52</v>
      </c>
      <c r="U657" s="1" t="s">
        <v>53</v>
      </c>
    </row>
    <row r="658" customFormat="false" ht="15" hidden="false" customHeight="true" outlineLevel="0" collapsed="false">
      <c r="A658" s="1" t="s">
        <v>2098</v>
      </c>
      <c r="B658" s="1" t="s">
        <v>6497</v>
      </c>
      <c r="C658" s="1" t="s">
        <v>5567</v>
      </c>
      <c r="D658" s="1" t="s">
        <v>2099</v>
      </c>
      <c r="E658" s="1" t="s">
        <v>104</v>
      </c>
      <c r="F658" s="1" t="s">
        <v>58</v>
      </c>
      <c r="G658" s="1" t="s">
        <v>42</v>
      </c>
      <c r="H658" s="1" t="s">
        <v>270</v>
      </c>
      <c r="I658" s="1" t="s">
        <v>271</v>
      </c>
      <c r="J658" s="1" t="s">
        <v>99</v>
      </c>
      <c r="K658" s="1" t="s">
        <v>308</v>
      </c>
      <c r="L658" s="1" t="s">
        <v>2100</v>
      </c>
      <c r="M658" s="1" t="s">
        <v>65</v>
      </c>
      <c r="N658" s="1" t="s">
        <v>2937</v>
      </c>
      <c r="O658" s="1" t="s">
        <v>6498</v>
      </c>
      <c r="P658" s="1" t="s">
        <v>2101</v>
      </c>
      <c r="Q658" s="1" t="s">
        <v>6499</v>
      </c>
      <c r="R658" s="1" t="s">
        <v>6500</v>
      </c>
      <c r="S658" s="1" t="s">
        <v>6501</v>
      </c>
      <c r="T658" s="1" t="s">
        <v>52</v>
      </c>
      <c r="U658" s="1" t="s">
        <v>53</v>
      </c>
    </row>
    <row r="659" customFormat="false" ht="15" hidden="false" customHeight="true" outlineLevel="0" collapsed="false">
      <c r="A659" s="1" t="s">
        <v>2102</v>
      </c>
      <c r="B659" s="1" t="s">
        <v>6502</v>
      </c>
      <c r="C659" s="1" t="s">
        <v>6503</v>
      </c>
      <c r="D659" s="1" t="s">
        <v>2103</v>
      </c>
      <c r="E659" s="1" t="s">
        <v>115</v>
      </c>
      <c r="F659" s="1" t="s">
        <v>121</v>
      </c>
      <c r="G659" s="1" t="s">
        <v>59</v>
      </c>
      <c r="H659" s="1" t="s">
        <v>174</v>
      </c>
      <c r="I659" s="1" t="s">
        <v>175</v>
      </c>
      <c r="J659" s="1" t="s">
        <v>46</v>
      </c>
      <c r="K659" s="1" t="s">
        <v>151</v>
      </c>
      <c r="L659" s="1" t="s">
        <v>2104</v>
      </c>
      <c r="M659" s="1" t="s">
        <v>49</v>
      </c>
      <c r="N659" s="1" t="s">
        <v>2836</v>
      </c>
      <c r="O659" s="1" t="s">
        <v>6504</v>
      </c>
      <c r="P659" s="1" t="s">
        <v>50</v>
      </c>
      <c r="Q659" s="1" t="s">
        <v>6505</v>
      </c>
      <c r="R659" s="1" t="s">
        <v>6506</v>
      </c>
      <c r="S659" s="1" t="s">
        <v>6507</v>
      </c>
      <c r="T659" s="1" t="s">
        <v>52</v>
      </c>
      <c r="U659" s="1" t="s">
        <v>53</v>
      </c>
    </row>
    <row r="660" customFormat="false" ht="15" hidden="false" customHeight="true" outlineLevel="0" collapsed="false">
      <c r="A660" s="1" t="s">
        <v>2105</v>
      </c>
      <c r="B660" s="1" t="s">
        <v>6508</v>
      </c>
      <c r="C660" s="1" t="s">
        <v>5426</v>
      </c>
      <c r="D660" s="1" t="s">
        <v>2106</v>
      </c>
      <c r="E660" s="1" t="s">
        <v>159</v>
      </c>
      <c r="F660" s="1" t="s">
        <v>41</v>
      </c>
      <c r="H660" s="1" t="s">
        <v>174</v>
      </c>
      <c r="I660" s="1" t="s">
        <v>175</v>
      </c>
      <c r="J660" s="1" t="s">
        <v>46</v>
      </c>
      <c r="K660" s="1" t="s">
        <v>70</v>
      </c>
      <c r="L660" s="1" t="s">
        <v>2107</v>
      </c>
      <c r="M660" s="1" t="s">
        <v>72</v>
      </c>
      <c r="N660" s="1" t="s">
        <v>2906</v>
      </c>
      <c r="O660" s="1" t="s">
        <v>6509</v>
      </c>
      <c r="P660" s="1" t="s">
        <v>66</v>
      </c>
      <c r="Q660" s="1" t="s">
        <v>6510</v>
      </c>
      <c r="R660" s="1" t="s">
        <v>6511</v>
      </c>
      <c r="S660" s="1" t="s">
        <v>6512</v>
      </c>
      <c r="T660" s="1" t="s">
        <v>129</v>
      </c>
      <c r="U660" s="1" t="s">
        <v>93</v>
      </c>
    </row>
    <row r="661" customFormat="false" ht="15" hidden="false" customHeight="true" outlineLevel="0" collapsed="false">
      <c r="A661" s="1" t="s">
        <v>2108</v>
      </c>
      <c r="B661" s="1" t="s">
        <v>3054</v>
      </c>
      <c r="C661" s="1" t="s">
        <v>4977</v>
      </c>
      <c r="D661" s="1" t="s">
        <v>2109</v>
      </c>
      <c r="E661" s="1" t="s">
        <v>192</v>
      </c>
      <c r="F661" s="1" t="s">
        <v>116</v>
      </c>
      <c r="G661" s="1" t="s">
        <v>78</v>
      </c>
      <c r="H661" s="1" t="s">
        <v>206</v>
      </c>
      <c r="I661" s="1" t="s">
        <v>207</v>
      </c>
      <c r="J661" s="1" t="s">
        <v>99</v>
      </c>
      <c r="K661" s="1" t="s">
        <v>201</v>
      </c>
      <c r="L661" s="1" t="s">
        <v>2110</v>
      </c>
      <c r="M661" s="1" t="s">
        <v>49</v>
      </c>
      <c r="N661" s="1" t="s">
        <v>2868</v>
      </c>
      <c r="O661" s="1" t="s">
        <v>6513</v>
      </c>
      <c r="P661" s="1" t="s">
        <v>50</v>
      </c>
      <c r="Q661" s="1" t="s">
        <v>6514</v>
      </c>
      <c r="R661" s="1" t="s">
        <v>6515</v>
      </c>
      <c r="S661" s="1" t="s">
        <v>6516</v>
      </c>
      <c r="T661" s="1" t="s">
        <v>129</v>
      </c>
      <c r="U661" s="1" t="s">
        <v>93</v>
      </c>
    </row>
    <row r="662" customFormat="false" ht="15" hidden="false" customHeight="true" outlineLevel="0" collapsed="false">
      <c r="A662" s="1" t="s">
        <v>2111</v>
      </c>
      <c r="B662" s="1" t="s">
        <v>3043</v>
      </c>
      <c r="C662" s="1" t="s">
        <v>6517</v>
      </c>
      <c r="D662" s="1" t="s">
        <v>2112</v>
      </c>
      <c r="E662" s="1" t="s">
        <v>77</v>
      </c>
      <c r="F662" s="1" t="s">
        <v>58</v>
      </c>
      <c r="G662" s="1" t="s">
        <v>59</v>
      </c>
      <c r="H662" s="1" t="s">
        <v>262</v>
      </c>
      <c r="I662" s="1" t="s">
        <v>263</v>
      </c>
      <c r="J662" s="1" t="s">
        <v>99</v>
      </c>
      <c r="K662" s="1" t="s">
        <v>201</v>
      </c>
      <c r="L662" s="1" t="s">
        <v>2113</v>
      </c>
      <c r="M662" s="1" t="s">
        <v>65</v>
      </c>
      <c r="N662" s="1" t="s">
        <v>2937</v>
      </c>
      <c r="O662" s="1" t="s">
        <v>6518</v>
      </c>
      <c r="P662" s="1" t="s">
        <v>203</v>
      </c>
      <c r="Q662" s="1" t="s">
        <v>6519</v>
      </c>
      <c r="R662" s="1" t="s">
        <v>6520</v>
      </c>
      <c r="S662" s="1" t="s">
        <v>6521</v>
      </c>
      <c r="T662" s="1" t="s">
        <v>52</v>
      </c>
      <c r="U662" s="1" t="s">
        <v>53</v>
      </c>
    </row>
    <row r="663" customFormat="false" ht="15" hidden="false" customHeight="true" outlineLevel="0" collapsed="false">
      <c r="A663" s="1" t="s">
        <v>2114</v>
      </c>
      <c r="B663" s="1" t="s">
        <v>6522</v>
      </c>
      <c r="C663" s="1" t="s">
        <v>6523</v>
      </c>
      <c r="D663" s="1" t="s">
        <v>2115</v>
      </c>
      <c r="E663" s="1" t="s">
        <v>159</v>
      </c>
      <c r="F663" s="1" t="s">
        <v>41</v>
      </c>
      <c r="G663" s="1" t="s">
        <v>78</v>
      </c>
      <c r="H663" s="1" t="s">
        <v>110</v>
      </c>
      <c r="I663" s="1" t="s">
        <v>111</v>
      </c>
      <c r="J663" s="1" t="s">
        <v>99</v>
      </c>
      <c r="K663" s="1" t="s">
        <v>308</v>
      </c>
      <c r="L663" s="1" t="s">
        <v>2116</v>
      </c>
      <c r="M663" s="1" t="s">
        <v>49</v>
      </c>
      <c r="N663" s="1" t="s">
        <v>2906</v>
      </c>
      <c r="O663" s="1" t="s">
        <v>6524</v>
      </c>
      <c r="P663" s="1" t="s">
        <v>66</v>
      </c>
      <c r="Q663" s="1" t="s">
        <v>6525</v>
      </c>
      <c r="R663" s="1" t="s">
        <v>6526</v>
      </c>
      <c r="S663" s="1" t="s">
        <v>6527</v>
      </c>
      <c r="T663" s="1" t="s">
        <v>52</v>
      </c>
      <c r="U663" s="1" t="s">
        <v>53</v>
      </c>
    </row>
    <row r="664" customFormat="false" ht="15" hidden="false" customHeight="true" outlineLevel="0" collapsed="false">
      <c r="A664" s="1" t="s">
        <v>2117</v>
      </c>
      <c r="B664" s="1" t="s">
        <v>6528</v>
      </c>
      <c r="C664" s="1" t="s">
        <v>6529</v>
      </c>
      <c r="D664" s="1" t="s">
        <v>2118</v>
      </c>
      <c r="E664" s="1" t="s">
        <v>57</v>
      </c>
      <c r="F664" s="1" t="s">
        <v>121</v>
      </c>
      <c r="G664" s="1" t="s">
        <v>88</v>
      </c>
      <c r="H664" s="1" t="s">
        <v>44</v>
      </c>
      <c r="I664" s="1" t="s">
        <v>136</v>
      </c>
      <c r="J664" s="1" t="s">
        <v>99</v>
      </c>
      <c r="K664" s="1" t="s">
        <v>308</v>
      </c>
      <c r="L664" s="1" t="s">
        <v>2119</v>
      </c>
      <c r="M664" s="1" t="s">
        <v>65</v>
      </c>
      <c r="N664" s="1" t="s">
        <v>2815</v>
      </c>
      <c r="O664" s="1" t="s">
        <v>6530</v>
      </c>
      <c r="P664" s="1" t="s">
        <v>203</v>
      </c>
      <c r="Q664" s="1" t="s">
        <v>6531</v>
      </c>
      <c r="R664" s="1" t="s">
        <v>6532</v>
      </c>
      <c r="S664" s="1" t="s">
        <v>6533</v>
      </c>
      <c r="T664" s="1" t="s">
        <v>52</v>
      </c>
      <c r="U664" s="1" t="s">
        <v>53</v>
      </c>
    </row>
    <row r="665" customFormat="false" ht="15" hidden="false" customHeight="true" outlineLevel="0" collapsed="false">
      <c r="A665" s="1" t="s">
        <v>2120</v>
      </c>
      <c r="B665" s="1" t="s">
        <v>4255</v>
      </c>
      <c r="C665" s="1" t="s">
        <v>5988</v>
      </c>
      <c r="D665" s="1" t="s">
        <v>2121</v>
      </c>
      <c r="E665" s="1" t="s">
        <v>145</v>
      </c>
      <c r="F665" s="1" t="s">
        <v>121</v>
      </c>
      <c r="G665" s="1" t="s">
        <v>59</v>
      </c>
      <c r="H665" s="1" t="s">
        <v>262</v>
      </c>
      <c r="I665" s="1" t="s">
        <v>263</v>
      </c>
      <c r="J665" s="1" t="s">
        <v>99</v>
      </c>
      <c r="K665" s="1" t="s">
        <v>105</v>
      </c>
      <c r="L665" s="1" t="s">
        <v>2122</v>
      </c>
      <c r="M665" s="1" t="s">
        <v>49</v>
      </c>
      <c r="N665" s="1" t="s">
        <v>2868</v>
      </c>
      <c r="O665" s="1" t="s">
        <v>6534</v>
      </c>
      <c r="P665" s="1" t="s">
        <v>2123</v>
      </c>
      <c r="Q665" s="1" t="s">
        <v>6535</v>
      </c>
      <c r="R665" s="1" t="s">
        <v>6536</v>
      </c>
      <c r="S665" s="1" t="s">
        <v>6537</v>
      </c>
      <c r="T665" s="1" t="s">
        <v>52</v>
      </c>
      <c r="U665" s="1" t="s">
        <v>53</v>
      </c>
    </row>
    <row r="666" customFormat="false" ht="15" hidden="false" customHeight="true" outlineLevel="0" collapsed="false">
      <c r="A666" s="1" t="s">
        <v>2124</v>
      </c>
      <c r="B666" s="1" t="s">
        <v>6538</v>
      </c>
      <c r="C666" s="1" t="s">
        <v>6539</v>
      </c>
      <c r="D666" s="1" t="s">
        <v>2125</v>
      </c>
      <c r="E666" s="1" t="s">
        <v>57</v>
      </c>
      <c r="F666" s="1" t="s">
        <v>121</v>
      </c>
      <c r="G666" s="1" t="s">
        <v>78</v>
      </c>
      <c r="H666" s="1" t="s">
        <v>79</v>
      </c>
      <c r="I666" s="1" t="s">
        <v>80</v>
      </c>
      <c r="J666" s="1" t="s">
        <v>99</v>
      </c>
      <c r="K666" s="1" t="s">
        <v>100</v>
      </c>
      <c r="L666" s="1" t="s">
        <v>2126</v>
      </c>
      <c r="M666" s="1" t="s">
        <v>83</v>
      </c>
      <c r="N666" s="1" t="s">
        <v>2836</v>
      </c>
      <c r="O666" s="1" t="s">
        <v>6540</v>
      </c>
      <c r="P666" s="1" t="s">
        <v>50</v>
      </c>
      <c r="Q666" s="1" t="s">
        <v>6541</v>
      </c>
      <c r="R666" s="1" t="s">
        <v>6542</v>
      </c>
      <c r="S666" s="1" t="s">
        <v>6543</v>
      </c>
      <c r="T666" s="1" t="s">
        <v>52</v>
      </c>
      <c r="U666" s="1" t="s">
        <v>53</v>
      </c>
    </row>
    <row r="667" customFormat="false" ht="15" hidden="false" customHeight="true" outlineLevel="0" collapsed="false">
      <c r="A667" s="1" t="s">
        <v>2127</v>
      </c>
      <c r="B667" s="1" t="s">
        <v>6544</v>
      </c>
      <c r="C667" s="1" t="s">
        <v>6545</v>
      </c>
      <c r="D667" s="1" t="s">
        <v>2128</v>
      </c>
      <c r="E667" s="1" t="s">
        <v>145</v>
      </c>
      <c r="F667" s="1" t="s">
        <v>121</v>
      </c>
      <c r="G667" s="1" t="s">
        <v>88</v>
      </c>
      <c r="H667" s="1" t="s">
        <v>211</v>
      </c>
      <c r="I667" s="1" t="s">
        <v>212</v>
      </c>
      <c r="J667" s="1" t="s">
        <v>46</v>
      </c>
      <c r="K667" s="1" t="s">
        <v>70</v>
      </c>
      <c r="L667" s="1" t="s">
        <v>2129</v>
      </c>
      <c r="M667" s="1" t="s">
        <v>83</v>
      </c>
      <c r="N667" s="1" t="s">
        <v>2822</v>
      </c>
      <c r="O667" s="1" t="s">
        <v>6546</v>
      </c>
      <c r="P667" s="1" t="s">
        <v>203</v>
      </c>
      <c r="Q667" s="1" t="s">
        <v>6547</v>
      </c>
      <c r="R667" s="1" t="s">
        <v>6548</v>
      </c>
      <c r="S667" s="1" t="s">
        <v>6549</v>
      </c>
      <c r="T667" s="1" t="s">
        <v>185</v>
      </c>
      <c r="U667" s="1" t="s">
        <v>93</v>
      </c>
    </row>
    <row r="668" customFormat="false" ht="15" hidden="false" customHeight="true" outlineLevel="0" collapsed="false">
      <c r="A668" s="1" t="s">
        <v>2130</v>
      </c>
      <c r="B668" s="1" t="s">
        <v>5350</v>
      </c>
      <c r="C668" s="1" t="s">
        <v>5281</v>
      </c>
      <c r="D668" s="1" t="s">
        <v>2131</v>
      </c>
      <c r="E668" s="1" t="s">
        <v>168</v>
      </c>
      <c r="F668" s="1" t="s">
        <v>58</v>
      </c>
      <c r="G668" s="1" t="s">
        <v>42</v>
      </c>
      <c r="H668" s="1" t="s">
        <v>149</v>
      </c>
      <c r="I668" s="1" t="s">
        <v>150</v>
      </c>
      <c r="J668" s="1" t="s">
        <v>99</v>
      </c>
      <c r="K668" s="1" t="s">
        <v>105</v>
      </c>
      <c r="L668" s="1" t="s">
        <v>2132</v>
      </c>
      <c r="M668" s="1" t="s">
        <v>65</v>
      </c>
      <c r="N668" s="1" t="s">
        <v>2836</v>
      </c>
      <c r="O668" s="1" t="s">
        <v>6550</v>
      </c>
      <c r="P668" s="1" t="s">
        <v>128</v>
      </c>
      <c r="Q668" s="1" t="s">
        <v>6551</v>
      </c>
      <c r="R668" s="1" t="s">
        <v>6552</v>
      </c>
      <c r="S668" s="1" t="s">
        <v>6553</v>
      </c>
      <c r="T668" s="1" t="s">
        <v>52</v>
      </c>
      <c r="U668" s="1" t="s">
        <v>53</v>
      </c>
    </row>
    <row r="669" customFormat="false" ht="15" hidden="false" customHeight="true" outlineLevel="0" collapsed="false">
      <c r="A669" s="1" t="s">
        <v>2133</v>
      </c>
      <c r="B669" s="1" t="s">
        <v>6554</v>
      </c>
      <c r="C669" s="1" t="s">
        <v>6555</v>
      </c>
      <c r="D669" s="1" t="s">
        <v>2134</v>
      </c>
      <c r="E669" s="1" t="s">
        <v>192</v>
      </c>
      <c r="F669" s="1" t="s">
        <v>58</v>
      </c>
      <c r="G669" s="1" t="s">
        <v>59</v>
      </c>
      <c r="H669" s="1" t="s">
        <v>174</v>
      </c>
      <c r="I669" s="1" t="s">
        <v>175</v>
      </c>
      <c r="J669" s="1" t="s">
        <v>99</v>
      </c>
      <c r="K669" s="1" t="s">
        <v>308</v>
      </c>
      <c r="L669" s="1" t="s">
        <v>2135</v>
      </c>
      <c r="M669" s="1" t="s">
        <v>83</v>
      </c>
      <c r="N669" s="1" t="s">
        <v>2836</v>
      </c>
      <c r="O669" s="1" t="s">
        <v>6556</v>
      </c>
      <c r="P669" s="1" t="s">
        <v>66</v>
      </c>
      <c r="Q669" s="1" t="s">
        <v>6556</v>
      </c>
      <c r="R669" s="1" t="s">
        <v>6557</v>
      </c>
      <c r="S669" s="1" t="s">
        <v>6558</v>
      </c>
      <c r="T669" s="1" t="s">
        <v>138</v>
      </c>
      <c r="U669" s="1" t="s">
        <v>130</v>
      </c>
    </row>
    <row r="670" customFormat="false" ht="15" hidden="false" customHeight="true" outlineLevel="0" collapsed="false">
      <c r="A670" s="1" t="s">
        <v>2136</v>
      </c>
      <c r="B670" s="1" t="s">
        <v>6559</v>
      </c>
      <c r="C670" s="1" t="s">
        <v>3089</v>
      </c>
      <c r="D670" s="1" t="s">
        <v>2137</v>
      </c>
      <c r="E670" s="1" t="s">
        <v>57</v>
      </c>
      <c r="F670" s="1" t="s">
        <v>116</v>
      </c>
      <c r="G670" s="1" t="s">
        <v>88</v>
      </c>
      <c r="H670" s="1" t="s">
        <v>211</v>
      </c>
      <c r="I670" s="1" t="s">
        <v>212</v>
      </c>
      <c r="J670" s="1" t="s">
        <v>46</v>
      </c>
      <c r="K670" s="1" t="s">
        <v>47</v>
      </c>
      <c r="L670" s="1" t="s">
        <v>2138</v>
      </c>
      <c r="M670" s="1" t="s">
        <v>49</v>
      </c>
      <c r="N670" s="1" t="s">
        <v>2829</v>
      </c>
      <c r="O670" s="1" t="s">
        <v>6560</v>
      </c>
      <c r="P670" s="1" t="s">
        <v>50</v>
      </c>
      <c r="Q670" s="1" t="s">
        <v>6561</v>
      </c>
      <c r="R670" s="1" t="s">
        <v>6562</v>
      </c>
      <c r="S670" s="1" t="s">
        <v>6563</v>
      </c>
      <c r="T670" s="1" t="s">
        <v>52</v>
      </c>
      <c r="U670" s="1" t="s">
        <v>53</v>
      </c>
    </row>
    <row r="671" customFormat="false" ht="15" hidden="false" customHeight="true" outlineLevel="0" collapsed="false">
      <c r="A671" s="1" t="s">
        <v>2139</v>
      </c>
      <c r="B671" s="1" t="s">
        <v>6564</v>
      </c>
      <c r="C671" s="1" t="s">
        <v>6565</v>
      </c>
      <c r="D671" s="1" t="s">
        <v>2140</v>
      </c>
      <c r="E671" s="1" t="s">
        <v>87</v>
      </c>
      <c r="F671" s="1" t="s">
        <v>121</v>
      </c>
      <c r="G671" s="1" t="s">
        <v>88</v>
      </c>
      <c r="H671" s="1" t="s">
        <v>89</v>
      </c>
      <c r="I671" s="1" t="s">
        <v>90</v>
      </c>
      <c r="J671" s="1" t="s">
        <v>62</v>
      </c>
      <c r="K671" s="1" t="s">
        <v>63</v>
      </c>
      <c r="L671" s="1" t="s">
        <v>2141</v>
      </c>
      <c r="M671" s="1" t="s">
        <v>49</v>
      </c>
      <c r="N671" s="1" t="s">
        <v>2937</v>
      </c>
      <c r="O671" s="1" t="s">
        <v>6566</v>
      </c>
      <c r="P671" s="1" t="s">
        <v>84</v>
      </c>
      <c r="Q671" s="1" t="s">
        <v>6567</v>
      </c>
      <c r="R671" s="1" t="s">
        <v>6568</v>
      </c>
      <c r="S671" s="1" t="s">
        <v>6569</v>
      </c>
      <c r="T671" s="1" t="s">
        <v>52</v>
      </c>
      <c r="U671" s="1" t="s">
        <v>53</v>
      </c>
    </row>
    <row r="672" customFormat="false" ht="15" hidden="false" customHeight="true" outlineLevel="0" collapsed="false">
      <c r="A672" s="1" t="s">
        <v>2142</v>
      </c>
      <c r="B672" s="1" t="s">
        <v>6570</v>
      </c>
      <c r="C672" s="1" t="s">
        <v>6324</v>
      </c>
      <c r="D672" s="1" t="s">
        <v>1641</v>
      </c>
      <c r="E672" s="1" t="s">
        <v>159</v>
      </c>
      <c r="F672" s="1" t="s">
        <v>116</v>
      </c>
      <c r="G672" s="1" t="s">
        <v>42</v>
      </c>
      <c r="H672" s="1" t="s">
        <v>163</v>
      </c>
      <c r="I672" s="1" t="s">
        <v>164</v>
      </c>
      <c r="J672" s="1" t="s">
        <v>62</v>
      </c>
      <c r="K672" s="1" t="s">
        <v>63</v>
      </c>
      <c r="L672" s="1" t="s">
        <v>2143</v>
      </c>
      <c r="M672" s="1" t="s">
        <v>83</v>
      </c>
      <c r="N672" s="1" t="s">
        <v>2861</v>
      </c>
      <c r="O672" s="1" t="s">
        <v>6571</v>
      </c>
      <c r="P672" s="1" t="s">
        <v>203</v>
      </c>
      <c r="Q672" s="1" t="s">
        <v>6572</v>
      </c>
      <c r="R672" s="1" t="s">
        <v>6573</v>
      </c>
      <c r="S672" s="1" t="s">
        <v>6574</v>
      </c>
      <c r="T672" s="1" t="s">
        <v>52</v>
      </c>
      <c r="U672" s="1" t="s">
        <v>53</v>
      </c>
    </row>
    <row r="673" customFormat="false" ht="15" hidden="false" customHeight="true" outlineLevel="0" collapsed="false">
      <c r="A673" s="1" t="s">
        <v>2144</v>
      </c>
      <c r="B673" s="1" t="s">
        <v>6575</v>
      </c>
      <c r="C673" s="1" t="s">
        <v>6576</v>
      </c>
      <c r="D673" s="1" t="s">
        <v>2145</v>
      </c>
      <c r="E673" s="1" t="s">
        <v>115</v>
      </c>
      <c r="F673" s="1" t="s">
        <v>121</v>
      </c>
      <c r="G673" s="1" t="s">
        <v>88</v>
      </c>
      <c r="H673" s="1" t="s">
        <v>221</v>
      </c>
      <c r="I673" s="1" t="s">
        <v>222</v>
      </c>
      <c r="J673" s="1" t="s">
        <v>99</v>
      </c>
      <c r="K673" s="1" t="s">
        <v>6577</v>
      </c>
      <c r="L673" s="1" t="s">
        <v>2146</v>
      </c>
      <c r="M673" s="1" t="s">
        <v>49</v>
      </c>
      <c r="N673" s="1" t="s">
        <v>2899</v>
      </c>
      <c r="O673" s="1" t="s">
        <v>6578</v>
      </c>
      <c r="P673" s="1" t="s">
        <v>128</v>
      </c>
      <c r="Q673" s="1" t="s">
        <v>6579</v>
      </c>
      <c r="R673" s="1" t="s">
        <v>6580</v>
      </c>
      <c r="S673" s="1" t="s">
        <v>6581</v>
      </c>
      <c r="T673" s="1" t="s">
        <v>52</v>
      </c>
      <c r="U673" s="1" t="s">
        <v>53</v>
      </c>
    </row>
    <row r="674" customFormat="false" ht="15" hidden="false" customHeight="true" outlineLevel="0" collapsed="false">
      <c r="A674" s="1" t="s">
        <v>2147</v>
      </c>
      <c r="B674" s="1" t="s">
        <v>6582</v>
      </c>
      <c r="C674" s="1" t="s">
        <v>6583</v>
      </c>
      <c r="D674" s="1" t="s">
        <v>2148</v>
      </c>
      <c r="E674" s="1" t="s">
        <v>115</v>
      </c>
      <c r="F674" s="1" t="s">
        <v>116</v>
      </c>
      <c r="G674" s="1" t="s">
        <v>88</v>
      </c>
      <c r="H674" s="1" t="s">
        <v>97</v>
      </c>
      <c r="I674" s="1" t="s">
        <v>98</v>
      </c>
      <c r="J674" s="1" t="s">
        <v>62</v>
      </c>
      <c r="K674" s="1" t="s">
        <v>91</v>
      </c>
      <c r="L674" s="1" t="s">
        <v>2149</v>
      </c>
      <c r="M674" s="1" t="s">
        <v>83</v>
      </c>
      <c r="N674" s="1" t="s">
        <v>2829</v>
      </c>
      <c r="O674" s="1" t="s">
        <v>6584</v>
      </c>
      <c r="P674" s="1" t="s">
        <v>128</v>
      </c>
      <c r="Q674" s="1" t="s">
        <v>6585</v>
      </c>
      <c r="R674" s="1" t="s">
        <v>6586</v>
      </c>
      <c r="S674" s="1" t="s">
        <v>6587</v>
      </c>
      <c r="T674" s="1" t="s">
        <v>52</v>
      </c>
      <c r="U674" s="1" t="s">
        <v>130</v>
      </c>
    </row>
    <row r="675" customFormat="false" ht="15" hidden="false" customHeight="true" outlineLevel="0" collapsed="false">
      <c r="A675" s="1" t="s">
        <v>2150</v>
      </c>
      <c r="B675" s="1" t="s">
        <v>5656</v>
      </c>
      <c r="C675" s="1" t="s">
        <v>6588</v>
      </c>
      <c r="D675" s="1" t="s">
        <v>2151</v>
      </c>
      <c r="E675" s="1" t="s">
        <v>77</v>
      </c>
      <c r="F675" s="1" t="s">
        <v>58</v>
      </c>
      <c r="G675" s="1" t="s">
        <v>88</v>
      </c>
      <c r="H675" s="1" t="s">
        <v>44</v>
      </c>
      <c r="I675" s="1" t="s">
        <v>136</v>
      </c>
      <c r="J675" s="1" t="s">
        <v>62</v>
      </c>
      <c r="K675" s="1" t="s">
        <v>188</v>
      </c>
      <c r="L675" s="1" t="s">
        <v>2152</v>
      </c>
      <c r="M675" s="1" t="s">
        <v>49</v>
      </c>
      <c r="N675" s="1" t="s">
        <v>2937</v>
      </c>
      <c r="O675" s="1" t="s">
        <v>6589</v>
      </c>
      <c r="P675" s="1" t="s">
        <v>107</v>
      </c>
      <c r="Q675" s="1" t="s">
        <v>6590</v>
      </c>
      <c r="R675" s="1" t="s">
        <v>6591</v>
      </c>
      <c r="S675" s="1" t="s">
        <v>6592</v>
      </c>
      <c r="T675" s="1" t="s">
        <v>52</v>
      </c>
      <c r="U675" s="1" t="s">
        <v>53</v>
      </c>
    </row>
    <row r="676" customFormat="false" ht="15" hidden="false" customHeight="true" outlineLevel="0" collapsed="false">
      <c r="A676" s="1" t="s">
        <v>2153</v>
      </c>
      <c r="B676" s="1" t="s">
        <v>6593</v>
      </c>
      <c r="C676" s="1" t="s">
        <v>6594</v>
      </c>
      <c r="D676" s="1" t="s">
        <v>2154</v>
      </c>
      <c r="E676" s="1" t="s">
        <v>96</v>
      </c>
      <c r="F676" s="1" t="s">
        <v>116</v>
      </c>
      <c r="G676" s="1" t="s">
        <v>59</v>
      </c>
      <c r="H676" s="1" t="s">
        <v>262</v>
      </c>
      <c r="I676" s="1" t="s">
        <v>263</v>
      </c>
      <c r="J676" s="1" t="s">
        <v>99</v>
      </c>
      <c r="K676" s="1" t="s">
        <v>100</v>
      </c>
      <c r="L676" s="1" t="s">
        <v>2155</v>
      </c>
      <c r="M676" s="1" t="s">
        <v>49</v>
      </c>
      <c r="N676" s="1" t="s">
        <v>2836</v>
      </c>
      <c r="O676" s="1" t="s">
        <v>6595</v>
      </c>
      <c r="P676" s="1" t="s">
        <v>66</v>
      </c>
      <c r="Q676" s="1" t="s">
        <v>6595</v>
      </c>
      <c r="R676" s="1" t="s">
        <v>6596</v>
      </c>
      <c r="S676" s="1" t="s">
        <v>6597</v>
      </c>
      <c r="T676" s="1" t="s">
        <v>138</v>
      </c>
      <c r="U676" s="1" t="s">
        <v>130</v>
      </c>
    </row>
    <row r="677" customFormat="false" ht="15" hidden="false" customHeight="true" outlineLevel="0" collapsed="false">
      <c r="A677" s="1" t="s">
        <v>2156</v>
      </c>
      <c r="B677" s="1" t="s">
        <v>6598</v>
      </c>
      <c r="C677" s="1" t="s">
        <v>6599</v>
      </c>
      <c r="D677" s="1" t="s">
        <v>2055</v>
      </c>
      <c r="E677" s="1" t="s">
        <v>155</v>
      </c>
      <c r="F677" s="1" t="s">
        <v>41</v>
      </c>
      <c r="G677" s="1" t="s">
        <v>42</v>
      </c>
      <c r="H677" s="1" t="s">
        <v>44</v>
      </c>
      <c r="I677" s="1" t="s">
        <v>45</v>
      </c>
      <c r="J677" s="1" t="s">
        <v>62</v>
      </c>
      <c r="K677" s="1" t="s">
        <v>81</v>
      </c>
      <c r="L677" s="1" t="s">
        <v>2157</v>
      </c>
      <c r="M677" s="1" t="s">
        <v>65</v>
      </c>
      <c r="N677" s="1" t="s">
        <v>2822</v>
      </c>
      <c r="O677" s="1" t="s">
        <v>6600</v>
      </c>
      <c r="P677" s="1" t="s">
        <v>66</v>
      </c>
      <c r="Q677" s="1" t="s">
        <v>6601</v>
      </c>
      <c r="R677" s="1" t="s">
        <v>6602</v>
      </c>
      <c r="S677" s="1" t="s">
        <v>6603</v>
      </c>
      <c r="T677" s="1" t="s">
        <v>52</v>
      </c>
      <c r="U677" s="1" t="s">
        <v>53</v>
      </c>
    </row>
    <row r="678" customFormat="false" ht="15" hidden="false" customHeight="true" outlineLevel="0" collapsed="false">
      <c r="A678" s="1" t="s">
        <v>2158</v>
      </c>
      <c r="B678" s="1" t="s">
        <v>2929</v>
      </c>
      <c r="C678" s="1" t="s">
        <v>2930</v>
      </c>
      <c r="D678" s="1" t="s">
        <v>2159</v>
      </c>
      <c r="E678" s="1" t="s">
        <v>145</v>
      </c>
      <c r="F678" s="1" t="s">
        <v>58</v>
      </c>
      <c r="G678" s="1" t="s">
        <v>42</v>
      </c>
      <c r="H678" s="1" t="s">
        <v>384</v>
      </c>
      <c r="I678" s="1" t="s">
        <v>385</v>
      </c>
      <c r="J678" s="1" t="s">
        <v>99</v>
      </c>
      <c r="K678" s="1" t="s">
        <v>201</v>
      </c>
      <c r="L678" s="1" t="s">
        <v>2160</v>
      </c>
      <c r="M678" s="1" t="s">
        <v>65</v>
      </c>
      <c r="N678" s="1" t="s">
        <v>2906</v>
      </c>
      <c r="O678" s="1" t="s">
        <v>2931</v>
      </c>
      <c r="P678" s="1" t="s">
        <v>107</v>
      </c>
      <c r="Q678" s="1" t="s">
        <v>2932</v>
      </c>
      <c r="R678" s="1" t="s">
        <v>2933</v>
      </c>
      <c r="S678" s="1" t="s">
        <v>2934</v>
      </c>
      <c r="T678" s="1" t="s">
        <v>52</v>
      </c>
      <c r="U678" s="1" t="s">
        <v>53</v>
      </c>
    </row>
    <row r="679" customFormat="false" ht="15" hidden="false" customHeight="true" outlineLevel="0" collapsed="false">
      <c r="A679" s="1" t="s">
        <v>2161</v>
      </c>
      <c r="B679" s="1" t="s">
        <v>6604</v>
      </c>
      <c r="C679" s="1" t="s">
        <v>6605</v>
      </c>
      <c r="D679" s="1" t="s">
        <v>39</v>
      </c>
      <c r="E679" s="1" t="s">
        <v>69</v>
      </c>
      <c r="F679" s="1" t="s">
        <v>121</v>
      </c>
      <c r="G679" s="1" t="s">
        <v>78</v>
      </c>
      <c r="H679" s="1" t="s">
        <v>206</v>
      </c>
      <c r="I679" s="1" t="s">
        <v>207</v>
      </c>
      <c r="J679" s="1" t="s">
        <v>62</v>
      </c>
      <c r="K679" s="1" t="s">
        <v>91</v>
      </c>
      <c r="L679" s="1" t="s">
        <v>2162</v>
      </c>
      <c r="M679" s="1" t="s">
        <v>65</v>
      </c>
      <c r="N679" s="1" t="s">
        <v>2906</v>
      </c>
      <c r="O679" s="1" t="s">
        <v>6606</v>
      </c>
      <c r="P679" s="1" t="s">
        <v>66</v>
      </c>
      <c r="Q679" s="1" t="s">
        <v>6607</v>
      </c>
      <c r="R679" s="1" t="s">
        <v>6608</v>
      </c>
      <c r="S679" s="1" t="s">
        <v>6609</v>
      </c>
      <c r="T679" s="1" t="s">
        <v>52</v>
      </c>
      <c r="U679" s="1" t="s">
        <v>53</v>
      </c>
    </row>
    <row r="680" customFormat="false" ht="15" hidden="false" customHeight="true" outlineLevel="0" collapsed="false">
      <c r="A680" s="1" t="s">
        <v>2163</v>
      </c>
      <c r="B680" s="1" t="s">
        <v>6610</v>
      </c>
      <c r="C680" s="1" t="s">
        <v>6611</v>
      </c>
      <c r="D680" s="1" t="s">
        <v>2164</v>
      </c>
      <c r="E680" s="1" t="s">
        <v>298</v>
      </c>
      <c r="F680" s="1" t="s">
        <v>116</v>
      </c>
      <c r="G680" s="1" t="s">
        <v>78</v>
      </c>
      <c r="H680" s="1" t="s">
        <v>206</v>
      </c>
      <c r="I680" s="1" t="s">
        <v>207</v>
      </c>
      <c r="J680" s="1" t="s">
        <v>62</v>
      </c>
      <c r="K680" s="1" t="s">
        <v>63</v>
      </c>
      <c r="L680" s="1" t="s">
        <v>2165</v>
      </c>
      <c r="M680" s="1" t="s">
        <v>49</v>
      </c>
      <c r="N680" s="1" t="s">
        <v>2899</v>
      </c>
      <c r="O680" s="1" t="s">
        <v>6612</v>
      </c>
      <c r="P680" s="1" t="s">
        <v>107</v>
      </c>
      <c r="Q680" s="1" t="s">
        <v>6613</v>
      </c>
      <c r="R680" s="1" t="s">
        <v>6614</v>
      </c>
      <c r="S680" s="1" t="s">
        <v>6615</v>
      </c>
      <c r="T680" s="1" t="s">
        <v>52</v>
      </c>
      <c r="U680" s="1" t="s">
        <v>53</v>
      </c>
    </row>
    <row r="681" customFormat="false" ht="15" hidden="false" customHeight="true" outlineLevel="0" collapsed="false">
      <c r="A681" s="1" t="s">
        <v>2166</v>
      </c>
      <c r="B681" s="1" t="s">
        <v>6616</v>
      </c>
      <c r="C681" s="1" t="s">
        <v>3570</v>
      </c>
      <c r="D681" s="1" t="s">
        <v>2167</v>
      </c>
      <c r="E681" s="1" t="s">
        <v>168</v>
      </c>
      <c r="F681" s="1" t="s">
        <v>116</v>
      </c>
      <c r="G681" s="1" t="s">
        <v>42</v>
      </c>
      <c r="H681" s="1" t="s">
        <v>149</v>
      </c>
      <c r="I681" s="1" t="s">
        <v>150</v>
      </c>
      <c r="J681" s="1" t="s">
        <v>99</v>
      </c>
      <c r="K681" s="1" t="s">
        <v>105</v>
      </c>
      <c r="L681" s="1" t="s">
        <v>2168</v>
      </c>
      <c r="M681" s="1" t="s">
        <v>65</v>
      </c>
      <c r="N681" s="1" t="s">
        <v>2937</v>
      </c>
      <c r="O681" s="1" t="s">
        <v>6617</v>
      </c>
      <c r="P681" s="1" t="s">
        <v>499</v>
      </c>
      <c r="Q681" s="1" t="s">
        <v>6618</v>
      </c>
      <c r="R681" s="1" t="s">
        <v>6619</v>
      </c>
      <c r="S681" s="1" t="s">
        <v>6620</v>
      </c>
      <c r="T681" s="1" t="s">
        <v>129</v>
      </c>
      <c r="U681" s="1" t="s">
        <v>93</v>
      </c>
    </row>
    <row r="682" customFormat="false" ht="15" hidden="false" customHeight="true" outlineLevel="0" collapsed="false">
      <c r="A682" s="1" t="s">
        <v>2169</v>
      </c>
      <c r="B682" s="1" t="s">
        <v>3142</v>
      </c>
      <c r="C682" s="1" t="s">
        <v>3494</v>
      </c>
      <c r="D682" s="1" t="s">
        <v>2170</v>
      </c>
      <c r="E682" s="1" t="s">
        <v>298</v>
      </c>
      <c r="F682" s="1" t="s">
        <v>116</v>
      </c>
      <c r="G682" s="1" t="s">
        <v>78</v>
      </c>
      <c r="H682" s="1" t="s">
        <v>281</v>
      </c>
      <c r="I682" s="1" t="s">
        <v>282</v>
      </c>
      <c r="J682" s="1" t="s">
        <v>99</v>
      </c>
      <c r="K682" s="1" t="s">
        <v>100</v>
      </c>
      <c r="L682" s="1" t="s">
        <v>2171</v>
      </c>
      <c r="M682" s="1" t="s">
        <v>72</v>
      </c>
      <c r="N682" s="1" t="s">
        <v>2937</v>
      </c>
      <c r="O682" s="1" t="s">
        <v>6621</v>
      </c>
      <c r="P682" s="1" t="s">
        <v>66</v>
      </c>
      <c r="Q682" s="1" t="s">
        <v>6622</v>
      </c>
      <c r="R682" s="1" t="s">
        <v>6623</v>
      </c>
      <c r="S682" s="1" t="s">
        <v>6624</v>
      </c>
      <c r="T682" s="1" t="s">
        <v>52</v>
      </c>
      <c r="U682" s="1" t="s">
        <v>53</v>
      </c>
    </row>
    <row r="683" customFormat="false" ht="15" hidden="false" customHeight="true" outlineLevel="0" collapsed="false">
      <c r="A683" s="1" t="s">
        <v>2172</v>
      </c>
      <c r="B683" s="1" t="s">
        <v>6625</v>
      </c>
      <c r="C683" s="1" t="s">
        <v>6626</v>
      </c>
      <c r="D683" s="1" t="s">
        <v>2173</v>
      </c>
      <c r="E683" s="1" t="s">
        <v>96</v>
      </c>
      <c r="F683" s="1" t="s">
        <v>116</v>
      </c>
      <c r="G683" s="1" t="s">
        <v>42</v>
      </c>
      <c r="H683" s="1" t="s">
        <v>384</v>
      </c>
      <c r="I683" s="1" t="s">
        <v>385</v>
      </c>
      <c r="J683" s="1" t="s">
        <v>62</v>
      </c>
      <c r="K683" s="1" t="s">
        <v>63</v>
      </c>
      <c r="L683" s="1" t="s">
        <v>2174</v>
      </c>
      <c r="M683" s="1" t="s">
        <v>49</v>
      </c>
      <c r="N683" s="1" t="s">
        <v>2829</v>
      </c>
      <c r="O683" s="1" t="s">
        <v>6627</v>
      </c>
      <c r="P683" s="1" t="s">
        <v>66</v>
      </c>
      <c r="Q683" s="1" t="s">
        <v>6628</v>
      </c>
      <c r="R683" s="1" t="s">
        <v>6629</v>
      </c>
      <c r="S683" s="1" t="s">
        <v>6630</v>
      </c>
      <c r="T683" s="1" t="s">
        <v>52</v>
      </c>
      <c r="U683" s="1" t="s">
        <v>93</v>
      </c>
    </row>
    <row r="684" customFormat="false" ht="15" hidden="false" customHeight="true" outlineLevel="0" collapsed="false">
      <c r="A684" s="1" t="s">
        <v>2175</v>
      </c>
      <c r="B684" s="1" t="s">
        <v>3219</v>
      </c>
      <c r="C684" s="1" t="s">
        <v>6234</v>
      </c>
      <c r="D684" s="1" t="s">
        <v>2176</v>
      </c>
      <c r="E684" s="1" t="s">
        <v>6631</v>
      </c>
      <c r="F684" s="1" t="s">
        <v>116</v>
      </c>
      <c r="G684" s="1" t="s">
        <v>42</v>
      </c>
      <c r="H684" s="1" t="s">
        <v>270</v>
      </c>
      <c r="I684" s="1" t="s">
        <v>271</v>
      </c>
      <c r="J684" s="1" t="s">
        <v>46</v>
      </c>
      <c r="K684" s="1" t="s">
        <v>151</v>
      </c>
      <c r="L684" s="1" t="s">
        <v>2177</v>
      </c>
      <c r="M684" s="1" t="s">
        <v>65</v>
      </c>
      <c r="N684" s="1" t="s">
        <v>2822</v>
      </c>
      <c r="O684" s="1" t="s">
        <v>6632</v>
      </c>
      <c r="Q684" s="1" t="s">
        <v>6633</v>
      </c>
      <c r="R684" s="1" t="s">
        <v>6634</v>
      </c>
      <c r="S684" s="1" t="s">
        <v>6635</v>
      </c>
      <c r="T684" s="1" t="s">
        <v>52</v>
      </c>
      <c r="U684" s="1" t="s">
        <v>53</v>
      </c>
    </row>
    <row r="685" customFormat="false" ht="15" hidden="false" customHeight="true" outlineLevel="0" collapsed="false">
      <c r="A685" s="1" t="s">
        <v>2178</v>
      </c>
      <c r="B685" s="1" t="s">
        <v>6636</v>
      </c>
      <c r="C685" s="1" t="s">
        <v>4846</v>
      </c>
      <c r="D685" s="1" t="s">
        <v>2179</v>
      </c>
      <c r="E685" s="1" t="s">
        <v>77</v>
      </c>
      <c r="F685" s="1" t="s">
        <v>58</v>
      </c>
      <c r="G685" s="1" t="s">
        <v>78</v>
      </c>
      <c r="H685" s="1" t="s">
        <v>79</v>
      </c>
      <c r="I685" s="1" t="s">
        <v>80</v>
      </c>
      <c r="J685" s="1" t="s">
        <v>62</v>
      </c>
      <c r="K685" s="1" t="s">
        <v>81</v>
      </c>
      <c r="L685" s="1" t="s">
        <v>2180</v>
      </c>
      <c r="M685" s="1" t="s">
        <v>49</v>
      </c>
      <c r="N685" s="1" t="s">
        <v>2815</v>
      </c>
      <c r="O685" s="1" t="s">
        <v>6637</v>
      </c>
      <c r="P685" s="1" t="s">
        <v>50</v>
      </c>
      <c r="Q685" s="1" t="s">
        <v>6638</v>
      </c>
      <c r="R685" s="1" t="s">
        <v>6639</v>
      </c>
      <c r="S685" s="1" t="s">
        <v>6640</v>
      </c>
      <c r="T685" s="1" t="s">
        <v>129</v>
      </c>
      <c r="U685" s="1" t="s">
        <v>93</v>
      </c>
    </row>
    <row r="686" customFormat="false" ht="15" hidden="false" customHeight="true" outlineLevel="0" collapsed="false">
      <c r="A686" s="1" t="s">
        <v>2181</v>
      </c>
      <c r="B686" s="1" t="s">
        <v>6641</v>
      </c>
      <c r="C686" s="1" t="s">
        <v>3396</v>
      </c>
      <c r="D686" s="1" t="s">
        <v>2182</v>
      </c>
      <c r="E686" s="1" t="s">
        <v>69</v>
      </c>
      <c r="F686" s="1" t="s">
        <v>121</v>
      </c>
      <c r="G686" s="1" t="s">
        <v>78</v>
      </c>
      <c r="H686" s="1" t="s">
        <v>281</v>
      </c>
      <c r="I686" s="1" t="s">
        <v>282</v>
      </c>
      <c r="J686" s="1" t="s">
        <v>62</v>
      </c>
      <c r="K686" s="1" t="s">
        <v>188</v>
      </c>
      <c r="L686" s="1" t="s">
        <v>2183</v>
      </c>
      <c r="M686" s="1" t="s">
        <v>72</v>
      </c>
      <c r="N686" s="1" t="s">
        <v>2906</v>
      </c>
      <c r="O686" s="1" t="s">
        <v>6642</v>
      </c>
      <c r="P686" s="1" t="s">
        <v>50</v>
      </c>
      <c r="Q686" s="1" t="s">
        <v>6643</v>
      </c>
      <c r="R686" s="1" t="s">
        <v>6644</v>
      </c>
      <c r="S686" s="1" t="s">
        <v>6645</v>
      </c>
      <c r="T686" s="1" t="s">
        <v>129</v>
      </c>
      <c r="U686" s="1" t="s">
        <v>93</v>
      </c>
    </row>
    <row r="687" customFormat="false" ht="15" hidden="false" customHeight="true" outlineLevel="0" collapsed="false">
      <c r="A687" s="1" t="s">
        <v>2184</v>
      </c>
      <c r="B687" s="1" t="s">
        <v>6646</v>
      </c>
      <c r="C687" s="1" t="s">
        <v>3402</v>
      </c>
      <c r="D687" s="1" t="s">
        <v>1848</v>
      </c>
      <c r="E687" s="1" t="s">
        <v>104</v>
      </c>
      <c r="F687" s="1" t="s">
        <v>116</v>
      </c>
      <c r="G687" s="1" t="s">
        <v>88</v>
      </c>
      <c r="H687" s="1" t="s">
        <v>221</v>
      </c>
      <c r="I687" s="1" t="s">
        <v>222</v>
      </c>
      <c r="J687" s="1" t="s">
        <v>46</v>
      </c>
      <c r="K687" s="1" t="s">
        <v>70</v>
      </c>
      <c r="L687" s="1" t="s">
        <v>2185</v>
      </c>
      <c r="M687" s="1" t="s">
        <v>83</v>
      </c>
      <c r="N687" s="1" t="s">
        <v>2899</v>
      </c>
      <c r="O687" s="1" t="s">
        <v>6647</v>
      </c>
      <c r="P687" s="1" t="s">
        <v>73</v>
      </c>
      <c r="Q687" s="1" t="s">
        <v>6648</v>
      </c>
      <c r="R687" s="1" t="s">
        <v>6649</v>
      </c>
      <c r="S687" s="1" t="s">
        <v>6650</v>
      </c>
      <c r="T687" s="1" t="s">
        <v>185</v>
      </c>
      <c r="U687" s="1" t="s">
        <v>93</v>
      </c>
    </row>
    <row r="688" customFormat="false" ht="15" hidden="false" customHeight="true" outlineLevel="0" collapsed="false">
      <c r="A688" s="1" t="s">
        <v>2186</v>
      </c>
      <c r="B688" s="1" t="s">
        <v>6651</v>
      </c>
      <c r="C688" s="1" t="s">
        <v>5372</v>
      </c>
      <c r="D688" s="1" t="s">
        <v>2187</v>
      </c>
      <c r="E688" s="1" t="s">
        <v>159</v>
      </c>
      <c r="F688" s="1" t="s">
        <v>121</v>
      </c>
      <c r="G688" s="1" t="s">
        <v>78</v>
      </c>
      <c r="H688" s="1" t="s">
        <v>281</v>
      </c>
      <c r="I688" s="1" t="s">
        <v>282</v>
      </c>
      <c r="J688" s="1" t="s">
        <v>99</v>
      </c>
      <c r="K688" s="1" t="s">
        <v>105</v>
      </c>
      <c r="L688" s="1" t="s">
        <v>2188</v>
      </c>
      <c r="M688" s="1" t="s">
        <v>83</v>
      </c>
      <c r="N688" s="1" t="s">
        <v>2868</v>
      </c>
      <c r="O688" s="1" t="s">
        <v>6652</v>
      </c>
      <c r="P688" s="1" t="s">
        <v>66</v>
      </c>
      <c r="Q688" s="1" t="s">
        <v>6653</v>
      </c>
      <c r="R688" s="1" t="s">
        <v>6654</v>
      </c>
      <c r="S688" s="1" t="s">
        <v>6655</v>
      </c>
      <c r="T688" s="1" t="s">
        <v>52</v>
      </c>
      <c r="U688" s="1" t="s">
        <v>53</v>
      </c>
    </row>
    <row r="689" customFormat="false" ht="15" hidden="false" customHeight="true" outlineLevel="0" collapsed="false">
      <c r="A689" s="1" t="s">
        <v>2189</v>
      </c>
      <c r="B689" s="1" t="s">
        <v>4214</v>
      </c>
      <c r="C689" s="1" t="s">
        <v>6656</v>
      </c>
      <c r="D689" s="1" t="s">
        <v>2190</v>
      </c>
      <c r="E689" s="1" t="s">
        <v>57</v>
      </c>
      <c r="F689" s="1" t="s">
        <v>121</v>
      </c>
      <c r="G689" s="1" t="s">
        <v>42</v>
      </c>
      <c r="H689" s="1" t="s">
        <v>149</v>
      </c>
      <c r="I689" s="1" t="s">
        <v>150</v>
      </c>
      <c r="J689" s="1" t="s">
        <v>62</v>
      </c>
      <c r="K689" s="1" t="s">
        <v>63</v>
      </c>
      <c r="L689" s="1" t="s">
        <v>2191</v>
      </c>
      <c r="M689" s="1" t="s">
        <v>72</v>
      </c>
      <c r="N689" s="1" t="s">
        <v>2937</v>
      </c>
      <c r="O689" s="1" t="s">
        <v>6657</v>
      </c>
      <c r="P689" s="1" t="s">
        <v>66</v>
      </c>
      <c r="Q689" s="1" t="s">
        <v>6658</v>
      </c>
      <c r="R689" s="1" t="s">
        <v>6659</v>
      </c>
      <c r="S689" s="1" t="s">
        <v>6660</v>
      </c>
      <c r="T689" s="1" t="s">
        <v>185</v>
      </c>
      <c r="U689" s="1" t="s">
        <v>93</v>
      </c>
    </row>
    <row r="690" customFormat="false" ht="15" hidden="false" customHeight="true" outlineLevel="0" collapsed="false">
      <c r="A690" s="1" t="s">
        <v>2192</v>
      </c>
      <c r="B690" s="1" t="s">
        <v>4180</v>
      </c>
      <c r="C690" s="1" t="s">
        <v>6661</v>
      </c>
      <c r="D690" s="1" t="s">
        <v>2193</v>
      </c>
      <c r="E690" s="1" t="s">
        <v>104</v>
      </c>
      <c r="F690" s="1" t="s">
        <v>121</v>
      </c>
      <c r="G690" s="1" t="s">
        <v>42</v>
      </c>
      <c r="H690" s="1" t="s">
        <v>270</v>
      </c>
      <c r="I690" s="1" t="s">
        <v>271</v>
      </c>
      <c r="J690" s="1" t="s">
        <v>46</v>
      </c>
      <c r="K690" s="1" t="s">
        <v>70</v>
      </c>
      <c r="L690" s="1" t="s">
        <v>2194</v>
      </c>
      <c r="M690" s="1" t="s">
        <v>49</v>
      </c>
      <c r="N690" s="1" t="s">
        <v>2815</v>
      </c>
      <c r="O690" s="1" t="s">
        <v>6662</v>
      </c>
      <c r="P690" s="1" t="s">
        <v>107</v>
      </c>
      <c r="Q690" s="1" t="s">
        <v>6663</v>
      </c>
      <c r="R690" s="1" t="s">
        <v>6664</v>
      </c>
      <c r="S690" s="1" t="s">
        <v>6665</v>
      </c>
      <c r="T690" s="1" t="s">
        <v>52</v>
      </c>
      <c r="U690" s="1" t="s">
        <v>53</v>
      </c>
    </row>
    <row r="691" customFormat="false" ht="15" hidden="false" customHeight="true" outlineLevel="0" collapsed="false">
      <c r="A691" s="1" t="s">
        <v>2195</v>
      </c>
      <c r="B691" s="1" t="s">
        <v>6666</v>
      </c>
      <c r="C691" s="1" t="s">
        <v>6667</v>
      </c>
      <c r="D691" s="1" t="s">
        <v>2196</v>
      </c>
      <c r="E691" s="1" t="s">
        <v>168</v>
      </c>
      <c r="F691" s="1" t="s">
        <v>58</v>
      </c>
      <c r="G691" s="1" t="s">
        <v>42</v>
      </c>
      <c r="H691" s="1" t="s">
        <v>149</v>
      </c>
      <c r="I691" s="1" t="s">
        <v>150</v>
      </c>
      <c r="J691" s="1" t="s">
        <v>62</v>
      </c>
      <c r="K691" s="1" t="s">
        <v>63</v>
      </c>
      <c r="L691" s="1" t="s">
        <v>2197</v>
      </c>
      <c r="M691" s="1" t="s">
        <v>83</v>
      </c>
      <c r="N691" s="1" t="s">
        <v>2899</v>
      </c>
      <c r="O691" s="1" t="s">
        <v>6668</v>
      </c>
      <c r="P691" s="1" t="s">
        <v>107</v>
      </c>
      <c r="Q691" s="1" t="s">
        <v>6669</v>
      </c>
      <c r="R691" s="1" t="s">
        <v>6670</v>
      </c>
      <c r="S691" s="1" t="s">
        <v>6671</v>
      </c>
      <c r="T691" s="1" t="s">
        <v>185</v>
      </c>
      <c r="U691" s="1" t="s">
        <v>93</v>
      </c>
    </row>
    <row r="692" customFormat="false" ht="15" hidden="false" customHeight="true" outlineLevel="0" collapsed="false">
      <c r="A692" s="1" t="s">
        <v>2198</v>
      </c>
      <c r="B692" s="1" t="s">
        <v>3838</v>
      </c>
      <c r="C692" s="1" t="s">
        <v>6672</v>
      </c>
      <c r="D692" s="1" t="s">
        <v>2199</v>
      </c>
      <c r="E692" s="1" t="s">
        <v>159</v>
      </c>
      <c r="F692" s="1" t="s">
        <v>116</v>
      </c>
      <c r="G692" s="1" t="s">
        <v>78</v>
      </c>
      <c r="H692" s="1" t="s">
        <v>281</v>
      </c>
      <c r="I692" s="1" t="s">
        <v>282</v>
      </c>
      <c r="J692" s="1" t="s">
        <v>46</v>
      </c>
      <c r="K692" s="1" t="s">
        <v>70</v>
      </c>
      <c r="L692" s="1" t="s">
        <v>2200</v>
      </c>
      <c r="M692" s="1" t="s">
        <v>83</v>
      </c>
      <c r="N692" s="1" t="s">
        <v>2937</v>
      </c>
      <c r="O692" s="1" t="s">
        <v>6673</v>
      </c>
      <c r="P692" s="1" t="s">
        <v>66</v>
      </c>
      <c r="Q692" s="1" t="s">
        <v>6674</v>
      </c>
      <c r="R692" s="1" t="s">
        <v>6675</v>
      </c>
      <c r="S692" s="1" t="s">
        <v>6676</v>
      </c>
      <c r="T692" s="1" t="s">
        <v>185</v>
      </c>
      <c r="U692" s="1" t="s">
        <v>130</v>
      </c>
    </row>
    <row r="693" customFormat="false" ht="15" hidden="false" customHeight="true" outlineLevel="0" collapsed="false">
      <c r="A693" s="1" t="s">
        <v>2201</v>
      </c>
      <c r="B693" s="1" t="s">
        <v>5723</v>
      </c>
      <c r="C693" s="1" t="s">
        <v>6677</v>
      </c>
      <c r="D693" s="1" t="s">
        <v>2202</v>
      </c>
      <c r="E693" s="1" t="s">
        <v>168</v>
      </c>
      <c r="F693" s="1" t="s">
        <v>41</v>
      </c>
      <c r="G693" s="1" t="s">
        <v>59</v>
      </c>
      <c r="H693" s="1" t="s">
        <v>60</v>
      </c>
      <c r="I693" s="1" t="s">
        <v>61</v>
      </c>
      <c r="J693" s="1" t="s">
        <v>99</v>
      </c>
      <c r="K693" s="1" t="s">
        <v>105</v>
      </c>
      <c r="L693" s="1" t="s">
        <v>2203</v>
      </c>
      <c r="M693" s="1" t="s">
        <v>49</v>
      </c>
      <c r="N693" s="1" t="s">
        <v>2815</v>
      </c>
      <c r="O693" s="1" t="s">
        <v>6678</v>
      </c>
      <c r="P693" s="1" t="s">
        <v>128</v>
      </c>
      <c r="Q693" s="1" t="s">
        <v>6679</v>
      </c>
      <c r="R693" s="1" t="s">
        <v>6680</v>
      </c>
      <c r="S693" s="1" t="s">
        <v>6681</v>
      </c>
      <c r="T693" s="1" t="s">
        <v>52</v>
      </c>
      <c r="U693" s="1" t="s">
        <v>53</v>
      </c>
    </row>
    <row r="694" customFormat="false" ht="15" hidden="false" customHeight="true" outlineLevel="0" collapsed="false">
      <c r="A694" s="1" t="s">
        <v>2204</v>
      </c>
      <c r="B694" s="1" t="s">
        <v>3095</v>
      </c>
      <c r="C694" s="1" t="s">
        <v>6682</v>
      </c>
      <c r="D694" s="1" t="s">
        <v>2205</v>
      </c>
      <c r="E694" s="1" t="s">
        <v>69</v>
      </c>
      <c r="F694" s="1" t="s">
        <v>4908</v>
      </c>
      <c r="G694" s="1" t="s">
        <v>78</v>
      </c>
      <c r="H694" s="1" t="s">
        <v>206</v>
      </c>
      <c r="I694" s="1" t="s">
        <v>207</v>
      </c>
      <c r="J694" s="1" t="s">
        <v>62</v>
      </c>
      <c r="K694" s="1" t="s">
        <v>81</v>
      </c>
      <c r="L694" s="1" t="s">
        <v>2206</v>
      </c>
      <c r="M694" s="1" t="s">
        <v>49</v>
      </c>
      <c r="N694" s="1" t="s">
        <v>2937</v>
      </c>
      <c r="O694" s="1" t="s">
        <v>6683</v>
      </c>
      <c r="P694" s="1" t="s">
        <v>203</v>
      </c>
      <c r="Q694" s="1" t="s">
        <v>6684</v>
      </c>
      <c r="R694" s="1" t="s">
        <v>6685</v>
      </c>
      <c r="S694" s="1" t="s">
        <v>6686</v>
      </c>
      <c r="T694" s="1" t="s">
        <v>52</v>
      </c>
      <c r="U694" s="1" t="s">
        <v>53</v>
      </c>
    </row>
    <row r="695" customFormat="false" ht="15" hidden="false" customHeight="true" outlineLevel="0" collapsed="false">
      <c r="A695" s="1" t="s">
        <v>2207</v>
      </c>
      <c r="B695" s="1" t="s">
        <v>6687</v>
      </c>
      <c r="C695" s="1" t="s">
        <v>5770</v>
      </c>
      <c r="D695" s="1" t="s">
        <v>2208</v>
      </c>
      <c r="E695" s="1" t="s">
        <v>77</v>
      </c>
      <c r="F695" s="1" t="s">
        <v>41</v>
      </c>
      <c r="G695" s="1" t="s">
        <v>78</v>
      </c>
      <c r="H695" s="1" t="s">
        <v>281</v>
      </c>
      <c r="I695" s="1" t="s">
        <v>282</v>
      </c>
      <c r="J695" s="1" t="s">
        <v>62</v>
      </c>
      <c r="K695" s="1" t="s">
        <v>188</v>
      </c>
      <c r="L695" s="1" t="s">
        <v>2209</v>
      </c>
      <c r="M695" s="1" t="s">
        <v>49</v>
      </c>
      <c r="N695" s="1" t="s">
        <v>2822</v>
      </c>
      <c r="O695" s="1" t="s">
        <v>6688</v>
      </c>
      <c r="P695" s="1" t="s">
        <v>128</v>
      </c>
      <c r="Q695" s="1" t="s">
        <v>6689</v>
      </c>
      <c r="R695" s="1" t="s">
        <v>6690</v>
      </c>
      <c r="S695" s="1" t="s">
        <v>6691</v>
      </c>
      <c r="T695" s="1" t="s">
        <v>52</v>
      </c>
      <c r="U695" s="1" t="s">
        <v>53</v>
      </c>
    </row>
    <row r="696" customFormat="false" ht="15" hidden="false" customHeight="true" outlineLevel="0" collapsed="false">
      <c r="A696" s="1" t="s">
        <v>2210</v>
      </c>
      <c r="B696" s="1" t="s">
        <v>2827</v>
      </c>
      <c r="C696" s="1" t="s">
        <v>2828</v>
      </c>
      <c r="D696" s="1" t="s">
        <v>1177</v>
      </c>
      <c r="E696" s="1" t="s">
        <v>69</v>
      </c>
      <c r="F696" s="1" t="s">
        <v>41</v>
      </c>
      <c r="G696" s="1" t="s">
        <v>78</v>
      </c>
      <c r="H696" s="1" t="s">
        <v>110</v>
      </c>
      <c r="I696" s="1" t="s">
        <v>111</v>
      </c>
      <c r="J696" s="1" t="s">
        <v>46</v>
      </c>
      <c r="K696" s="1" t="s">
        <v>151</v>
      </c>
      <c r="L696" s="1" t="s">
        <v>2211</v>
      </c>
      <c r="M696" s="1" t="s">
        <v>72</v>
      </c>
      <c r="N696" s="1" t="s">
        <v>2829</v>
      </c>
      <c r="O696" s="1" t="s">
        <v>2830</v>
      </c>
      <c r="P696" s="1" t="s">
        <v>107</v>
      </c>
      <c r="Q696" s="1" t="s">
        <v>2831</v>
      </c>
      <c r="R696" s="1" t="s">
        <v>2832</v>
      </c>
      <c r="S696" s="1" t="s">
        <v>2833</v>
      </c>
      <c r="T696" s="1" t="s">
        <v>52</v>
      </c>
      <c r="U696" s="1" t="s">
        <v>53</v>
      </c>
    </row>
    <row r="697" customFormat="false" ht="15" hidden="false" customHeight="true" outlineLevel="0" collapsed="false">
      <c r="A697" s="1" t="s">
        <v>2212</v>
      </c>
      <c r="B697" s="1" t="s">
        <v>6692</v>
      </c>
      <c r="C697" s="1" t="s">
        <v>5294</v>
      </c>
      <c r="D697" s="1" t="s">
        <v>2213</v>
      </c>
      <c r="E697" s="1" t="s">
        <v>155</v>
      </c>
      <c r="F697" s="1" t="s">
        <v>41</v>
      </c>
      <c r="G697" s="1" t="s">
        <v>88</v>
      </c>
      <c r="H697" s="1" t="s">
        <v>97</v>
      </c>
      <c r="I697" s="1" t="s">
        <v>98</v>
      </c>
      <c r="J697" s="1" t="s">
        <v>99</v>
      </c>
      <c r="K697" s="1" t="s">
        <v>308</v>
      </c>
      <c r="L697" s="1" t="s">
        <v>2214</v>
      </c>
      <c r="M697" s="1" t="s">
        <v>83</v>
      </c>
      <c r="N697" s="1" t="s">
        <v>2937</v>
      </c>
      <c r="O697" s="1" t="s">
        <v>6693</v>
      </c>
      <c r="P697" s="1" t="s">
        <v>66</v>
      </c>
      <c r="Q697" s="1" t="s">
        <v>6694</v>
      </c>
      <c r="R697" s="1" t="s">
        <v>6695</v>
      </c>
      <c r="S697" s="1" t="s">
        <v>6696</v>
      </c>
      <c r="T697" s="1" t="s">
        <v>52</v>
      </c>
      <c r="U697" s="1" t="s">
        <v>53</v>
      </c>
    </row>
    <row r="698" customFormat="false" ht="15" hidden="false" customHeight="true" outlineLevel="0" collapsed="false">
      <c r="A698" s="1" t="s">
        <v>2215</v>
      </c>
      <c r="B698" s="1" t="s">
        <v>6697</v>
      </c>
      <c r="C698" s="1" t="s">
        <v>6698</v>
      </c>
      <c r="D698" s="1" t="s">
        <v>2216</v>
      </c>
      <c r="E698" s="1" t="s">
        <v>69</v>
      </c>
      <c r="F698" s="1" t="s">
        <v>58</v>
      </c>
      <c r="G698" s="1" t="s">
        <v>78</v>
      </c>
      <c r="H698" s="1" t="s">
        <v>216</v>
      </c>
      <c r="I698" s="1" t="s">
        <v>217</v>
      </c>
      <c r="J698" s="1" t="s">
        <v>99</v>
      </c>
      <c r="K698" s="1" t="s">
        <v>201</v>
      </c>
      <c r="L698" s="1" t="s">
        <v>2217</v>
      </c>
      <c r="N698" s="1" t="s">
        <v>2937</v>
      </c>
      <c r="O698" s="1" t="s">
        <v>6699</v>
      </c>
      <c r="P698" s="1" t="s">
        <v>84</v>
      </c>
      <c r="Q698" s="1" t="s">
        <v>6700</v>
      </c>
      <c r="R698" s="1" t="s">
        <v>6701</v>
      </c>
      <c r="S698" s="1" t="s">
        <v>6702</v>
      </c>
      <c r="T698" s="1" t="s">
        <v>52</v>
      </c>
      <c r="U698" s="1" t="s">
        <v>53</v>
      </c>
    </row>
    <row r="699" customFormat="false" ht="15" hidden="false" customHeight="true" outlineLevel="0" collapsed="false">
      <c r="A699" s="1" t="s">
        <v>2218</v>
      </c>
      <c r="B699" s="1" t="s">
        <v>5560</v>
      </c>
      <c r="C699" s="1" t="s">
        <v>3728</v>
      </c>
      <c r="D699" s="1" t="s">
        <v>2219</v>
      </c>
      <c r="E699" s="1" t="s">
        <v>77</v>
      </c>
      <c r="F699" s="1" t="s">
        <v>116</v>
      </c>
      <c r="G699" s="1" t="s">
        <v>78</v>
      </c>
      <c r="H699" s="1" t="s">
        <v>110</v>
      </c>
      <c r="I699" s="1" t="s">
        <v>111</v>
      </c>
      <c r="J699" s="1" t="s">
        <v>46</v>
      </c>
      <c r="K699" s="1" t="s">
        <v>117</v>
      </c>
      <c r="L699" s="1" t="s">
        <v>2220</v>
      </c>
      <c r="M699" s="1" t="s">
        <v>72</v>
      </c>
      <c r="N699" s="1" t="s">
        <v>2906</v>
      </c>
      <c r="O699" s="1" t="s">
        <v>6703</v>
      </c>
      <c r="Q699" s="1" t="s">
        <v>6704</v>
      </c>
      <c r="R699" s="1" t="s">
        <v>6705</v>
      </c>
      <c r="S699" s="1" t="s">
        <v>6706</v>
      </c>
      <c r="T699" s="1" t="s">
        <v>129</v>
      </c>
      <c r="U699" s="1" t="s">
        <v>130</v>
      </c>
    </row>
    <row r="700" customFormat="false" ht="15" hidden="false" customHeight="true" outlineLevel="0" collapsed="false">
      <c r="A700" s="1" t="s">
        <v>2221</v>
      </c>
      <c r="B700" s="1" t="s">
        <v>6707</v>
      </c>
      <c r="C700" s="1" t="s">
        <v>4860</v>
      </c>
      <c r="D700" s="1" t="s">
        <v>2222</v>
      </c>
      <c r="E700" s="1" t="s">
        <v>57</v>
      </c>
      <c r="F700" s="1" t="s">
        <v>116</v>
      </c>
      <c r="G700" s="1" t="s">
        <v>42</v>
      </c>
      <c r="H700" s="1" t="s">
        <v>44</v>
      </c>
      <c r="I700" s="1" t="s">
        <v>45</v>
      </c>
      <c r="J700" s="1" t="s">
        <v>99</v>
      </c>
      <c r="K700" s="1" t="s">
        <v>308</v>
      </c>
      <c r="L700" s="1" t="s">
        <v>2223</v>
      </c>
      <c r="M700" s="1" t="s">
        <v>83</v>
      </c>
      <c r="N700" s="1" t="s">
        <v>2861</v>
      </c>
      <c r="O700" s="1" t="s">
        <v>6708</v>
      </c>
      <c r="P700" s="1" t="s">
        <v>107</v>
      </c>
      <c r="Q700" s="1" t="s">
        <v>6709</v>
      </c>
      <c r="R700" s="1" t="s">
        <v>6710</v>
      </c>
      <c r="S700" s="1" t="s">
        <v>6711</v>
      </c>
      <c r="T700" s="1" t="s">
        <v>52</v>
      </c>
      <c r="U700" s="1" t="s">
        <v>130</v>
      </c>
    </row>
    <row r="701" customFormat="false" ht="15" hidden="false" customHeight="true" outlineLevel="0" collapsed="false">
      <c r="A701" s="1" t="s">
        <v>2224</v>
      </c>
      <c r="B701" s="1" t="s">
        <v>6712</v>
      </c>
      <c r="C701" s="1" t="s">
        <v>6713</v>
      </c>
      <c r="D701" s="1" t="s">
        <v>2225</v>
      </c>
      <c r="E701" s="1" t="s">
        <v>77</v>
      </c>
      <c r="F701" s="1" t="s">
        <v>58</v>
      </c>
      <c r="G701" s="1" t="s">
        <v>78</v>
      </c>
      <c r="H701" s="1" t="s">
        <v>206</v>
      </c>
      <c r="I701" s="1" t="s">
        <v>207</v>
      </c>
      <c r="J701" s="1" t="s">
        <v>62</v>
      </c>
      <c r="K701" s="1" t="s">
        <v>188</v>
      </c>
      <c r="L701" s="1" t="s">
        <v>2226</v>
      </c>
      <c r="M701" s="1" t="s">
        <v>83</v>
      </c>
      <c r="N701" s="1" t="s">
        <v>2899</v>
      </c>
      <c r="O701" s="1" t="s">
        <v>6714</v>
      </c>
      <c r="P701" s="1" t="s">
        <v>84</v>
      </c>
      <c r="Q701" s="1" t="s">
        <v>6715</v>
      </c>
      <c r="R701" s="1" t="s">
        <v>6716</v>
      </c>
      <c r="S701" s="1" t="s">
        <v>6717</v>
      </c>
      <c r="T701" s="1" t="s">
        <v>52</v>
      </c>
      <c r="U701" s="1" t="s">
        <v>53</v>
      </c>
    </row>
    <row r="702" customFormat="false" ht="15" hidden="false" customHeight="true" outlineLevel="0" collapsed="false">
      <c r="A702" s="1" t="s">
        <v>2227</v>
      </c>
      <c r="B702" s="1" t="s">
        <v>6718</v>
      </c>
      <c r="C702" s="1" t="s">
        <v>4146</v>
      </c>
      <c r="D702" s="1" t="s">
        <v>2228</v>
      </c>
      <c r="E702" s="1" t="s">
        <v>104</v>
      </c>
      <c r="F702" s="1" t="s">
        <v>116</v>
      </c>
      <c r="G702" s="1" t="s">
        <v>59</v>
      </c>
      <c r="H702" s="1" t="s">
        <v>125</v>
      </c>
      <c r="I702" s="1" t="s">
        <v>126</v>
      </c>
      <c r="J702" s="1" t="s">
        <v>99</v>
      </c>
      <c r="K702" s="1" t="s">
        <v>308</v>
      </c>
      <c r="L702" s="1" t="s">
        <v>2229</v>
      </c>
      <c r="M702" s="1" t="s">
        <v>83</v>
      </c>
      <c r="N702" s="1" t="s">
        <v>2822</v>
      </c>
      <c r="O702" s="1" t="s">
        <v>6719</v>
      </c>
      <c r="P702" s="1" t="s">
        <v>107</v>
      </c>
      <c r="Q702" s="1" t="s">
        <v>6720</v>
      </c>
      <c r="R702" s="1" t="s">
        <v>6721</v>
      </c>
      <c r="S702" s="1" t="s">
        <v>6722</v>
      </c>
      <c r="T702" s="1" t="s">
        <v>52</v>
      </c>
      <c r="U702" s="1" t="s">
        <v>53</v>
      </c>
    </row>
    <row r="703" customFormat="false" ht="15" hidden="false" customHeight="true" outlineLevel="0" collapsed="false">
      <c r="A703" s="1" t="s">
        <v>2230</v>
      </c>
      <c r="B703" s="1" t="s">
        <v>4717</v>
      </c>
      <c r="C703" s="1" t="s">
        <v>4338</v>
      </c>
      <c r="D703" s="1" t="s">
        <v>2231</v>
      </c>
      <c r="E703" s="1" t="s">
        <v>168</v>
      </c>
      <c r="F703" s="1" t="s">
        <v>58</v>
      </c>
      <c r="G703" s="1" t="s">
        <v>88</v>
      </c>
      <c r="H703" s="1" t="s">
        <v>211</v>
      </c>
      <c r="I703" s="1" t="s">
        <v>212</v>
      </c>
      <c r="J703" s="1" t="s">
        <v>46</v>
      </c>
      <c r="K703" s="1" t="s">
        <v>70</v>
      </c>
      <c r="L703" s="1" t="s">
        <v>2232</v>
      </c>
      <c r="M703" s="1" t="s">
        <v>65</v>
      </c>
      <c r="N703" s="1" t="s">
        <v>2906</v>
      </c>
      <c r="O703" s="1" t="s">
        <v>6723</v>
      </c>
      <c r="P703" s="1" t="s">
        <v>66</v>
      </c>
      <c r="Q703" s="1" t="s">
        <v>6724</v>
      </c>
      <c r="R703" s="1" t="s">
        <v>6725</v>
      </c>
      <c r="S703" s="1" t="s">
        <v>6726</v>
      </c>
      <c r="T703" s="1" t="s">
        <v>52</v>
      </c>
      <c r="U703" s="1" t="s">
        <v>130</v>
      </c>
    </row>
    <row r="704" customFormat="false" ht="15" hidden="false" customHeight="true" outlineLevel="0" collapsed="false">
      <c r="A704" s="1" t="s">
        <v>2233</v>
      </c>
      <c r="B704" s="1" t="s">
        <v>6727</v>
      </c>
      <c r="C704" s="1" t="s">
        <v>6235</v>
      </c>
      <c r="D704" s="1" t="s">
        <v>2234</v>
      </c>
      <c r="E704" s="1" t="s">
        <v>40</v>
      </c>
      <c r="F704" s="1" t="s">
        <v>58</v>
      </c>
      <c r="G704" s="1" t="s">
        <v>88</v>
      </c>
      <c r="H704" s="1" t="s">
        <v>44</v>
      </c>
      <c r="I704" s="1" t="s">
        <v>136</v>
      </c>
      <c r="J704" s="1" t="s">
        <v>62</v>
      </c>
      <c r="K704" s="1" t="s">
        <v>63</v>
      </c>
      <c r="L704" s="1" t="s">
        <v>2235</v>
      </c>
      <c r="M704" s="1" t="s">
        <v>49</v>
      </c>
      <c r="N704" s="1" t="s">
        <v>2822</v>
      </c>
      <c r="O704" s="1" t="s">
        <v>6728</v>
      </c>
      <c r="P704" s="1" t="s">
        <v>203</v>
      </c>
      <c r="Q704" s="1" t="s">
        <v>6729</v>
      </c>
      <c r="R704" s="1" t="s">
        <v>6730</v>
      </c>
      <c r="S704" s="1" t="s">
        <v>6731</v>
      </c>
      <c r="T704" s="1" t="s">
        <v>52</v>
      </c>
      <c r="U704" s="1" t="s">
        <v>53</v>
      </c>
    </row>
    <row r="705" customFormat="false" ht="15" hidden="false" customHeight="true" outlineLevel="0" collapsed="false">
      <c r="A705" s="1" t="s">
        <v>2236</v>
      </c>
      <c r="B705" s="1" t="s">
        <v>6732</v>
      </c>
      <c r="C705" s="1" t="s">
        <v>5630</v>
      </c>
      <c r="D705" s="1" t="s">
        <v>2237</v>
      </c>
      <c r="E705" s="1" t="s">
        <v>115</v>
      </c>
      <c r="F705" s="1" t="s">
        <v>116</v>
      </c>
      <c r="G705" s="1" t="s">
        <v>42</v>
      </c>
      <c r="H705" s="1" t="s">
        <v>44</v>
      </c>
      <c r="I705" s="1" t="s">
        <v>45</v>
      </c>
      <c r="J705" s="1" t="s">
        <v>62</v>
      </c>
      <c r="K705" s="1" t="s">
        <v>63</v>
      </c>
      <c r="L705" s="1" t="s">
        <v>2238</v>
      </c>
      <c r="M705" s="1" t="s">
        <v>72</v>
      </c>
      <c r="N705" s="1" t="s">
        <v>2836</v>
      </c>
      <c r="O705" s="1" t="s">
        <v>6733</v>
      </c>
      <c r="P705" s="1" t="s">
        <v>203</v>
      </c>
      <c r="Q705" s="1" t="s">
        <v>6734</v>
      </c>
      <c r="R705" s="1" t="s">
        <v>6735</v>
      </c>
      <c r="S705" s="1" t="s">
        <v>6736</v>
      </c>
      <c r="T705" s="1" t="s">
        <v>52</v>
      </c>
      <c r="U705" s="1" t="s">
        <v>53</v>
      </c>
    </row>
    <row r="706" customFormat="false" ht="15" hidden="false" customHeight="true" outlineLevel="0" collapsed="false">
      <c r="A706" s="1" t="s">
        <v>2239</v>
      </c>
      <c r="B706" s="1" t="s">
        <v>2834</v>
      </c>
      <c r="C706" s="1" t="s">
        <v>2835</v>
      </c>
      <c r="D706" s="1" t="s">
        <v>2240</v>
      </c>
      <c r="E706" s="1" t="s">
        <v>141</v>
      </c>
      <c r="F706" s="1" t="s">
        <v>121</v>
      </c>
      <c r="G706" s="1" t="s">
        <v>78</v>
      </c>
      <c r="H706" s="1" t="s">
        <v>281</v>
      </c>
      <c r="I706" s="1" t="s">
        <v>282</v>
      </c>
      <c r="J706" s="1" t="s">
        <v>62</v>
      </c>
      <c r="K706" s="1" t="s">
        <v>188</v>
      </c>
      <c r="L706" s="1" t="s">
        <v>2241</v>
      </c>
      <c r="N706" s="1" t="s">
        <v>2836</v>
      </c>
      <c r="O706" s="1" t="s">
        <v>2837</v>
      </c>
      <c r="P706" s="1" t="s">
        <v>107</v>
      </c>
      <c r="Q706" s="1" t="s">
        <v>2838</v>
      </c>
      <c r="R706" s="1" t="s">
        <v>2839</v>
      </c>
      <c r="S706" s="1" t="s">
        <v>2840</v>
      </c>
      <c r="T706" s="1" t="s">
        <v>52</v>
      </c>
      <c r="U706" s="1" t="s">
        <v>53</v>
      </c>
    </row>
    <row r="707" customFormat="false" ht="15" hidden="false" customHeight="true" outlineLevel="0" collapsed="false">
      <c r="A707" s="1" t="s">
        <v>2242</v>
      </c>
      <c r="B707" s="1" t="s">
        <v>6737</v>
      </c>
      <c r="C707" s="1" t="s">
        <v>6738</v>
      </c>
      <c r="D707" s="1" t="s">
        <v>2243</v>
      </c>
      <c r="E707" s="1" t="s">
        <v>168</v>
      </c>
      <c r="F707" s="1" t="s">
        <v>41</v>
      </c>
      <c r="G707" s="1" t="s">
        <v>42</v>
      </c>
      <c r="H707" s="1" t="s">
        <v>44</v>
      </c>
      <c r="I707" s="1" t="s">
        <v>45</v>
      </c>
      <c r="J707" s="1" t="s">
        <v>46</v>
      </c>
      <c r="K707" s="1" t="s">
        <v>183</v>
      </c>
      <c r="L707" s="1" t="s">
        <v>2244</v>
      </c>
      <c r="M707" s="1" t="s">
        <v>83</v>
      </c>
      <c r="N707" s="1" t="s">
        <v>2829</v>
      </c>
      <c r="O707" s="1" t="s">
        <v>6739</v>
      </c>
      <c r="P707" s="1" t="s">
        <v>128</v>
      </c>
      <c r="Q707" s="1" t="s">
        <v>6740</v>
      </c>
      <c r="R707" s="1" t="s">
        <v>6741</v>
      </c>
      <c r="S707" s="1" t="s">
        <v>6742</v>
      </c>
      <c r="T707" s="1" t="s">
        <v>52</v>
      </c>
      <c r="U707" s="1" t="s">
        <v>53</v>
      </c>
    </row>
    <row r="708" customFormat="false" ht="15" hidden="false" customHeight="true" outlineLevel="0" collapsed="false">
      <c r="A708" s="1" t="s">
        <v>2245</v>
      </c>
      <c r="B708" s="1" t="s">
        <v>6743</v>
      </c>
      <c r="C708" s="1" t="s">
        <v>4039</v>
      </c>
      <c r="D708" s="1" t="s">
        <v>2246</v>
      </c>
      <c r="E708" s="1" t="s">
        <v>69</v>
      </c>
      <c r="F708" s="1" t="s">
        <v>58</v>
      </c>
      <c r="G708" s="1" t="s">
        <v>59</v>
      </c>
      <c r="H708" s="1" t="s">
        <v>60</v>
      </c>
      <c r="I708" s="1" t="s">
        <v>61</v>
      </c>
      <c r="J708" s="1" t="s">
        <v>46</v>
      </c>
      <c r="K708" s="1" t="s">
        <v>47</v>
      </c>
      <c r="L708" s="1" t="s">
        <v>2247</v>
      </c>
      <c r="M708" s="1" t="s">
        <v>65</v>
      </c>
      <c r="N708" s="1" t="s">
        <v>2836</v>
      </c>
      <c r="O708" s="1" t="s">
        <v>6744</v>
      </c>
      <c r="P708" s="1" t="s">
        <v>203</v>
      </c>
      <c r="Q708" s="1" t="s">
        <v>6745</v>
      </c>
      <c r="R708" s="1" t="s">
        <v>6746</v>
      </c>
      <c r="S708" s="1" t="s">
        <v>6747</v>
      </c>
      <c r="T708" s="1" t="s">
        <v>52</v>
      </c>
      <c r="U708" s="1" t="s">
        <v>53</v>
      </c>
    </row>
    <row r="709" customFormat="false" ht="15" hidden="false" customHeight="true" outlineLevel="0" collapsed="false">
      <c r="A709" s="1" t="s">
        <v>2248</v>
      </c>
      <c r="B709" s="1" t="s">
        <v>6748</v>
      </c>
      <c r="C709" s="1" t="s">
        <v>5619</v>
      </c>
      <c r="D709" s="1" t="s">
        <v>2249</v>
      </c>
      <c r="E709" s="1" t="s">
        <v>96</v>
      </c>
      <c r="F709" s="1" t="s">
        <v>41</v>
      </c>
      <c r="G709" s="1" t="s">
        <v>42</v>
      </c>
      <c r="H709" s="1" t="s">
        <v>44</v>
      </c>
      <c r="I709" s="1" t="s">
        <v>45</v>
      </c>
      <c r="J709" s="1" t="s">
        <v>99</v>
      </c>
      <c r="K709" s="1" t="s">
        <v>100</v>
      </c>
      <c r="L709" s="1" t="s">
        <v>2250</v>
      </c>
      <c r="M709" s="1" t="s">
        <v>65</v>
      </c>
      <c r="N709" s="1" t="s">
        <v>2829</v>
      </c>
      <c r="O709" s="1" t="s">
        <v>6749</v>
      </c>
      <c r="P709" s="1" t="s">
        <v>73</v>
      </c>
      <c r="Q709" s="1" t="s">
        <v>6750</v>
      </c>
      <c r="R709" s="1" t="s">
        <v>6751</v>
      </c>
      <c r="S709" s="1" t="s">
        <v>6752</v>
      </c>
      <c r="T709" s="1" t="s">
        <v>52</v>
      </c>
      <c r="U709" s="1" t="s">
        <v>53</v>
      </c>
    </row>
    <row r="710" customFormat="false" ht="15" hidden="false" customHeight="true" outlineLevel="0" collapsed="false">
      <c r="A710" s="1" t="s">
        <v>2251</v>
      </c>
      <c r="B710" s="1" t="s">
        <v>6753</v>
      </c>
      <c r="C710" s="1" t="s">
        <v>6754</v>
      </c>
      <c r="D710" s="1" t="s">
        <v>2252</v>
      </c>
      <c r="E710" s="1" t="s">
        <v>159</v>
      </c>
      <c r="F710" s="1" t="s">
        <v>41</v>
      </c>
      <c r="G710" s="1" t="s">
        <v>59</v>
      </c>
      <c r="H710" s="1" t="s">
        <v>196</v>
      </c>
      <c r="I710" s="1" t="s">
        <v>197</v>
      </c>
      <c r="J710" s="1" t="s">
        <v>62</v>
      </c>
      <c r="K710" s="1" t="s">
        <v>188</v>
      </c>
      <c r="L710" s="1" t="s">
        <v>2253</v>
      </c>
      <c r="M710" s="1" t="s">
        <v>72</v>
      </c>
      <c r="N710" s="1" t="s">
        <v>2937</v>
      </c>
      <c r="O710" s="1" t="s">
        <v>6755</v>
      </c>
      <c r="P710" s="1" t="s">
        <v>128</v>
      </c>
      <c r="Q710" s="1" t="s">
        <v>6756</v>
      </c>
      <c r="R710" s="1" t="s">
        <v>6757</v>
      </c>
      <c r="S710" s="1" t="s">
        <v>6758</v>
      </c>
      <c r="T710" s="1" t="s">
        <v>52</v>
      </c>
      <c r="U710" s="1" t="s">
        <v>53</v>
      </c>
    </row>
    <row r="711" customFormat="false" ht="15" hidden="false" customHeight="true" outlineLevel="0" collapsed="false">
      <c r="A711" s="1" t="s">
        <v>2254</v>
      </c>
      <c r="B711" s="1" t="s">
        <v>3065</v>
      </c>
      <c r="C711" s="1" t="s">
        <v>3055</v>
      </c>
      <c r="D711" s="1" t="s">
        <v>2255</v>
      </c>
      <c r="E711" s="1" t="s">
        <v>298</v>
      </c>
      <c r="F711" s="1" t="s">
        <v>121</v>
      </c>
      <c r="G711" s="1" t="s">
        <v>42</v>
      </c>
      <c r="H711" s="1" t="s">
        <v>149</v>
      </c>
      <c r="I711" s="1" t="s">
        <v>150</v>
      </c>
      <c r="J711" s="1" t="s">
        <v>99</v>
      </c>
      <c r="K711" s="1" t="s">
        <v>201</v>
      </c>
      <c r="L711" s="1" t="s">
        <v>2256</v>
      </c>
      <c r="M711" s="1" t="s">
        <v>65</v>
      </c>
      <c r="N711" s="1" t="s">
        <v>2906</v>
      </c>
      <c r="O711" s="1" t="s">
        <v>6759</v>
      </c>
      <c r="P711" s="1" t="s">
        <v>107</v>
      </c>
      <c r="Q711" s="1" t="s">
        <v>6760</v>
      </c>
      <c r="R711" s="1" t="s">
        <v>6761</v>
      </c>
      <c r="S711" s="1" t="s">
        <v>6762</v>
      </c>
      <c r="T711" s="1" t="s">
        <v>52</v>
      </c>
      <c r="U711" s="1" t="s">
        <v>93</v>
      </c>
    </row>
    <row r="712" customFormat="false" ht="15" hidden="false" customHeight="true" outlineLevel="0" collapsed="false">
      <c r="A712" s="1" t="s">
        <v>2257</v>
      </c>
      <c r="B712" s="1" t="s">
        <v>6763</v>
      </c>
      <c r="C712" s="1" t="s">
        <v>6764</v>
      </c>
      <c r="D712" s="1" t="s">
        <v>2258</v>
      </c>
      <c r="E712" s="1" t="s">
        <v>96</v>
      </c>
      <c r="F712" s="1" t="s">
        <v>116</v>
      </c>
      <c r="G712" s="1" t="s">
        <v>42</v>
      </c>
      <c r="H712" s="1" t="s">
        <v>149</v>
      </c>
      <c r="I712" s="1" t="s">
        <v>150</v>
      </c>
      <c r="J712" s="1" t="s">
        <v>46</v>
      </c>
      <c r="K712" s="1" t="s">
        <v>70</v>
      </c>
      <c r="L712" s="1" t="s">
        <v>2259</v>
      </c>
      <c r="M712" s="1" t="s">
        <v>49</v>
      </c>
      <c r="N712" s="1" t="s">
        <v>2829</v>
      </c>
      <c r="O712" s="1" t="s">
        <v>6765</v>
      </c>
      <c r="P712" s="1" t="s">
        <v>128</v>
      </c>
      <c r="Q712" s="1" t="s">
        <v>6766</v>
      </c>
      <c r="R712" s="1" t="s">
        <v>6767</v>
      </c>
      <c r="S712" s="1" t="s">
        <v>6768</v>
      </c>
      <c r="T712" s="1" t="s">
        <v>52</v>
      </c>
      <c r="U712" s="1" t="s">
        <v>53</v>
      </c>
    </row>
    <row r="713" customFormat="false" ht="15" hidden="false" customHeight="true" outlineLevel="0" collapsed="false">
      <c r="A713" s="1" t="s">
        <v>2260</v>
      </c>
      <c r="B713" s="1" t="s">
        <v>6769</v>
      </c>
      <c r="C713" s="1" t="s">
        <v>6727</v>
      </c>
      <c r="D713" s="1" t="s">
        <v>2261</v>
      </c>
      <c r="E713" s="1" t="s">
        <v>298</v>
      </c>
      <c r="F713" s="1" t="s">
        <v>116</v>
      </c>
      <c r="G713" s="1" t="s">
        <v>59</v>
      </c>
      <c r="H713" s="1" t="s">
        <v>125</v>
      </c>
      <c r="I713" s="1" t="s">
        <v>126</v>
      </c>
      <c r="J713" s="1" t="s">
        <v>99</v>
      </c>
      <c r="K713" s="1" t="s">
        <v>308</v>
      </c>
      <c r="L713" s="1" t="s">
        <v>2262</v>
      </c>
      <c r="M713" s="1" t="s">
        <v>72</v>
      </c>
      <c r="N713" s="1" t="s">
        <v>2836</v>
      </c>
      <c r="O713" s="1" t="s">
        <v>6770</v>
      </c>
      <c r="P713" s="1" t="s">
        <v>128</v>
      </c>
      <c r="Q713" s="1" t="s">
        <v>6771</v>
      </c>
      <c r="R713" s="1" t="s">
        <v>6772</v>
      </c>
      <c r="S713" s="1" t="s">
        <v>6773</v>
      </c>
      <c r="T713" s="1" t="s">
        <v>138</v>
      </c>
      <c r="U713" s="1" t="s">
        <v>130</v>
      </c>
    </row>
    <row r="714" customFormat="false" ht="15" hidden="false" customHeight="true" outlineLevel="0" collapsed="false">
      <c r="A714" s="1" t="s">
        <v>2263</v>
      </c>
      <c r="B714" s="1" t="s">
        <v>2904</v>
      </c>
      <c r="C714" s="1" t="s">
        <v>2905</v>
      </c>
      <c r="D714" s="1" t="s">
        <v>2264</v>
      </c>
      <c r="E714" s="1" t="s">
        <v>69</v>
      </c>
      <c r="F714" s="1" t="s">
        <v>121</v>
      </c>
      <c r="G714" s="1" t="s">
        <v>88</v>
      </c>
      <c r="H714" s="1" t="s">
        <v>97</v>
      </c>
      <c r="I714" s="1" t="s">
        <v>98</v>
      </c>
      <c r="J714" s="1" t="s">
        <v>62</v>
      </c>
      <c r="K714" s="1" t="s">
        <v>91</v>
      </c>
      <c r="L714" s="1" t="s">
        <v>2265</v>
      </c>
      <c r="M714" s="1" t="s">
        <v>72</v>
      </c>
      <c r="N714" s="1" t="s">
        <v>2906</v>
      </c>
      <c r="O714" s="1" t="s">
        <v>2907</v>
      </c>
      <c r="P714" s="1" t="s">
        <v>66</v>
      </c>
      <c r="Q714" s="1" t="s">
        <v>2908</v>
      </c>
      <c r="R714" s="1" t="s">
        <v>2909</v>
      </c>
      <c r="S714" s="1" t="s">
        <v>2910</v>
      </c>
      <c r="T714" s="1" t="s">
        <v>52</v>
      </c>
      <c r="U714" s="1" t="s">
        <v>53</v>
      </c>
    </row>
    <row r="715" customFormat="false" ht="15" hidden="false" customHeight="true" outlineLevel="0" collapsed="false">
      <c r="A715" s="1" t="s">
        <v>2266</v>
      </c>
      <c r="B715" s="1" t="s">
        <v>6774</v>
      </c>
      <c r="C715" s="1" t="s">
        <v>6599</v>
      </c>
      <c r="D715" s="1" t="s">
        <v>636</v>
      </c>
      <c r="E715" s="1" t="s">
        <v>57</v>
      </c>
      <c r="F715" s="1" t="s">
        <v>41</v>
      </c>
      <c r="G715" s="1" t="s">
        <v>88</v>
      </c>
      <c r="H715" s="1" t="s">
        <v>44</v>
      </c>
      <c r="I715" s="1" t="s">
        <v>136</v>
      </c>
      <c r="J715" s="1" t="s">
        <v>99</v>
      </c>
      <c r="K715" s="1" t="s">
        <v>308</v>
      </c>
      <c r="L715" s="1" t="s">
        <v>2267</v>
      </c>
      <c r="M715" s="1" t="s">
        <v>49</v>
      </c>
      <c r="N715" s="1" t="s">
        <v>2836</v>
      </c>
      <c r="O715" s="1" t="s">
        <v>6775</v>
      </c>
      <c r="P715" s="1" t="s">
        <v>84</v>
      </c>
      <c r="Q715" s="1" t="s">
        <v>6776</v>
      </c>
      <c r="R715" s="1" t="s">
        <v>6777</v>
      </c>
      <c r="S715" s="1" t="s">
        <v>6778</v>
      </c>
      <c r="T715" s="1" t="s">
        <v>52</v>
      </c>
      <c r="U715" s="1" t="s">
        <v>53</v>
      </c>
    </row>
    <row r="716" customFormat="false" ht="15" hidden="false" customHeight="true" outlineLevel="0" collapsed="false">
      <c r="A716" s="1" t="s">
        <v>2268</v>
      </c>
      <c r="B716" s="1" t="s">
        <v>5306</v>
      </c>
      <c r="C716" s="1" t="s">
        <v>5448</v>
      </c>
      <c r="D716" s="1" t="s">
        <v>2269</v>
      </c>
      <c r="E716" s="1" t="s">
        <v>40</v>
      </c>
      <c r="F716" s="1" t="s">
        <v>121</v>
      </c>
      <c r="G716" s="1" t="s">
        <v>42</v>
      </c>
      <c r="H716" s="1" t="s">
        <v>384</v>
      </c>
      <c r="I716" s="1" t="s">
        <v>385</v>
      </c>
      <c r="J716" s="1" t="s">
        <v>99</v>
      </c>
      <c r="K716" s="1" t="s">
        <v>105</v>
      </c>
      <c r="L716" s="1" t="s">
        <v>2270</v>
      </c>
      <c r="M716" s="1" t="s">
        <v>83</v>
      </c>
      <c r="N716" s="1" t="s">
        <v>2899</v>
      </c>
      <c r="O716" s="1" t="s">
        <v>6779</v>
      </c>
      <c r="P716" s="1" t="s">
        <v>66</v>
      </c>
      <c r="Q716" s="1" t="s">
        <v>6780</v>
      </c>
      <c r="R716" s="1" t="s">
        <v>6781</v>
      </c>
      <c r="S716" s="1" t="s">
        <v>6782</v>
      </c>
      <c r="T716" s="1" t="s">
        <v>52</v>
      </c>
      <c r="U716" s="1" t="s">
        <v>53</v>
      </c>
    </row>
    <row r="717" customFormat="false" ht="15" hidden="false" customHeight="true" outlineLevel="0" collapsed="false">
      <c r="A717" s="1" t="s">
        <v>2271</v>
      </c>
      <c r="B717" s="1" t="s">
        <v>3348</v>
      </c>
      <c r="C717" s="1" t="s">
        <v>3349</v>
      </c>
      <c r="D717" s="1" t="s">
        <v>2272</v>
      </c>
      <c r="E717" s="1" t="s">
        <v>141</v>
      </c>
      <c r="F717" s="1" t="s">
        <v>41</v>
      </c>
      <c r="G717" s="1" t="s">
        <v>42</v>
      </c>
      <c r="H717" s="1" t="s">
        <v>270</v>
      </c>
      <c r="I717" s="1" t="s">
        <v>271</v>
      </c>
      <c r="J717" s="1" t="s">
        <v>62</v>
      </c>
      <c r="K717" s="1" t="s">
        <v>91</v>
      </c>
      <c r="L717" s="1" t="s">
        <v>2273</v>
      </c>
      <c r="M717" s="1" t="s">
        <v>49</v>
      </c>
      <c r="N717" s="1" t="s">
        <v>2906</v>
      </c>
      <c r="O717" s="1" t="s">
        <v>6783</v>
      </c>
      <c r="P717" s="1" t="s">
        <v>66</v>
      </c>
      <c r="Q717" s="1" t="s">
        <v>6784</v>
      </c>
      <c r="R717" s="1" t="s">
        <v>6785</v>
      </c>
      <c r="S717" s="1" t="s">
        <v>6786</v>
      </c>
      <c r="T717" s="1" t="s">
        <v>129</v>
      </c>
      <c r="U717" s="1" t="s">
        <v>93</v>
      </c>
    </row>
    <row r="718" customFormat="false" ht="15" hidden="false" customHeight="true" outlineLevel="0" collapsed="false">
      <c r="A718" s="1" t="s">
        <v>2274</v>
      </c>
      <c r="B718" s="1" t="s">
        <v>6787</v>
      </c>
      <c r="C718" s="1" t="s">
        <v>3071</v>
      </c>
      <c r="D718" s="1" t="s">
        <v>2275</v>
      </c>
      <c r="E718" s="1" t="s">
        <v>192</v>
      </c>
      <c r="F718" s="1" t="s">
        <v>58</v>
      </c>
      <c r="G718" s="1" t="s">
        <v>42</v>
      </c>
      <c r="H718" s="1" t="s">
        <v>270</v>
      </c>
      <c r="I718" s="1" t="s">
        <v>271</v>
      </c>
      <c r="J718" s="1" t="s">
        <v>99</v>
      </c>
      <c r="K718" s="1" t="s">
        <v>201</v>
      </c>
      <c r="L718" s="1" t="s">
        <v>2276</v>
      </c>
      <c r="M718" s="1" t="s">
        <v>72</v>
      </c>
      <c r="N718" s="1" t="s">
        <v>2836</v>
      </c>
      <c r="O718" s="1" t="s">
        <v>6788</v>
      </c>
      <c r="P718" s="1" t="s">
        <v>107</v>
      </c>
      <c r="Q718" s="1" t="s">
        <v>6789</v>
      </c>
      <c r="R718" s="1" t="s">
        <v>6790</v>
      </c>
      <c r="S718" s="1" t="s">
        <v>6791</v>
      </c>
      <c r="T718" s="1" t="s">
        <v>52</v>
      </c>
      <c r="U718" s="1" t="s">
        <v>53</v>
      </c>
    </row>
    <row r="719" customFormat="false" ht="15" hidden="false" customHeight="true" outlineLevel="0" collapsed="false">
      <c r="A719" s="1" t="s">
        <v>2277</v>
      </c>
      <c r="B719" s="1" t="s">
        <v>6792</v>
      </c>
      <c r="C719" s="1" t="s">
        <v>3184</v>
      </c>
      <c r="D719" s="1" t="s">
        <v>2278</v>
      </c>
      <c r="E719" s="1" t="s">
        <v>298</v>
      </c>
      <c r="F719" s="1" t="s">
        <v>58</v>
      </c>
      <c r="G719" s="1" t="s">
        <v>42</v>
      </c>
      <c r="H719" s="1" t="s">
        <v>270</v>
      </c>
      <c r="I719" s="1" t="s">
        <v>271</v>
      </c>
      <c r="J719" s="1" t="s">
        <v>99</v>
      </c>
      <c r="K719" s="1" t="s">
        <v>308</v>
      </c>
      <c r="L719" s="1" t="s">
        <v>2279</v>
      </c>
      <c r="M719" s="1" t="s">
        <v>83</v>
      </c>
      <c r="N719" s="1" t="s">
        <v>2899</v>
      </c>
      <c r="O719" s="1" t="s">
        <v>6793</v>
      </c>
      <c r="P719" s="1" t="s">
        <v>50</v>
      </c>
      <c r="Q719" s="1" t="s">
        <v>6794</v>
      </c>
      <c r="R719" s="1" t="s">
        <v>6795</v>
      </c>
      <c r="S719" s="1" t="s">
        <v>6796</v>
      </c>
      <c r="T719" s="1" t="s">
        <v>138</v>
      </c>
      <c r="U719" s="1" t="s">
        <v>93</v>
      </c>
    </row>
    <row r="720" customFormat="false" ht="15" hidden="false" customHeight="true" outlineLevel="0" collapsed="false">
      <c r="A720" s="1" t="s">
        <v>2280</v>
      </c>
      <c r="B720" s="1" t="s">
        <v>6797</v>
      </c>
      <c r="C720" s="1" t="s">
        <v>3837</v>
      </c>
      <c r="D720" s="1" t="s">
        <v>2281</v>
      </c>
      <c r="E720" s="1" t="s">
        <v>57</v>
      </c>
      <c r="F720" s="1" t="s">
        <v>41</v>
      </c>
      <c r="G720" s="1" t="s">
        <v>88</v>
      </c>
      <c r="H720" s="1" t="s">
        <v>89</v>
      </c>
      <c r="I720" s="1" t="s">
        <v>90</v>
      </c>
      <c r="J720" s="1" t="s">
        <v>46</v>
      </c>
      <c r="K720" s="1" t="s">
        <v>70</v>
      </c>
      <c r="L720" s="1" t="s">
        <v>2282</v>
      </c>
      <c r="M720" s="1" t="s">
        <v>65</v>
      </c>
      <c r="N720" s="1" t="s">
        <v>2822</v>
      </c>
      <c r="O720" s="1" t="s">
        <v>6798</v>
      </c>
      <c r="P720" s="1" t="s">
        <v>50</v>
      </c>
      <c r="Q720" s="1" t="s">
        <v>6799</v>
      </c>
      <c r="R720" s="1" t="s">
        <v>6800</v>
      </c>
      <c r="S720" s="1" t="s">
        <v>6801</v>
      </c>
      <c r="T720" s="1" t="s">
        <v>52</v>
      </c>
      <c r="U720" s="1" t="s">
        <v>53</v>
      </c>
    </row>
    <row r="721" customFormat="false" ht="15" hidden="false" customHeight="true" outlineLevel="0" collapsed="false">
      <c r="A721" s="1" t="s">
        <v>2283</v>
      </c>
      <c r="B721" s="1" t="s">
        <v>2866</v>
      </c>
      <c r="C721" s="1" t="s">
        <v>2867</v>
      </c>
      <c r="D721" s="1" t="s">
        <v>173</v>
      </c>
      <c r="E721" s="1" t="s">
        <v>298</v>
      </c>
      <c r="F721" s="1" t="s">
        <v>116</v>
      </c>
      <c r="G721" s="1" t="s">
        <v>88</v>
      </c>
      <c r="H721" s="1" t="s">
        <v>211</v>
      </c>
      <c r="I721" s="1" t="s">
        <v>212</v>
      </c>
      <c r="J721" s="1" t="s">
        <v>46</v>
      </c>
      <c r="K721" s="1" t="s">
        <v>70</v>
      </c>
      <c r="L721" s="1" t="s">
        <v>2284</v>
      </c>
      <c r="M721" s="1" t="s">
        <v>65</v>
      </c>
      <c r="N721" s="1" t="s">
        <v>2868</v>
      </c>
      <c r="O721" s="1" t="s">
        <v>2869</v>
      </c>
      <c r="P721" s="1" t="s">
        <v>50</v>
      </c>
      <c r="Q721" s="1" t="s">
        <v>2870</v>
      </c>
      <c r="R721" s="1" t="s">
        <v>2871</v>
      </c>
      <c r="S721" s="1" t="s">
        <v>2872</v>
      </c>
      <c r="T721" s="1" t="s">
        <v>52</v>
      </c>
      <c r="U721" s="1" t="s">
        <v>53</v>
      </c>
    </row>
    <row r="722" customFormat="false" ht="15" hidden="false" customHeight="true" outlineLevel="0" collapsed="false">
      <c r="A722" s="1" t="s">
        <v>2285</v>
      </c>
      <c r="B722" s="1" t="s">
        <v>4118</v>
      </c>
      <c r="C722" s="1" t="s">
        <v>6802</v>
      </c>
      <c r="D722" s="1" t="s">
        <v>2286</v>
      </c>
      <c r="E722" s="1" t="s">
        <v>115</v>
      </c>
      <c r="F722" s="1" t="s">
        <v>121</v>
      </c>
      <c r="G722" s="1" t="s">
        <v>88</v>
      </c>
      <c r="H722" s="1" t="s">
        <v>97</v>
      </c>
      <c r="I722" s="1" t="s">
        <v>98</v>
      </c>
      <c r="J722" s="1" t="s">
        <v>99</v>
      </c>
      <c r="K722" s="1" t="s">
        <v>105</v>
      </c>
      <c r="L722" s="1" t="s">
        <v>2287</v>
      </c>
      <c r="M722" s="1" t="s">
        <v>65</v>
      </c>
      <c r="N722" s="1" t="s">
        <v>2937</v>
      </c>
      <c r="O722" s="1" t="s">
        <v>6803</v>
      </c>
      <c r="P722" s="1" t="s">
        <v>107</v>
      </c>
      <c r="Q722" s="1" t="s">
        <v>6804</v>
      </c>
      <c r="R722" s="1" t="s">
        <v>6805</v>
      </c>
      <c r="S722" s="1" t="s">
        <v>6806</v>
      </c>
      <c r="T722" s="1" t="s">
        <v>52</v>
      </c>
      <c r="U722" s="1" t="s">
        <v>53</v>
      </c>
    </row>
    <row r="723" customFormat="false" ht="15" hidden="false" customHeight="true" outlineLevel="0" collapsed="false">
      <c r="A723" s="1" t="s">
        <v>2288</v>
      </c>
      <c r="B723" s="1" t="s">
        <v>3118</v>
      </c>
      <c r="C723" s="1" t="s">
        <v>6807</v>
      </c>
      <c r="D723" s="1" t="s">
        <v>2289</v>
      </c>
      <c r="E723" s="1" t="s">
        <v>159</v>
      </c>
      <c r="F723" s="1" t="s">
        <v>41</v>
      </c>
      <c r="G723" s="1" t="s">
        <v>78</v>
      </c>
      <c r="H723" s="1" t="s">
        <v>206</v>
      </c>
      <c r="I723" s="1" t="s">
        <v>207</v>
      </c>
      <c r="J723" s="1" t="s">
        <v>99</v>
      </c>
      <c r="K723" s="1" t="s">
        <v>105</v>
      </c>
      <c r="L723" s="1" t="s">
        <v>2290</v>
      </c>
      <c r="M723" s="1" t="s">
        <v>72</v>
      </c>
      <c r="N723" s="1" t="s">
        <v>2829</v>
      </c>
      <c r="O723" s="1" t="s">
        <v>6808</v>
      </c>
      <c r="P723" s="1" t="s">
        <v>66</v>
      </c>
      <c r="Q723" s="1" t="s">
        <v>6809</v>
      </c>
      <c r="R723" s="1" t="s">
        <v>6810</v>
      </c>
      <c r="S723" s="1" t="s">
        <v>6811</v>
      </c>
      <c r="T723" s="1" t="s">
        <v>52</v>
      </c>
      <c r="U723" s="1" t="s">
        <v>53</v>
      </c>
    </row>
    <row r="724" customFormat="false" ht="15" hidden="false" customHeight="true" outlineLevel="0" collapsed="false">
      <c r="A724" s="1" t="s">
        <v>2291</v>
      </c>
      <c r="B724" s="1" t="s">
        <v>5841</v>
      </c>
      <c r="C724" s="1" t="s">
        <v>6812</v>
      </c>
      <c r="D724" s="1" t="s">
        <v>2292</v>
      </c>
      <c r="E724" s="1" t="s">
        <v>96</v>
      </c>
      <c r="F724" s="1" t="s">
        <v>41</v>
      </c>
      <c r="G724" s="1" t="s">
        <v>59</v>
      </c>
      <c r="H724" s="1" t="s">
        <v>125</v>
      </c>
      <c r="I724" s="1" t="s">
        <v>126</v>
      </c>
      <c r="J724" s="1" t="s">
        <v>62</v>
      </c>
      <c r="K724" s="1" t="s">
        <v>91</v>
      </c>
      <c r="L724" s="1" t="s">
        <v>2293</v>
      </c>
      <c r="M724" s="1" t="s">
        <v>49</v>
      </c>
      <c r="N724" s="1" t="s">
        <v>2899</v>
      </c>
      <c r="O724" s="1" t="s">
        <v>6813</v>
      </c>
      <c r="Q724" s="1" t="s">
        <v>6814</v>
      </c>
      <c r="R724" s="1" t="s">
        <v>6815</v>
      </c>
      <c r="S724" s="1" t="s">
        <v>6816</v>
      </c>
      <c r="T724" s="1" t="s">
        <v>129</v>
      </c>
      <c r="U724" s="1" t="s">
        <v>93</v>
      </c>
    </row>
    <row r="725" customFormat="false" ht="15" hidden="false" customHeight="true" outlineLevel="0" collapsed="false">
      <c r="A725" s="1" t="s">
        <v>2294</v>
      </c>
      <c r="B725" s="1" t="s">
        <v>3850</v>
      </c>
      <c r="C725" s="1" t="s">
        <v>6817</v>
      </c>
      <c r="D725" s="1" t="s">
        <v>2295</v>
      </c>
      <c r="E725" s="1" t="s">
        <v>298</v>
      </c>
      <c r="F725" s="1" t="s">
        <v>121</v>
      </c>
      <c r="G725" s="1" t="s">
        <v>59</v>
      </c>
      <c r="H725" s="1" t="s">
        <v>262</v>
      </c>
      <c r="I725" s="1" t="s">
        <v>263</v>
      </c>
      <c r="J725" s="1" t="s">
        <v>99</v>
      </c>
      <c r="K725" s="1" t="s">
        <v>100</v>
      </c>
      <c r="L725" s="1" t="s">
        <v>2296</v>
      </c>
      <c r="M725" s="1" t="s">
        <v>83</v>
      </c>
      <c r="N725" s="1" t="s">
        <v>2815</v>
      </c>
      <c r="O725" s="1" t="s">
        <v>6818</v>
      </c>
      <c r="P725" s="1" t="s">
        <v>128</v>
      </c>
      <c r="Q725" s="1" t="s">
        <v>6819</v>
      </c>
      <c r="R725" s="1" t="s">
        <v>6820</v>
      </c>
      <c r="S725" s="1" t="s">
        <v>6821</v>
      </c>
      <c r="T725" s="1" t="s">
        <v>185</v>
      </c>
      <c r="U725" s="1" t="s">
        <v>130</v>
      </c>
    </row>
    <row r="726" customFormat="false" ht="15" hidden="false" customHeight="true" outlineLevel="0" collapsed="false">
      <c r="A726" s="1" t="s">
        <v>2297</v>
      </c>
      <c r="B726" s="1" t="s">
        <v>6822</v>
      </c>
      <c r="C726" s="1" t="s">
        <v>4705</v>
      </c>
      <c r="D726" s="1" t="s">
        <v>2298</v>
      </c>
      <c r="E726" s="1" t="s">
        <v>40</v>
      </c>
      <c r="F726" s="1" t="s">
        <v>41</v>
      </c>
      <c r="G726" s="1" t="s">
        <v>88</v>
      </c>
      <c r="H726" s="1" t="s">
        <v>221</v>
      </c>
      <c r="I726" s="1" t="s">
        <v>222</v>
      </c>
      <c r="J726" s="1" t="s">
        <v>62</v>
      </c>
      <c r="K726" s="1" t="s">
        <v>81</v>
      </c>
      <c r="L726" s="1" t="s">
        <v>2299</v>
      </c>
      <c r="M726" s="1" t="s">
        <v>49</v>
      </c>
      <c r="N726" s="1" t="s">
        <v>2822</v>
      </c>
      <c r="O726" s="1" t="s">
        <v>6823</v>
      </c>
      <c r="P726" s="1" t="s">
        <v>66</v>
      </c>
      <c r="Q726" s="1" t="s">
        <v>6824</v>
      </c>
      <c r="R726" s="1" t="s">
        <v>6825</v>
      </c>
      <c r="S726" s="1" t="s">
        <v>6826</v>
      </c>
      <c r="T726" s="1" t="s">
        <v>52</v>
      </c>
      <c r="U726" s="1" t="s">
        <v>53</v>
      </c>
    </row>
    <row r="727" customFormat="false" ht="15" hidden="false" customHeight="true" outlineLevel="0" collapsed="false">
      <c r="A727" s="1" t="s">
        <v>2300</v>
      </c>
      <c r="B727" s="1" t="s">
        <v>6827</v>
      </c>
      <c r="C727" s="1" t="s">
        <v>3013</v>
      </c>
      <c r="D727" s="1" t="s">
        <v>2301</v>
      </c>
      <c r="E727" s="1" t="s">
        <v>141</v>
      </c>
      <c r="F727" s="1" t="s">
        <v>116</v>
      </c>
      <c r="G727" s="1" t="s">
        <v>78</v>
      </c>
      <c r="H727" s="1" t="s">
        <v>206</v>
      </c>
      <c r="I727" s="1" t="s">
        <v>207</v>
      </c>
      <c r="J727" s="1" t="s">
        <v>62</v>
      </c>
      <c r="K727" s="1" t="s">
        <v>63</v>
      </c>
      <c r="L727" s="1" t="s">
        <v>2302</v>
      </c>
      <c r="M727" s="1" t="s">
        <v>49</v>
      </c>
      <c r="N727" s="1" t="s">
        <v>2906</v>
      </c>
      <c r="O727" s="1" t="s">
        <v>6828</v>
      </c>
      <c r="P727" s="1" t="s">
        <v>66</v>
      </c>
      <c r="Q727" s="1" t="s">
        <v>6829</v>
      </c>
      <c r="R727" s="1" t="s">
        <v>6830</v>
      </c>
      <c r="S727" s="1" t="s">
        <v>6831</v>
      </c>
      <c r="T727" s="1" t="s">
        <v>52</v>
      </c>
      <c r="U727" s="1" t="s">
        <v>53</v>
      </c>
    </row>
    <row r="728" customFormat="false" ht="15" hidden="false" customHeight="true" outlineLevel="0" collapsed="false">
      <c r="A728" s="1" t="s">
        <v>2303</v>
      </c>
      <c r="B728" s="1" t="s">
        <v>6832</v>
      </c>
      <c r="C728" s="1" t="s">
        <v>6833</v>
      </c>
      <c r="D728" s="1" t="s">
        <v>2304</v>
      </c>
      <c r="E728" s="1" t="s">
        <v>298</v>
      </c>
      <c r="F728" s="1" t="s">
        <v>121</v>
      </c>
      <c r="G728" s="1" t="s">
        <v>88</v>
      </c>
      <c r="H728" s="1" t="s">
        <v>211</v>
      </c>
      <c r="I728" s="1" t="s">
        <v>212</v>
      </c>
      <c r="J728" s="1" t="s">
        <v>99</v>
      </c>
      <c r="K728" s="1" t="s">
        <v>201</v>
      </c>
      <c r="L728" s="1" t="s">
        <v>2305</v>
      </c>
      <c r="M728" s="1" t="s">
        <v>83</v>
      </c>
      <c r="N728" s="1" t="s">
        <v>2829</v>
      </c>
      <c r="O728" s="1" t="s">
        <v>6834</v>
      </c>
      <c r="P728" s="1" t="s">
        <v>50</v>
      </c>
      <c r="Q728" s="1" t="s">
        <v>6835</v>
      </c>
      <c r="R728" s="1" t="s">
        <v>6836</v>
      </c>
      <c r="S728" s="1" t="s">
        <v>6837</v>
      </c>
      <c r="T728" s="1" t="s">
        <v>138</v>
      </c>
      <c r="U728" s="1" t="s">
        <v>130</v>
      </c>
    </row>
    <row r="729" customFormat="false" ht="15" hidden="false" customHeight="true" outlineLevel="0" collapsed="false">
      <c r="A729" s="1" t="s">
        <v>2306</v>
      </c>
      <c r="B729" s="1" t="s">
        <v>6838</v>
      </c>
      <c r="C729" s="1" t="s">
        <v>6838</v>
      </c>
      <c r="D729" s="1" t="s">
        <v>2307</v>
      </c>
      <c r="E729" s="1" t="s">
        <v>155</v>
      </c>
      <c r="F729" s="1" t="s">
        <v>58</v>
      </c>
      <c r="G729" s="1" t="s">
        <v>59</v>
      </c>
      <c r="H729" s="1" t="s">
        <v>196</v>
      </c>
      <c r="I729" s="1" t="s">
        <v>197</v>
      </c>
      <c r="J729" s="1" t="s">
        <v>99</v>
      </c>
      <c r="K729" s="1" t="s">
        <v>100</v>
      </c>
      <c r="L729" s="1" t="s">
        <v>2308</v>
      </c>
      <c r="M729" s="1" t="s">
        <v>49</v>
      </c>
      <c r="N729" s="1" t="s">
        <v>2861</v>
      </c>
      <c r="O729" s="1" t="s">
        <v>6839</v>
      </c>
      <c r="P729" s="1" t="s">
        <v>128</v>
      </c>
      <c r="Q729" s="1" t="s">
        <v>6840</v>
      </c>
      <c r="R729" s="1" t="s">
        <v>6841</v>
      </c>
      <c r="S729" s="1" t="s">
        <v>6842</v>
      </c>
      <c r="T729" s="1" t="s">
        <v>52</v>
      </c>
      <c r="U729" s="1" t="s">
        <v>53</v>
      </c>
    </row>
    <row r="730" customFormat="false" ht="15" hidden="false" customHeight="true" outlineLevel="0" collapsed="false">
      <c r="A730" s="1" t="s">
        <v>2309</v>
      </c>
      <c r="B730" s="1" t="s">
        <v>6438</v>
      </c>
      <c r="C730" s="1" t="s">
        <v>4886</v>
      </c>
      <c r="D730" s="1" t="s">
        <v>2310</v>
      </c>
      <c r="E730" s="1" t="s">
        <v>159</v>
      </c>
      <c r="F730" s="1" t="s">
        <v>58</v>
      </c>
      <c r="G730" s="1" t="s">
        <v>78</v>
      </c>
      <c r="H730" s="1" t="s">
        <v>206</v>
      </c>
      <c r="I730" s="1" t="s">
        <v>207</v>
      </c>
      <c r="J730" s="1" t="s">
        <v>99</v>
      </c>
      <c r="K730" s="1" t="s">
        <v>308</v>
      </c>
      <c r="L730" s="1" t="s">
        <v>2311</v>
      </c>
      <c r="M730" s="1" t="s">
        <v>72</v>
      </c>
      <c r="N730" s="1" t="s">
        <v>2836</v>
      </c>
      <c r="O730" s="1" t="s">
        <v>6843</v>
      </c>
      <c r="P730" s="1" t="s">
        <v>107</v>
      </c>
      <c r="Q730" s="1" t="s">
        <v>6844</v>
      </c>
      <c r="R730" s="1" t="s">
        <v>6845</v>
      </c>
      <c r="S730" s="1" t="s">
        <v>6846</v>
      </c>
      <c r="T730" s="1" t="s">
        <v>52</v>
      </c>
      <c r="U730" s="1" t="s">
        <v>53</v>
      </c>
    </row>
    <row r="731" customFormat="false" ht="15" hidden="false" customHeight="true" outlineLevel="0" collapsed="false">
      <c r="A731" s="1" t="s">
        <v>2312</v>
      </c>
      <c r="B731" s="1" t="s">
        <v>2853</v>
      </c>
      <c r="C731" s="1" t="s">
        <v>2854</v>
      </c>
      <c r="D731" s="1" t="s">
        <v>2313</v>
      </c>
      <c r="E731" s="1" t="s">
        <v>87</v>
      </c>
      <c r="F731" s="1" t="s">
        <v>116</v>
      </c>
      <c r="G731" s="1" t="s">
        <v>78</v>
      </c>
      <c r="H731" s="1" t="s">
        <v>281</v>
      </c>
      <c r="I731" s="1" t="s">
        <v>282</v>
      </c>
      <c r="J731" s="1" t="s">
        <v>99</v>
      </c>
      <c r="K731" s="1" t="s">
        <v>308</v>
      </c>
      <c r="L731" s="1" t="s">
        <v>2314</v>
      </c>
      <c r="M731" s="1" t="s">
        <v>65</v>
      </c>
      <c r="N731" s="1" t="s">
        <v>2815</v>
      </c>
      <c r="O731" s="1" t="s">
        <v>2855</v>
      </c>
      <c r="P731" s="1" t="s">
        <v>107</v>
      </c>
      <c r="Q731" s="1" t="s">
        <v>2856</v>
      </c>
      <c r="R731" s="1" t="s">
        <v>2857</v>
      </c>
      <c r="S731" s="1" t="s">
        <v>2858</v>
      </c>
      <c r="T731" s="1" t="s">
        <v>52</v>
      </c>
      <c r="U731" s="1" t="s">
        <v>53</v>
      </c>
    </row>
    <row r="732" customFormat="false" ht="15" hidden="false" customHeight="true" outlineLevel="0" collapsed="false">
      <c r="A732" s="1" t="s">
        <v>2315</v>
      </c>
      <c r="B732" s="1" t="s">
        <v>6847</v>
      </c>
      <c r="C732" s="1" t="s">
        <v>6748</v>
      </c>
      <c r="D732" s="1" t="s">
        <v>2316</v>
      </c>
      <c r="E732" s="1" t="s">
        <v>77</v>
      </c>
      <c r="F732" s="1" t="s">
        <v>41</v>
      </c>
      <c r="G732" s="1" t="s">
        <v>59</v>
      </c>
      <c r="H732" s="1" t="s">
        <v>125</v>
      </c>
      <c r="I732" s="1" t="s">
        <v>126</v>
      </c>
      <c r="J732" s="1" t="s">
        <v>46</v>
      </c>
      <c r="K732" s="1" t="s">
        <v>70</v>
      </c>
      <c r="L732" s="1" t="s">
        <v>2317</v>
      </c>
      <c r="M732" s="1" t="s">
        <v>49</v>
      </c>
      <c r="N732" s="1" t="s">
        <v>2937</v>
      </c>
      <c r="O732" s="1" t="s">
        <v>6848</v>
      </c>
      <c r="P732" s="1" t="s">
        <v>107</v>
      </c>
      <c r="Q732" s="1" t="s">
        <v>6849</v>
      </c>
      <c r="R732" s="1" t="s">
        <v>6850</v>
      </c>
      <c r="S732" s="1" t="s">
        <v>6851</v>
      </c>
      <c r="T732" s="1" t="s">
        <v>129</v>
      </c>
      <c r="U732" s="1" t="s">
        <v>130</v>
      </c>
    </row>
    <row r="733" customFormat="false" ht="15" hidden="false" customHeight="true" outlineLevel="0" collapsed="false">
      <c r="A733" s="1" t="s">
        <v>2318</v>
      </c>
      <c r="B733" s="1" t="s">
        <v>6852</v>
      </c>
      <c r="C733" s="1" t="s">
        <v>6853</v>
      </c>
      <c r="D733" s="1" t="s">
        <v>2319</v>
      </c>
      <c r="E733" s="1" t="s">
        <v>87</v>
      </c>
      <c r="F733" s="1" t="s">
        <v>116</v>
      </c>
      <c r="G733" s="1" t="s">
        <v>59</v>
      </c>
      <c r="H733" s="1" t="s">
        <v>60</v>
      </c>
      <c r="I733" s="1" t="s">
        <v>61</v>
      </c>
      <c r="J733" s="1" t="s">
        <v>46</v>
      </c>
      <c r="K733" s="1" t="s">
        <v>183</v>
      </c>
      <c r="L733" s="1" t="s">
        <v>2320</v>
      </c>
      <c r="M733" s="1" t="s">
        <v>72</v>
      </c>
      <c r="N733" s="1" t="s">
        <v>2937</v>
      </c>
      <c r="O733" s="1" t="s">
        <v>6854</v>
      </c>
      <c r="P733" s="1" t="s">
        <v>203</v>
      </c>
      <c r="Q733" s="1" t="s">
        <v>6855</v>
      </c>
      <c r="R733" s="1" t="s">
        <v>6856</v>
      </c>
      <c r="S733" s="1" t="s">
        <v>6857</v>
      </c>
      <c r="T733" s="1" t="s">
        <v>52</v>
      </c>
      <c r="U733" s="1" t="s">
        <v>53</v>
      </c>
    </row>
    <row r="734" customFormat="false" ht="15" hidden="false" customHeight="true" outlineLevel="0" collapsed="false">
      <c r="A734" s="1" t="s">
        <v>2321</v>
      </c>
      <c r="B734" s="1" t="s">
        <v>6858</v>
      </c>
      <c r="C734" s="1" t="s">
        <v>6160</v>
      </c>
      <c r="D734" s="1" t="s">
        <v>2322</v>
      </c>
      <c r="E734" s="1" t="s">
        <v>77</v>
      </c>
      <c r="F734" s="1" t="s">
        <v>58</v>
      </c>
      <c r="G734" s="1" t="s">
        <v>42</v>
      </c>
      <c r="H734" s="1" t="s">
        <v>149</v>
      </c>
      <c r="I734" s="1" t="s">
        <v>150</v>
      </c>
      <c r="J734" s="1" t="s">
        <v>99</v>
      </c>
      <c r="K734" s="1" t="s">
        <v>201</v>
      </c>
      <c r="L734" s="1" t="s">
        <v>2323</v>
      </c>
      <c r="M734" s="1" t="s">
        <v>83</v>
      </c>
      <c r="N734" s="1" t="s">
        <v>2815</v>
      </c>
      <c r="O734" s="1" t="s">
        <v>6859</v>
      </c>
      <c r="P734" s="1" t="s">
        <v>66</v>
      </c>
      <c r="Q734" s="1" t="s">
        <v>6860</v>
      </c>
      <c r="R734" s="1" t="s">
        <v>6861</v>
      </c>
      <c r="S734" s="1" t="s">
        <v>6862</v>
      </c>
      <c r="T734" s="1" t="s">
        <v>52</v>
      </c>
      <c r="U734" s="1" t="s">
        <v>53</v>
      </c>
    </row>
    <row r="735" customFormat="false" ht="15" hidden="false" customHeight="true" outlineLevel="0" collapsed="false">
      <c r="A735" s="1" t="s">
        <v>2324</v>
      </c>
      <c r="B735" s="1" t="s">
        <v>4971</v>
      </c>
      <c r="C735" s="1" t="s">
        <v>6863</v>
      </c>
      <c r="D735" s="1" t="s">
        <v>2325</v>
      </c>
      <c r="E735" s="1" t="s">
        <v>155</v>
      </c>
      <c r="F735" s="1" t="s">
        <v>121</v>
      </c>
      <c r="G735" s="1" t="s">
        <v>42</v>
      </c>
      <c r="H735" s="1" t="s">
        <v>44</v>
      </c>
      <c r="I735" s="1" t="s">
        <v>45</v>
      </c>
      <c r="J735" s="1" t="s">
        <v>62</v>
      </c>
      <c r="K735" s="1" t="s">
        <v>81</v>
      </c>
      <c r="L735" s="1" t="s">
        <v>2326</v>
      </c>
      <c r="M735" s="1" t="s">
        <v>72</v>
      </c>
      <c r="N735" s="1" t="s">
        <v>2899</v>
      </c>
      <c r="O735" s="1" t="s">
        <v>6864</v>
      </c>
      <c r="P735" s="1" t="s">
        <v>66</v>
      </c>
      <c r="Q735" s="1" t="s">
        <v>6865</v>
      </c>
      <c r="R735" s="1" t="s">
        <v>6866</v>
      </c>
      <c r="S735" s="1" t="s">
        <v>6867</v>
      </c>
      <c r="T735" s="1" t="s">
        <v>52</v>
      </c>
      <c r="U735" s="1" t="s">
        <v>53</v>
      </c>
    </row>
    <row r="736" customFormat="false" ht="15" hidden="false" customHeight="true" outlineLevel="0" collapsed="false">
      <c r="A736" s="1" t="s">
        <v>2327</v>
      </c>
      <c r="B736" s="1" t="s">
        <v>6868</v>
      </c>
      <c r="C736" s="1" t="s">
        <v>6868</v>
      </c>
      <c r="D736" s="1" t="s">
        <v>2328</v>
      </c>
      <c r="E736" s="1" t="s">
        <v>87</v>
      </c>
      <c r="F736" s="1" t="s">
        <v>58</v>
      </c>
      <c r="G736" s="1" t="s">
        <v>42</v>
      </c>
      <c r="H736" s="1" t="s">
        <v>44</v>
      </c>
      <c r="I736" s="1" t="s">
        <v>45</v>
      </c>
      <c r="J736" s="1" t="s">
        <v>99</v>
      </c>
      <c r="K736" s="1" t="s">
        <v>100</v>
      </c>
      <c r="L736" s="1" t="s">
        <v>2329</v>
      </c>
      <c r="M736" s="1" t="s">
        <v>72</v>
      </c>
      <c r="N736" s="1" t="s">
        <v>2937</v>
      </c>
      <c r="O736" s="1" t="s">
        <v>6869</v>
      </c>
      <c r="P736" s="1" t="s">
        <v>50</v>
      </c>
      <c r="Q736" s="1" t="s">
        <v>6870</v>
      </c>
      <c r="R736" s="1" t="s">
        <v>6871</v>
      </c>
      <c r="S736" s="1" t="s">
        <v>6872</v>
      </c>
      <c r="T736" s="1" t="s">
        <v>52</v>
      </c>
      <c r="U736" s="1" t="s">
        <v>53</v>
      </c>
    </row>
    <row r="737" customFormat="false" ht="15" hidden="false" customHeight="true" outlineLevel="0" collapsed="false">
      <c r="A737" s="1" t="s">
        <v>2330</v>
      </c>
      <c r="B737" s="1" t="s">
        <v>6873</v>
      </c>
      <c r="C737" s="1" t="s">
        <v>6206</v>
      </c>
      <c r="D737" s="1" t="s">
        <v>2331</v>
      </c>
      <c r="E737" s="1" t="s">
        <v>57</v>
      </c>
      <c r="F737" s="1" t="s">
        <v>41</v>
      </c>
      <c r="G737" s="1" t="s">
        <v>88</v>
      </c>
      <c r="H737" s="1" t="s">
        <v>89</v>
      </c>
      <c r="I737" s="1" t="s">
        <v>90</v>
      </c>
      <c r="J737" s="1" t="s">
        <v>62</v>
      </c>
      <c r="K737" s="1" t="s">
        <v>63</v>
      </c>
      <c r="L737" s="1" t="s">
        <v>2332</v>
      </c>
      <c r="M737" s="1" t="s">
        <v>83</v>
      </c>
      <c r="N737" s="1" t="s">
        <v>2815</v>
      </c>
      <c r="O737" s="1" t="s">
        <v>6874</v>
      </c>
      <c r="P737" s="1" t="s">
        <v>50</v>
      </c>
      <c r="Q737" s="1" t="s">
        <v>6875</v>
      </c>
      <c r="R737" s="1" t="s">
        <v>6876</v>
      </c>
      <c r="S737" s="1" t="s">
        <v>6877</v>
      </c>
      <c r="T737" s="1" t="s">
        <v>52</v>
      </c>
      <c r="U737" s="1" t="s">
        <v>53</v>
      </c>
    </row>
    <row r="738" customFormat="false" ht="15" hidden="false" customHeight="true" outlineLevel="0" collapsed="false">
      <c r="A738" s="1" t="s">
        <v>2333</v>
      </c>
      <c r="B738" s="1" t="s">
        <v>6160</v>
      </c>
      <c r="C738" s="1" t="s">
        <v>6878</v>
      </c>
      <c r="D738" s="1" t="s">
        <v>2334</v>
      </c>
      <c r="E738" s="1" t="s">
        <v>115</v>
      </c>
      <c r="F738" s="1" t="s">
        <v>41</v>
      </c>
      <c r="G738" s="1" t="s">
        <v>88</v>
      </c>
      <c r="H738" s="1" t="s">
        <v>89</v>
      </c>
      <c r="I738" s="1" t="s">
        <v>90</v>
      </c>
      <c r="J738" s="1" t="s">
        <v>62</v>
      </c>
      <c r="K738" s="1" t="s">
        <v>91</v>
      </c>
      <c r="L738" s="1" t="s">
        <v>2335</v>
      </c>
      <c r="M738" s="1" t="s">
        <v>49</v>
      </c>
      <c r="N738" s="1" t="s">
        <v>2899</v>
      </c>
      <c r="O738" s="1" t="s">
        <v>6879</v>
      </c>
      <c r="P738" s="1" t="s">
        <v>203</v>
      </c>
      <c r="Q738" s="1" t="s">
        <v>6880</v>
      </c>
      <c r="R738" s="1" t="s">
        <v>6881</v>
      </c>
      <c r="S738" s="1" t="s">
        <v>6882</v>
      </c>
      <c r="T738" s="1" t="s">
        <v>52</v>
      </c>
      <c r="U738" s="1" t="s">
        <v>53</v>
      </c>
    </row>
    <row r="739" customFormat="false" ht="15" hidden="false" customHeight="true" outlineLevel="0" collapsed="false">
      <c r="A739" s="1" t="s">
        <v>2336</v>
      </c>
      <c r="B739" s="1" t="s">
        <v>5470</v>
      </c>
      <c r="C739" s="1" t="s">
        <v>2904</v>
      </c>
      <c r="D739" s="1" t="s">
        <v>2337</v>
      </c>
      <c r="E739" s="1" t="s">
        <v>69</v>
      </c>
      <c r="F739" s="1" t="s">
        <v>121</v>
      </c>
      <c r="G739" s="1" t="s">
        <v>88</v>
      </c>
      <c r="H739" s="1" t="s">
        <v>89</v>
      </c>
      <c r="I739" s="1" t="s">
        <v>90</v>
      </c>
      <c r="J739" s="1" t="s">
        <v>62</v>
      </c>
      <c r="K739" s="1" t="s">
        <v>91</v>
      </c>
      <c r="L739" s="1" t="s">
        <v>2338</v>
      </c>
      <c r="M739" s="1" t="s">
        <v>65</v>
      </c>
      <c r="N739" s="1" t="s">
        <v>2815</v>
      </c>
      <c r="O739" s="1" t="s">
        <v>6883</v>
      </c>
      <c r="P739" s="1" t="s">
        <v>66</v>
      </c>
      <c r="Q739" s="1" t="s">
        <v>6884</v>
      </c>
      <c r="R739" s="1" t="s">
        <v>6885</v>
      </c>
      <c r="S739" s="1" t="s">
        <v>6886</v>
      </c>
      <c r="T739" s="1" t="s">
        <v>52</v>
      </c>
      <c r="U739" s="1" t="s">
        <v>53</v>
      </c>
    </row>
    <row r="740" customFormat="false" ht="15" hidden="false" customHeight="true" outlineLevel="0" collapsed="false">
      <c r="A740" s="1" t="s">
        <v>2339</v>
      </c>
      <c r="B740" s="1" t="s">
        <v>4650</v>
      </c>
      <c r="C740" s="1" t="s">
        <v>6887</v>
      </c>
      <c r="D740" s="1" t="s">
        <v>2340</v>
      </c>
      <c r="E740" s="1" t="s">
        <v>141</v>
      </c>
      <c r="F740" s="1" t="s">
        <v>116</v>
      </c>
      <c r="G740" s="1" t="s">
        <v>78</v>
      </c>
      <c r="H740" s="1" t="s">
        <v>216</v>
      </c>
      <c r="I740" s="1" t="s">
        <v>217</v>
      </c>
      <c r="J740" s="1" t="s">
        <v>46</v>
      </c>
      <c r="K740" s="1" t="s">
        <v>47</v>
      </c>
      <c r="L740" s="1" t="s">
        <v>2341</v>
      </c>
      <c r="M740" s="1" t="s">
        <v>72</v>
      </c>
      <c r="N740" s="1" t="s">
        <v>2836</v>
      </c>
      <c r="O740" s="1" t="s">
        <v>6888</v>
      </c>
      <c r="P740" s="1" t="s">
        <v>66</v>
      </c>
      <c r="Q740" s="1" t="s">
        <v>6888</v>
      </c>
      <c r="R740" s="1" t="s">
        <v>6889</v>
      </c>
      <c r="S740" s="1" t="s">
        <v>6890</v>
      </c>
      <c r="T740" s="1" t="s">
        <v>52</v>
      </c>
      <c r="U740" s="1" t="s">
        <v>53</v>
      </c>
    </row>
    <row r="741" customFormat="false" ht="15" hidden="false" customHeight="true" outlineLevel="0" collapsed="false">
      <c r="A741" s="1" t="s">
        <v>2342</v>
      </c>
      <c r="B741" s="1" t="s">
        <v>6891</v>
      </c>
      <c r="C741" s="1" t="s">
        <v>6892</v>
      </c>
      <c r="D741" s="1" t="s">
        <v>2343</v>
      </c>
      <c r="E741" s="1" t="s">
        <v>104</v>
      </c>
      <c r="F741" s="1" t="s">
        <v>116</v>
      </c>
      <c r="G741" s="1" t="s">
        <v>42</v>
      </c>
      <c r="H741" s="1" t="s">
        <v>44</v>
      </c>
      <c r="I741" s="1" t="s">
        <v>45</v>
      </c>
      <c r="J741" s="1" t="s">
        <v>99</v>
      </c>
      <c r="K741" s="1" t="s">
        <v>201</v>
      </c>
      <c r="L741" s="1" t="s">
        <v>2344</v>
      </c>
      <c r="M741" s="1" t="s">
        <v>83</v>
      </c>
      <c r="N741" s="1" t="s">
        <v>2829</v>
      </c>
      <c r="O741" s="1" t="s">
        <v>6893</v>
      </c>
      <c r="P741" s="1" t="s">
        <v>128</v>
      </c>
      <c r="Q741" s="1" t="s">
        <v>6894</v>
      </c>
      <c r="R741" s="1" t="s">
        <v>6895</v>
      </c>
      <c r="S741" s="1" t="s">
        <v>6896</v>
      </c>
      <c r="T741" s="1" t="s">
        <v>52</v>
      </c>
      <c r="U741" s="1" t="s">
        <v>53</v>
      </c>
    </row>
    <row r="742" customFormat="false" ht="15" hidden="false" customHeight="true" outlineLevel="0" collapsed="false">
      <c r="A742" s="1" t="s">
        <v>2345</v>
      </c>
      <c r="B742" s="1" t="s">
        <v>6897</v>
      </c>
      <c r="C742" s="1" t="s">
        <v>5372</v>
      </c>
      <c r="D742" s="1" t="s">
        <v>559</v>
      </c>
      <c r="E742" s="1" t="s">
        <v>159</v>
      </c>
      <c r="F742" s="1" t="s">
        <v>58</v>
      </c>
      <c r="G742" s="1" t="s">
        <v>88</v>
      </c>
      <c r="H742" s="1" t="s">
        <v>89</v>
      </c>
      <c r="I742" s="1" t="s">
        <v>90</v>
      </c>
      <c r="J742" s="1" t="s">
        <v>62</v>
      </c>
      <c r="K742" s="1" t="s">
        <v>91</v>
      </c>
      <c r="L742" s="1" t="s">
        <v>2346</v>
      </c>
      <c r="M742" s="1" t="s">
        <v>72</v>
      </c>
      <c r="N742" s="1" t="s">
        <v>2937</v>
      </c>
      <c r="O742" s="1" t="s">
        <v>6898</v>
      </c>
      <c r="P742" s="1" t="s">
        <v>203</v>
      </c>
      <c r="Q742" s="1" t="s">
        <v>6899</v>
      </c>
      <c r="R742" s="1" t="s">
        <v>6900</v>
      </c>
      <c r="S742" s="1" t="s">
        <v>6901</v>
      </c>
      <c r="T742" s="1" t="s">
        <v>52</v>
      </c>
      <c r="U742" s="1" t="s">
        <v>53</v>
      </c>
    </row>
    <row r="743" customFormat="false" ht="15" hidden="false" customHeight="true" outlineLevel="0" collapsed="false">
      <c r="A743" s="1" t="s">
        <v>2347</v>
      </c>
      <c r="B743" s="1" t="s">
        <v>6902</v>
      </c>
      <c r="C743" s="1" t="s">
        <v>6903</v>
      </c>
      <c r="D743" s="1" t="s">
        <v>2348</v>
      </c>
      <c r="E743" s="1" t="s">
        <v>69</v>
      </c>
      <c r="F743" s="1" t="s">
        <v>121</v>
      </c>
      <c r="G743" s="1" t="s">
        <v>78</v>
      </c>
      <c r="H743" s="1" t="s">
        <v>281</v>
      </c>
      <c r="I743" s="1" t="s">
        <v>282</v>
      </c>
      <c r="J743" s="1" t="s">
        <v>62</v>
      </c>
      <c r="K743" s="1" t="s">
        <v>91</v>
      </c>
      <c r="L743" s="1" t="s">
        <v>2349</v>
      </c>
      <c r="M743" s="1" t="s">
        <v>49</v>
      </c>
      <c r="N743" s="1" t="s">
        <v>2822</v>
      </c>
      <c r="O743" s="1" t="s">
        <v>6904</v>
      </c>
      <c r="Q743" s="1" t="s">
        <v>6905</v>
      </c>
      <c r="R743" s="1" t="s">
        <v>6906</v>
      </c>
      <c r="S743" s="1" t="s">
        <v>6907</v>
      </c>
      <c r="T743" s="1" t="s">
        <v>52</v>
      </c>
      <c r="U743" s="1" t="s">
        <v>93</v>
      </c>
    </row>
    <row r="744" customFormat="false" ht="15" hidden="false" customHeight="true" outlineLevel="0" collapsed="false">
      <c r="A744" s="1" t="s">
        <v>2350</v>
      </c>
      <c r="B744" s="1" t="s">
        <v>6908</v>
      </c>
      <c r="C744" s="1" t="s">
        <v>6909</v>
      </c>
      <c r="D744" s="1" t="s">
        <v>2351</v>
      </c>
      <c r="E744" s="1" t="s">
        <v>40</v>
      </c>
      <c r="F744" s="1" t="s">
        <v>116</v>
      </c>
      <c r="G744" s="1" t="s">
        <v>6910</v>
      </c>
      <c r="H744" s="1" t="s">
        <v>60</v>
      </c>
      <c r="I744" s="1" t="s">
        <v>61</v>
      </c>
      <c r="J744" s="1" t="s">
        <v>46</v>
      </c>
      <c r="K744" s="1" t="s">
        <v>47</v>
      </c>
      <c r="L744" s="1" t="s">
        <v>2352</v>
      </c>
      <c r="M744" s="1" t="s">
        <v>83</v>
      </c>
      <c r="N744" s="1" t="s">
        <v>2937</v>
      </c>
      <c r="O744" s="1" t="s">
        <v>6911</v>
      </c>
      <c r="P744" s="1" t="s">
        <v>66</v>
      </c>
      <c r="Q744" s="1" t="s">
        <v>6912</v>
      </c>
      <c r="R744" s="1" t="s">
        <v>6913</v>
      </c>
      <c r="S744" s="1" t="s">
        <v>6914</v>
      </c>
      <c r="T744" s="1" t="s">
        <v>52</v>
      </c>
      <c r="U744" s="1" t="s">
        <v>53</v>
      </c>
    </row>
    <row r="745" customFormat="false" ht="15" hidden="false" customHeight="true" outlineLevel="0" collapsed="false">
      <c r="A745" s="1" t="s">
        <v>2353</v>
      </c>
      <c r="B745" s="1" t="s">
        <v>4459</v>
      </c>
      <c r="C745" s="1" t="s">
        <v>5101</v>
      </c>
      <c r="D745" s="1" t="s">
        <v>2354</v>
      </c>
      <c r="E745" s="1" t="s">
        <v>159</v>
      </c>
      <c r="F745" s="1" t="s">
        <v>41</v>
      </c>
      <c r="G745" s="1" t="s">
        <v>42</v>
      </c>
      <c r="H745" s="1" t="s">
        <v>163</v>
      </c>
      <c r="I745" s="1" t="s">
        <v>164</v>
      </c>
      <c r="J745" s="1" t="s">
        <v>46</v>
      </c>
      <c r="K745" s="1" t="s">
        <v>70</v>
      </c>
      <c r="L745" s="1" t="s">
        <v>2355</v>
      </c>
      <c r="M745" s="1" t="s">
        <v>83</v>
      </c>
      <c r="N745" s="1" t="s">
        <v>2815</v>
      </c>
      <c r="O745" s="1" t="s">
        <v>6915</v>
      </c>
      <c r="P745" s="1" t="s">
        <v>84</v>
      </c>
      <c r="Q745" s="1" t="s">
        <v>6916</v>
      </c>
      <c r="R745" s="1" t="s">
        <v>6917</v>
      </c>
      <c r="S745" s="1" t="s">
        <v>6918</v>
      </c>
      <c r="T745" s="1" t="s">
        <v>52</v>
      </c>
      <c r="U745" s="1" t="s">
        <v>53</v>
      </c>
    </row>
    <row r="746" customFormat="false" ht="15" hidden="false" customHeight="true" outlineLevel="0" collapsed="false">
      <c r="A746" s="1" t="s">
        <v>2356</v>
      </c>
      <c r="B746" s="1" t="s">
        <v>6919</v>
      </c>
      <c r="C746" s="1" t="s">
        <v>4535</v>
      </c>
      <c r="D746" s="1" t="s">
        <v>2357</v>
      </c>
      <c r="E746" s="1" t="s">
        <v>57</v>
      </c>
      <c r="F746" s="1" t="s">
        <v>121</v>
      </c>
      <c r="G746" s="1" t="s">
        <v>42</v>
      </c>
      <c r="H746" s="1" t="s">
        <v>149</v>
      </c>
      <c r="I746" s="1" t="s">
        <v>150</v>
      </c>
      <c r="J746" s="1" t="s">
        <v>46</v>
      </c>
      <c r="K746" s="1" t="s">
        <v>183</v>
      </c>
      <c r="L746" s="1" t="s">
        <v>2358</v>
      </c>
      <c r="M746" s="1" t="s">
        <v>72</v>
      </c>
      <c r="N746" s="1" t="s">
        <v>2829</v>
      </c>
      <c r="O746" s="1" t="s">
        <v>6920</v>
      </c>
      <c r="P746" s="1" t="s">
        <v>203</v>
      </c>
      <c r="Q746" s="1" t="s">
        <v>6921</v>
      </c>
      <c r="R746" s="1" t="s">
        <v>6922</v>
      </c>
      <c r="S746" s="1" t="s">
        <v>6923</v>
      </c>
      <c r="T746" s="1" t="s">
        <v>52</v>
      </c>
      <c r="U746" s="1" t="s">
        <v>93</v>
      </c>
    </row>
    <row r="747" customFormat="false" ht="15" hidden="false" customHeight="true" outlineLevel="0" collapsed="false">
      <c r="A747" s="1" t="s">
        <v>2359</v>
      </c>
      <c r="B747" s="1" t="s">
        <v>6924</v>
      </c>
      <c r="C747" s="1" t="s">
        <v>6925</v>
      </c>
      <c r="D747" s="1" t="s">
        <v>2360</v>
      </c>
      <c r="E747" s="1" t="s">
        <v>57</v>
      </c>
      <c r="F747" s="1" t="s">
        <v>58</v>
      </c>
      <c r="G747" s="1" t="s">
        <v>59</v>
      </c>
      <c r="H747" s="1" t="s">
        <v>196</v>
      </c>
      <c r="I747" s="1" t="s">
        <v>197</v>
      </c>
      <c r="J747" s="1" t="s">
        <v>99</v>
      </c>
      <c r="K747" s="1" t="s">
        <v>105</v>
      </c>
      <c r="L747" s="1" t="s">
        <v>2361</v>
      </c>
      <c r="M747" s="1" t="s">
        <v>83</v>
      </c>
      <c r="N747" s="1" t="s">
        <v>2822</v>
      </c>
      <c r="O747" s="1" t="s">
        <v>6926</v>
      </c>
      <c r="P747" s="1" t="s">
        <v>50</v>
      </c>
      <c r="Q747" s="1" t="s">
        <v>6927</v>
      </c>
      <c r="R747" s="1" t="s">
        <v>6928</v>
      </c>
      <c r="S747" s="1" t="s">
        <v>6929</v>
      </c>
      <c r="T747" s="1" t="s">
        <v>52</v>
      </c>
      <c r="U747" s="1" t="s">
        <v>53</v>
      </c>
    </row>
    <row r="748" customFormat="false" ht="15" hidden="false" customHeight="true" outlineLevel="0" collapsed="false">
      <c r="A748" s="1" t="s">
        <v>2362</v>
      </c>
      <c r="B748" s="1" t="s">
        <v>4398</v>
      </c>
      <c r="C748" s="1" t="s">
        <v>6930</v>
      </c>
      <c r="D748" s="1" t="s">
        <v>2069</v>
      </c>
      <c r="E748" s="1" t="s">
        <v>155</v>
      </c>
      <c r="F748" s="1" t="s">
        <v>121</v>
      </c>
      <c r="G748" s="1" t="s">
        <v>59</v>
      </c>
      <c r="H748" s="1" t="s">
        <v>125</v>
      </c>
      <c r="I748" s="1" t="s">
        <v>126</v>
      </c>
      <c r="J748" s="1" t="s">
        <v>46</v>
      </c>
      <c r="K748" s="1" t="s">
        <v>47</v>
      </c>
      <c r="L748" s="1" t="s">
        <v>2363</v>
      </c>
      <c r="M748" s="1" t="s">
        <v>83</v>
      </c>
      <c r="N748" s="1" t="s">
        <v>2937</v>
      </c>
      <c r="O748" s="1" t="s">
        <v>6931</v>
      </c>
      <c r="P748" s="1" t="s">
        <v>50</v>
      </c>
      <c r="Q748" s="1" t="s">
        <v>6932</v>
      </c>
      <c r="R748" s="1" t="s">
        <v>6933</v>
      </c>
      <c r="S748" s="1" t="s">
        <v>6934</v>
      </c>
      <c r="T748" s="1" t="s">
        <v>52</v>
      </c>
      <c r="U748" s="1" t="s">
        <v>53</v>
      </c>
    </row>
    <row r="749" customFormat="false" ht="15" hidden="false" customHeight="true" outlineLevel="0" collapsed="false">
      <c r="A749" s="1" t="s">
        <v>2364</v>
      </c>
      <c r="B749" s="1" t="s">
        <v>6935</v>
      </c>
      <c r="C749" s="1" t="s">
        <v>6936</v>
      </c>
      <c r="D749" s="1" t="s">
        <v>2365</v>
      </c>
      <c r="E749" s="1" t="s">
        <v>69</v>
      </c>
      <c r="F749" s="1" t="s">
        <v>121</v>
      </c>
      <c r="G749" s="1" t="s">
        <v>59</v>
      </c>
      <c r="H749" s="1" t="s">
        <v>60</v>
      </c>
      <c r="I749" s="1" t="s">
        <v>61</v>
      </c>
      <c r="J749" s="1" t="s">
        <v>46</v>
      </c>
      <c r="K749" s="1" t="s">
        <v>47</v>
      </c>
      <c r="L749" s="1" t="s">
        <v>2366</v>
      </c>
      <c r="M749" s="1" t="s">
        <v>65</v>
      </c>
      <c r="N749" s="1" t="s">
        <v>2861</v>
      </c>
      <c r="O749" s="1" t="s">
        <v>6937</v>
      </c>
      <c r="P749" s="1" t="s">
        <v>107</v>
      </c>
      <c r="Q749" s="1" t="s">
        <v>6938</v>
      </c>
      <c r="R749" s="1" t="s">
        <v>6939</v>
      </c>
      <c r="S749" s="1" t="s">
        <v>6940</v>
      </c>
      <c r="T749" s="1" t="s">
        <v>52</v>
      </c>
      <c r="U749" s="1" t="s">
        <v>53</v>
      </c>
    </row>
    <row r="750" customFormat="false" ht="15" hidden="false" customHeight="true" outlineLevel="0" collapsed="false">
      <c r="A750" s="1" t="s">
        <v>2367</v>
      </c>
      <c r="B750" s="1" t="s">
        <v>6941</v>
      </c>
      <c r="C750" s="1" t="s">
        <v>6942</v>
      </c>
      <c r="D750" s="1" t="s">
        <v>2368</v>
      </c>
      <c r="E750" s="1" t="s">
        <v>192</v>
      </c>
      <c r="F750" s="1" t="s">
        <v>121</v>
      </c>
      <c r="G750" s="1" t="s">
        <v>42</v>
      </c>
      <c r="H750" s="1" t="s">
        <v>270</v>
      </c>
      <c r="I750" s="1" t="s">
        <v>271</v>
      </c>
      <c r="J750" s="1" t="s">
        <v>99</v>
      </c>
      <c r="K750" s="1" t="s">
        <v>201</v>
      </c>
      <c r="L750" s="1" t="s">
        <v>2369</v>
      </c>
      <c r="M750" s="1" t="s">
        <v>49</v>
      </c>
      <c r="N750" s="1" t="s">
        <v>2836</v>
      </c>
      <c r="O750" s="1" t="s">
        <v>6943</v>
      </c>
      <c r="P750" s="1" t="s">
        <v>84</v>
      </c>
      <c r="Q750" s="1" t="s">
        <v>6944</v>
      </c>
      <c r="R750" s="1" t="s">
        <v>6945</v>
      </c>
      <c r="S750" s="1" t="s">
        <v>6946</v>
      </c>
      <c r="T750" s="1" t="s">
        <v>52</v>
      </c>
      <c r="U750" s="1" t="s">
        <v>53</v>
      </c>
    </row>
    <row r="751" customFormat="false" ht="15" hidden="false" customHeight="true" outlineLevel="0" collapsed="false">
      <c r="A751" s="1" t="s">
        <v>2370</v>
      </c>
      <c r="B751" s="1" t="s">
        <v>6947</v>
      </c>
      <c r="C751" s="1" t="s">
        <v>6948</v>
      </c>
      <c r="D751" s="1" t="s">
        <v>2371</v>
      </c>
      <c r="E751" s="1" t="s">
        <v>115</v>
      </c>
      <c r="F751" s="1" t="s">
        <v>121</v>
      </c>
      <c r="G751" s="1" t="s">
        <v>59</v>
      </c>
      <c r="H751" s="1" t="s">
        <v>196</v>
      </c>
      <c r="I751" s="1" t="s">
        <v>197</v>
      </c>
      <c r="J751" s="1" t="s">
        <v>99</v>
      </c>
      <c r="K751" s="1" t="s">
        <v>308</v>
      </c>
      <c r="L751" s="1" t="s">
        <v>2372</v>
      </c>
      <c r="M751" s="1" t="s">
        <v>83</v>
      </c>
      <c r="N751" s="1" t="s">
        <v>2836</v>
      </c>
      <c r="O751" s="1" t="s">
        <v>6949</v>
      </c>
      <c r="P751" s="1" t="s">
        <v>107</v>
      </c>
      <c r="Q751" s="1" t="s">
        <v>6950</v>
      </c>
      <c r="R751" s="1" t="s">
        <v>6951</v>
      </c>
      <c r="S751" s="1" t="s">
        <v>6952</v>
      </c>
      <c r="T751" s="1" t="s">
        <v>52</v>
      </c>
      <c r="U751" s="1" t="s">
        <v>53</v>
      </c>
    </row>
    <row r="752" customFormat="false" ht="15" hidden="false" customHeight="true" outlineLevel="0" collapsed="false">
      <c r="A752" s="1" t="s">
        <v>2373</v>
      </c>
      <c r="B752" s="1" t="s">
        <v>6953</v>
      </c>
      <c r="C752" s="1" t="s">
        <v>3255</v>
      </c>
      <c r="D752" s="1" t="s">
        <v>2374</v>
      </c>
      <c r="E752" s="1" t="s">
        <v>155</v>
      </c>
      <c r="F752" s="1" t="s">
        <v>121</v>
      </c>
      <c r="G752" s="1" t="s">
        <v>78</v>
      </c>
      <c r="H752" s="1" t="s">
        <v>79</v>
      </c>
      <c r="I752" s="1" t="s">
        <v>80</v>
      </c>
      <c r="J752" s="1" t="s">
        <v>99</v>
      </c>
      <c r="K752" s="1" t="s">
        <v>100</v>
      </c>
      <c r="L752" s="1" t="s">
        <v>2375</v>
      </c>
      <c r="M752" s="1" t="s">
        <v>72</v>
      </c>
      <c r="N752" s="1" t="s">
        <v>2861</v>
      </c>
      <c r="O752" s="1" t="s">
        <v>6954</v>
      </c>
      <c r="P752" s="1" t="s">
        <v>107</v>
      </c>
      <c r="Q752" s="1" t="s">
        <v>6955</v>
      </c>
      <c r="R752" s="1" t="s">
        <v>6956</v>
      </c>
      <c r="S752" s="1" t="s">
        <v>6957</v>
      </c>
      <c r="T752" s="1" t="s">
        <v>52</v>
      </c>
      <c r="U752" s="1" t="s">
        <v>53</v>
      </c>
    </row>
    <row r="753" customFormat="false" ht="15" hidden="false" customHeight="true" outlineLevel="0" collapsed="false">
      <c r="A753" s="1" t="s">
        <v>2376</v>
      </c>
      <c r="B753" s="1" t="s">
        <v>3659</v>
      </c>
      <c r="C753" s="1" t="s">
        <v>6958</v>
      </c>
      <c r="D753" s="1" t="s">
        <v>2377</v>
      </c>
      <c r="E753" s="1" t="s">
        <v>141</v>
      </c>
      <c r="F753" s="1" t="s">
        <v>121</v>
      </c>
      <c r="H753" s="1" t="s">
        <v>163</v>
      </c>
      <c r="I753" s="1" t="s">
        <v>164</v>
      </c>
      <c r="J753" s="1" t="s">
        <v>99</v>
      </c>
      <c r="K753" s="1" t="s">
        <v>308</v>
      </c>
      <c r="L753" s="1" t="s">
        <v>2378</v>
      </c>
      <c r="N753" s="1" t="s">
        <v>2822</v>
      </c>
      <c r="O753" s="1" t="s">
        <v>6959</v>
      </c>
      <c r="P753" s="1" t="s">
        <v>128</v>
      </c>
      <c r="Q753" s="1" t="s">
        <v>6960</v>
      </c>
      <c r="R753" s="1" t="s">
        <v>6961</v>
      </c>
      <c r="S753" s="1" t="s">
        <v>6962</v>
      </c>
      <c r="T753" s="1" t="s">
        <v>52</v>
      </c>
      <c r="U753" s="1" t="s">
        <v>53</v>
      </c>
    </row>
    <row r="754" customFormat="false" ht="15" hidden="false" customHeight="true" outlineLevel="0" collapsed="false">
      <c r="A754" s="1" t="s">
        <v>2379</v>
      </c>
      <c r="B754" s="1" t="s">
        <v>5431</v>
      </c>
      <c r="C754" s="1" t="s">
        <v>6576</v>
      </c>
      <c r="D754" s="1" t="s">
        <v>2380</v>
      </c>
      <c r="E754" s="1" t="s">
        <v>115</v>
      </c>
      <c r="F754" s="1" t="s">
        <v>116</v>
      </c>
      <c r="G754" s="1" t="s">
        <v>88</v>
      </c>
      <c r="H754" s="1" t="s">
        <v>211</v>
      </c>
      <c r="I754" s="1" t="s">
        <v>212</v>
      </c>
      <c r="J754" s="1" t="s">
        <v>46</v>
      </c>
      <c r="K754" s="1" t="s">
        <v>151</v>
      </c>
      <c r="L754" s="1" t="s">
        <v>2381</v>
      </c>
      <c r="M754" s="1" t="s">
        <v>72</v>
      </c>
      <c r="N754" s="1" t="s">
        <v>2829</v>
      </c>
      <c r="O754" s="1" t="s">
        <v>6963</v>
      </c>
      <c r="P754" s="1" t="s">
        <v>128</v>
      </c>
      <c r="Q754" s="1" t="s">
        <v>6964</v>
      </c>
      <c r="R754" s="1" t="s">
        <v>6965</v>
      </c>
      <c r="S754" s="1" t="s">
        <v>6966</v>
      </c>
      <c r="T754" s="1" t="s">
        <v>52</v>
      </c>
      <c r="U754" s="1" t="s">
        <v>53</v>
      </c>
    </row>
    <row r="755" customFormat="false" ht="15" hidden="false" customHeight="true" outlineLevel="0" collapsed="false">
      <c r="A755" s="1" t="s">
        <v>2382</v>
      </c>
      <c r="B755" s="1" t="s">
        <v>5701</v>
      </c>
      <c r="C755" s="1" t="s">
        <v>6132</v>
      </c>
      <c r="D755" s="1" t="s">
        <v>2383</v>
      </c>
      <c r="E755" s="1" t="s">
        <v>115</v>
      </c>
      <c r="F755" s="1" t="s">
        <v>116</v>
      </c>
      <c r="G755" s="1" t="s">
        <v>42</v>
      </c>
      <c r="H755" s="1" t="s">
        <v>384</v>
      </c>
      <c r="I755" s="1" t="s">
        <v>385</v>
      </c>
      <c r="J755" s="1" t="s">
        <v>62</v>
      </c>
      <c r="K755" s="1" t="s">
        <v>81</v>
      </c>
      <c r="L755" s="1" t="s">
        <v>2384</v>
      </c>
      <c r="M755" s="1" t="s">
        <v>49</v>
      </c>
      <c r="N755" s="1" t="s">
        <v>2822</v>
      </c>
      <c r="O755" s="1" t="s">
        <v>6967</v>
      </c>
      <c r="P755" s="1" t="s">
        <v>107</v>
      </c>
      <c r="Q755" s="1" t="s">
        <v>6968</v>
      </c>
      <c r="R755" s="1" t="s">
        <v>6969</v>
      </c>
      <c r="S755" s="1" t="s">
        <v>6970</v>
      </c>
      <c r="T755" s="1" t="s">
        <v>185</v>
      </c>
      <c r="U755" s="1" t="s">
        <v>130</v>
      </c>
    </row>
    <row r="756" customFormat="false" ht="15" hidden="false" customHeight="true" outlineLevel="0" collapsed="false">
      <c r="A756" s="1" t="s">
        <v>2385</v>
      </c>
      <c r="B756" s="1" t="s">
        <v>6971</v>
      </c>
      <c r="C756" s="1" t="s">
        <v>6971</v>
      </c>
      <c r="D756" s="1" t="s">
        <v>2386</v>
      </c>
      <c r="E756" s="1" t="s">
        <v>104</v>
      </c>
      <c r="F756" s="1" t="s">
        <v>116</v>
      </c>
      <c r="G756" s="1" t="s">
        <v>78</v>
      </c>
      <c r="H756" s="1" t="s">
        <v>216</v>
      </c>
      <c r="I756" s="1" t="s">
        <v>217</v>
      </c>
      <c r="J756" s="1" t="s">
        <v>46</v>
      </c>
      <c r="K756" s="1" t="s">
        <v>151</v>
      </c>
      <c r="L756" s="1" t="s">
        <v>2387</v>
      </c>
      <c r="M756" s="1" t="s">
        <v>83</v>
      </c>
      <c r="N756" s="1" t="s">
        <v>2937</v>
      </c>
      <c r="O756" s="1" t="s">
        <v>6972</v>
      </c>
      <c r="P756" s="1" t="s">
        <v>84</v>
      </c>
      <c r="Q756" s="1" t="s">
        <v>6973</v>
      </c>
      <c r="R756" s="1" t="s">
        <v>6974</v>
      </c>
      <c r="S756" s="1" t="s">
        <v>6975</v>
      </c>
      <c r="T756" s="1" t="s">
        <v>52</v>
      </c>
      <c r="U756" s="1" t="s">
        <v>53</v>
      </c>
    </row>
    <row r="757" customFormat="false" ht="15" hidden="false" customHeight="true" outlineLevel="0" collapsed="false">
      <c r="A757" s="1" t="s">
        <v>2388</v>
      </c>
      <c r="B757" s="1" t="s">
        <v>4100</v>
      </c>
      <c r="C757" s="1" t="s">
        <v>4846</v>
      </c>
      <c r="D757" s="1" t="s">
        <v>2389</v>
      </c>
      <c r="E757" s="1" t="s">
        <v>141</v>
      </c>
      <c r="F757" s="1" t="s">
        <v>121</v>
      </c>
      <c r="G757" s="1" t="s">
        <v>88</v>
      </c>
      <c r="H757" s="1" t="s">
        <v>97</v>
      </c>
      <c r="I757" s="1" t="s">
        <v>98</v>
      </c>
      <c r="J757" s="1" t="s">
        <v>46</v>
      </c>
      <c r="K757" s="1" t="s">
        <v>151</v>
      </c>
      <c r="L757" s="1" t="s">
        <v>2390</v>
      </c>
      <c r="M757" s="1" t="s">
        <v>49</v>
      </c>
      <c r="N757" s="1" t="s">
        <v>2829</v>
      </c>
      <c r="O757" s="1" t="s">
        <v>6976</v>
      </c>
      <c r="P757" s="1" t="s">
        <v>50</v>
      </c>
      <c r="Q757" s="1" t="s">
        <v>6977</v>
      </c>
      <c r="R757" s="1" t="s">
        <v>6978</v>
      </c>
      <c r="S757" s="1" t="s">
        <v>6979</v>
      </c>
      <c r="T757" s="1" t="s">
        <v>52</v>
      </c>
      <c r="U757" s="1" t="s">
        <v>53</v>
      </c>
    </row>
    <row r="758" customFormat="false" ht="15" hidden="false" customHeight="true" outlineLevel="0" collapsed="false">
      <c r="A758" s="1" t="s">
        <v>2391</v>
      </c>
      <c r="B758" s="1" t="s">
        <v>6980</v>
      </c>
      <c r="C758" s="1" t="s">
        <v>6981</v>
      </c>
      <c r="D758" s="1" t="s">
        <v>2392</v>
      </c>
      <c r="E758" s="1" t="s">
        <v>168</v>
      </c>
      <c r="F758" s="1" t="s">
        <v>41</v>
      </c>
      <c r="G758" s="1" t="s">
        <v>42</v>
      </c>
      <c r="H758" s="1" t="s">
        <v>44</v>
      </c>
      <c r="I758" s="1" t="s">
        <v>45</v>
      </c>
      <c r="J758" s="1" t="s">
        <v>99</v>
      </c>
      <c r="K758" s="1" t="s">
        <v>100</v>
      </c>
      <c r="L758" s="1" t="s">
        <v>2393</v>
      </c>
      <c r="M758" s="1" t="s">
        <v>65</v>
      </c>
      <c r="N758" s="1" t="s">
        <v>2906</v>
      </c>
      <c r="O758" s="1" t="s">
        <v>6982</v>
      </c>
      <c r="P758" s="1" t="s">
        <v>50</v>
      </c>
      <c r="Q758" s="1" t="s">
        <v>6983</v>
      </c>
      <c r="R758" s="1" t="s">
        <v>6984</v>
      </c>
      <c r="S758" s="1" t="s">
        <v>6985</v>
      </c>
      <c r="T758" s="1" t="s">
        <v>52</v>
      </c>
      <c r="U758" s="1" t="s">
        <v>130</v>
      </c>
    </row>
    <row r="759" customFormat="false" ht="15" hidden="false" customHeight="true" outlineLevel="0" collapsed="false">
      <c r="A759" s="1" t="s">
        <v>2394</v>
      </c>
      <c r="B759" s="1" t="s">
        <v>6986</v>
      </c>
      <c r="C759" s="1" t="s">
        <v>6987</v>
      </c>
      <c r="D759" s="1" t="s">
        <v>2395</v>
      </c>
      <c r="E759" s="1" t="s">
        <v>115</v>
      </c>
      <c r="F759" s="1" t="s">
        <v>58</v>
      </c>
      <c r="G759" s="1" t="s">
        <v>78</v>
      </c>
      <c r="H759" s="1" t="s">
        <v>216</v>
      </c>
      <c r="I759" s="1" t="s">
        <v>217</v>
      </c>
      <c r="J759" s="1" t="s">
        <v>62</v>
      </c>
      <c r="K759" s="1" t="s">
        <v>188</v>
      </c>
      <c r="L759" s="1" t="s">
        <v>2396</v>
      </c>
      <c r="M759" s="1" t="s">
        <v>83</v>
      </c>
      <c r="N759" s="1" t="s">
        <v>2822</v>
      </c>
      <c r="O759" s="1" t="s">
        <v>6988</v>
      </c>
      <c r="P759" s="1" t="s">
        <v>84</v>
      </c>
      <c r="Q759" s="1" t="s">
        <v>6989</v>
      </c>
      <c r="R759" s="1" t="s">
        <v>6990</v>
      </c>
      <c r="S759" s="1" t="s">
        <v>6991</v>
      </c>
      <c r="T759" s="1" t="s">
        <v>185</v>
      </c>
      <c r="U759" s="1" t="s">
        <v>93</v>
      </c>
    </row>
    <row r="760" customFormat="false" ht="15" hidden="false" customHeight="true" outlineLevel="0" collapsed="false">
      <c r="A760" s="1" t="s">
        <v>2397</v>
      </c>
      <c r="B760" s="1" t="s">
        <v>6992</v>
      </c>
      <c r="C760" s="1" t="s">
        <v>6015</v>
      </c>
      <c r="D760" s="1" t="s">
        <v>2398</v>
      </c>
      <c r="E760" s="1" t="s">
        <v>155</v>
      </c>
      <c r="F760" s="1" t="s">
        <v>58</v>
      </c>
      <c r="G760" s="1" t="s">
        <v>78</v>
      </c>
      <c r="H760" s="1" t="s">
        <v>206</v>
      </c>
      <c r="I760" s="1" t="s">
        <v>207</v>
      </c>
      <c r="J760" s="1" t="s">
        <v>62</v>
      </c>
      <c r="K760" s="1" t="s">
        <v>91</v>
      </c>
      <c r="L760" s="1" t="s">
        <v>2399</v>
      </c>
      <c r="M760" s="1" t="s">
        <v>83</v>
      </c>
      <c r="N760" s="1" t="s">
        <v>2836</v>
      </c>
      <c r="O760" s="1" t="s">
        <v>6993</v>
      </c>
      <c r="P760" s="1" t="s">
        <v>66</v>
      </c>
      <c r="Q760" s="1" t="s">
        <v>6993</v>
      </c>
      <c r="R760" s="1" t="s">
        <v>6994</v>
      </c>
      <c r="S760" s="1" t="s">
        <v>6995</v>
      </c>
      <c r="T760" s="1" t="s">
        <v>52</v>
      </c>
      <c r="U760" s="1" t="s">
        <v>53</v>
      </c>
    </row>
    <row r="761" customFormat="false" ht="15" hidden="false" customHeight="true" outlineLevel="0" collapsed="false">
      <c r="A761" s="1" t="s">
        <v>2400</v>
      </c>
      <c r="B761" s="1" t="s">
        <v>3291</v>
      </c>
      <c r="C761" s="1" t="s">
        <v>6996</v>
      </c>
      <c r="D761" s="1" t="s">
        <v>2401</v>
      </c>
      <c r="E761" s="1" t="s">
        <v>77</v>
      </c>
      <c r="F761" s="1" t="s">
        <v>121</v>
      </c>
      <c r="G761" s="1" t="s">
        <v>78</v>
      </c>
      <c r="H761" s="1" t="s">
        <v>206</v>
      </c>
      <c r="I761" s="1" t="s">
        <v>207</v>
      </c>
      <c r="J761" s="1" t="s">
        <v>62</v>
      </c>
      <c r="K761" s="1" t="s">
        <v>63</v>
      </c>
      <c r="L761" s="1" t="s">
        <v>2402</v>
      </c>
      <c r="M761" s="1" t="s">
        <v>49</v>
      </c>
      <c r="N761" s="1" t="s">
        <v>2829</v>
      </c>
      <c r="O761" s="1" t="s">
        <v>6997</v>
      </c>
      <c r="P761" s="1" t="s">
        <v>84</v>
      </c>
      <c r="Q761" s="1" t="s">
        <v>6998</v>
      </c>
      <c r="R761" s="1" t="s">
        <v>6999</v>
      </c>
      <c r="S761" s="1" t="s">
        <v>7000</v>
      </c>
      <c r="T761" s="1" t="s">
        <v>52</v>
      </c>
      <c r="U761" s="1" t="s">
        <v>53</v>
      </c>
    </row>
    <row r="762" customFormat="false" ht="15" hidden="false" customHeight="true" outlineLevel="0" collapsed="false">
      <c r="A762" s="1" t="s">
        <v>2403</v>
      </c>
      <c r="B762" s="1" t="s">
        <v>7001</v>
      </c>
      <c r="C762" s="1" t="s">
        <v>4219</v>
      </c>
      <c r="D762" s="1" t="s">
        <v>2404</v>
      </c>
      <c r="E762" s="1" t="s">
        <v>115</v>
      </c>
      <c r="F762" s="1" t="s">
        <v>121</v>
      </c>
      <c r="G762" s="1" t="s">
        <v>59</v>
      </c>
      <c r="H762" s="1" t="s">
        <v>196</v>
      </c>
      <c r="I762" s="1" t="s">
        <v>197</v>
      </c>
      <c r="J762" s="1" t="s">
        <v>46</v>
      </c>
      <c r="K762" s="1" t="s">
        <v>70</v>
      </c>
      <c r="L762" s="1" t="s">
        <v>2405</v>
      </c>
      <c r="M762" s="1" t="s">
        <v>49</v>
      </c>
      <c r="N762" s="1" t="s">
        <v>2937</v>
      </c>
      <c r="O762" s="1" t="s">
        <v>7002</v>
      </c>
      <c r="P762" s="1" t="s">
        <v>66</v>
      </c>
      <c r="Q762" s="1" t="s">
        <v>7003</v>
      </c>
      <c r="R762" s="1" t="s">
        <v>7004</v>
      </c>
      <c r="S762" s="1" t="s">
        <v>7005</v>
      </c>
      <c r="T762" s="1" t="s">
        <v>138</v>
      </c>
      <c r="U762" s="1" t="s">
        <v>130</v>
      </c>
    </row>
    <row r="763" customFormat="false" ht="15" hidden="false" customHeight="true" outlineLevel="0" collapsed="false">
      <c r="A763" s="1" t="s">
        <v>2406</v>
      </c>
      <c r="B763" s="1" t="s">
        <v>3349</v>
      </c>
      <c r="C763" s="1" t="s">
        <v>7006</v>
      </c>
      <c r="D763" s="1" t="s">
        <v>2407</v>
      </c>
      <c r="E763" s="1" t="s">
        <v>69</v>
      </c>
      <c r="F763" s="1" t="s">
        <v>41</v>
      </c>
      <c r="G763" s="1" t="s">
        <v>78</v>
      </c>
      <c r="H763" s="1" t="s">
        <v>206</v>
      </c>
      <c r="I763" s="1" t="s">
        <v>207</v>
      </c>
      <c r="J763" s="1" t="s">
        <v>99</v>
      </c>
      <c r="K763" s="1" t="s">
        <v>308</v>
      </c>
      <c r="L763" s="1" t="s">
        <v>2408</v>
      </c>
      <c r="M763" s="1" t="s">
        <v>72</v>
      </c>
      <c r="N763" s="1" t="s">
        <v>2822</v>
      </c>
      <c r="O763" s="1" t="s">
        <v>7007</v>
      </c>
      <c r="P763" s="1" t="s">
        <v>66</v>
      </c>
      <c r="Q763" s="1" t="s">
        <v>7008</v>
      </c>
      <c r="R763" s="1" t="s">
        <v>7009</v>
      </c>
      <c r="S763" s="1" t="s">
        <v>7010</v>
      </c>
      <c r="T763" s="1" t="s">
        <v>52</v>
      </c>
      <c r="U763" s="1" t="s">
        <v>53</v>
      </c>
    </row>
    <row r="764" customFormat="false" ht="15" hidden="false" customHeight="true" outlineLevel="0" collapsed="false">
      <c r="A764" s="1" t="s">
        <v>2409</v>
      </c>
      <c r="B764" s="1" t="s">
        <v>7011</v>
      </c>
      <c r="C764" s="1" t="s">
        <v>7012</v>
      </c>
      <c r="D764" s="1" t="s">
        <v>2410</v>
      </c>
      <c r="E764" s="1" t="s">
        <v>192</v>
      </c>
      <c r="F764" s="1" t="s">
        <v>116</v>
      </c>
      <c r="G764" s="1" t="s">
        <v>88</v>
      </c>
      <c r="H764" s="1" t="s">
        <v>97</v>
      </c>
      <c r="I764" s="1" t="s">
        <v>98</v>
      </c>
      <c r="J764" s="1" t="s">
        <v>99</v>
      </c>
      <c r="K764" s="1" t="s">
        <v>308</v>
      </c>
      <c r="L764" s="1" t="s">
        <v>2411</v>
      </c>
      <c r="M764" s="1" t="s">
        <v>49</v>
      </c>
      <c r="N764" s="1" t="s">
        <v>2868</v>
      </c>
      <c r="O764" s="1" t="s">
        <v>7013</v>
      </c>
      <c r="P764" s="1" t="s">
        <v>50</v>
      </c>
      <c r="Q764" s="1" t="s">
        <v>7014</v>
      </c>
      <c r="R764" s="1" t="s">
        <v>7015</v>
      </c>
      <c r="S764" s="1" t="s">
        <v>7016</v>
      </c>
      <c r="T764" s="1" t="s">
        <v>129</v>
      </c>
      <c r="U764" s="1" t="s">
        <v>130</v>
      </c>
    </row>
    <row r="765" customFormat="false" ht="15" hidden="false" customHeight="true" outlineLevel="0" collapsed="false">
      <c r="A765" s="1" t="s">
        <v>2412</v>
      </c>
      <c r="B765" s="1" t="s">
        <v>7017</v>
      </c>
      <c r="C765" s="1" t="s">
        <v>7018</v>
      </c>
      <c r="D765" s="1" t="s">
        <v>2413</v>
      </c>
      <c r="E765" s="1" t="s">
        <v>192</v>
      </c>
      <c r="F765" s="1" t="s">
        <v>41</v>
      </c>
      <c r="G765" s="1" t="s">
        <v>42</v>
      </c>
      <c r="H765" s="1" t="s">
        <v>44</v>
      </c>
      <c r="I765" s="1" t="s">
        <v>45</v>
      </c>
      <c r="J765" s="1" t="s">
        <v>62</v>
      </c>
      <c r="K765" s="1" t="s">
        <v>81</v>
      </c>
      <c r="L765" s="1" t="s">
        <v>2414</v>
      </c>
      <c r="M765" s="1" t="s">
        <v>65</v>
      </c>
      <c r="N765" s="1" t="s">
        <v>2815</v>
      </c>
      <c r="O765" s="1" t="s">
        <v>7019</v>
      </c>
      <c r="P765" s="1" t="s">
        <v>66</v>
      </c>
      <c r="Q765" s="1" t="s">
        <v>7020</v>
      </c>
      <c r="R765" s="1" t="s">
        <v>7021</v>
      </c>
      <c r="S765" s="1" t="s">
        <v>7022</v>
      </c>
      <c r="T765" s="1" t="s">
        <v>52</v>
      </c>
      <c r="U765" s="1" t="s">
        <v>53</v>
      </c>
    </row>
    <row r="766" customFormat="false" ht="15" hidden="false" customHeight="true" outlineLevel="0" collapsed="false">
      <c r="A766" s="1" t="s">
        <v>2415</v>
      </c>
      <c r="B766" s="1" t="s">
        <v>5010</v>
      </c>
      <c r="C766" s="1" t="s">
        <v>6273</v>
      </c>
      <c r="D766" s="1" t="s">
        <v>925</v>
      </c>
      <c r="E766" s="1" t="s">
        <v>141</v>
      </c>
      <c r="F766" s="1" t="s">
        <v>116</v>
      </c>
      <c r="G766" s="1" t="s">
        <v>78</v>
      </c>
      <c r="H766" s="1" t="s">
        <v>216</v>
      </c>
      <c r="I766" s="1" t="s">
        <v>217</v>
      </c>
      <c r="J766" s="1" t="s">
        <v>62</v>
      </c>
      <c r="K766" s="1" t="s">
        <v>188</v>
      </c>
      <c r="L766" s="1" t="s">
        <v>2416</v>
      </c>
      <c r="M766" s="1" t="s">
        <v>72</v>
      </c>
      <c r="N766" s="1" t="s">
        <v>2815</v>
      </c>
      <c r="O766" s="1" t="s">
        <v>7023</v>
      </c>
      <c r="P766" s="1" t="s">
        <v>128</v>
      </c>
      <c r="Q766" s="1" t="s">
        <v>7024</v>
      </c>
      <c r="R766" s="1" t="s">
        <v>7025</v>
      </c>
      <c r="S766" s="1" t="s">
        <v>7026</v>
      </c>
      <c r="T766" s="1" t="s">
        <v>52</v>
      </c>
      <c r="U766" s="1" t="s">
        <v>53</v>
      </c>
    </row>
    <row r="767" customFormat="false" ht="15" hidden="false" customHeight="true" outlineLevel="0" collapsed="false">
      <c r="A767" s="1" t="s">
        <v>2417</v>
      </c>
      <c r="B767" s="1" t="s">
        <v>7027</v>
      </c>
      <c r="C767" s="1" t="s">
        <v>7028</v>
      </c>
      <c r="D767" s="1" t="s">
        <v>2418</v>
      </c>
      <c r="E767" s="1" t="s">
        <v>96</v>
      </c>
      <c r="F767" s="1" t="s">
        <v>116</v>
      </c>
      <c r="G767" s="1" t="s">
        <v>59</v>
      </c>
      <c r="H767" s="1" t="s">
        <v>262</v>
      </c>
      <c r="I767" s="1" t="s">
        <v>263</v>
      </c>
      <c r="J767" s="1" t="s">
        <v>46</v>
      </c>
      <c r="K767" s="1" t="s">
        <v>117</v>
      </c>
      <c r="L767" s="1" t="s">
        <v>2419</v>
      </c>
      <c r="M767" s="1" t="s">
        <v>72</v>
      </c>
      <c r="N767" s="1" t="s">
        <v>2822</v>
      </c>
      <c r="O767" s="1" t="s">
        <v>7029</v>
      </c>
      <c r="P767" s="1" t="s">
        <v>66</v>
      </c>
      <c r="Q767" s="1" t="s">
        <v>7030</v>
      </c>
      <c r="R767" s="1" t="s">
        <v>7031</v>
      </c>
      <c r="S767" s="1" t="s">
        <v>7032</v>
      </c>
      <c r="T767" s="1" t="s">
        <v>52</v>
      </c>
      <c r="U767" s="1" t="s">
        <v>53</v>
      </c>
    </row>
    <row r="768" customFormat="false" ht="15" hidden="false" customHeight="true" outlineLevel="0" collapsed="false">
      <c r="A768" s="1" t="s">
        <v>2420</v>
      </c>
      <c r="B768" s="1" t="s">
        <v>7033</v>
      </c>
      <c r="C768" s="1" t="s">
        <v>5177</v>
      </c>
      <c r="D768" s="1" t="s">
        <v>2421</v>
      </c>
      <c r="E768" s="1" t="s">
        <v>57</v>
      </c>
      <c r="F768" s="1" t="s">
        <v>116</v>
      </c>
      <c r="G768" s="1" t="s">
        <v>88</v>
      </c>
      <c r="H768" s="1" t="s">
        <v>211</v>
      </c>
      <c r="I768" s="1" t="s">
        <v>212</v>
      </c>
      <c r="J768" s="1" t="s">
        <v>46</v>
      </c>
      <c r="K768" s="1" t="s">
        <v>70</v>
      </c>
      <c r="L768" s="1" t="s">
        <v>2422</v>
      </c>
      <c r="M768" s="1" t="s">
        <v>49</v>
      </c>
      <c r="N768" s="1" t="s">
        <v>2899</v>
      </c>
      <c r="O768" s="1" t="s">
        <v>7034</v>
      </c>
      <c r="P768" s="1" t="s">
        <v>50</v>
      </c>
      <c r="Q768" s="1" t="s">
        <v>7035</v>
      </c>
      <c r="R768" s="1" t="s">
        <v>7036</v>
      </c>
      <c r="S768" s="1" t="s">
        <v>7037</v>
      </c>
      <c r="T768" s="1" t="s">
        <v>52</v>
      </c>
      <c r="U768" s="1" t="s">
        <v>93</v>
      </c>
    </row>
    <row r="769" customFormat="false" ht="15" hidden="false" customHeight="true" outlineLevel="0" collapsed="false">
      <c r="A769" s="1" t="s">
        <v>2423</v>
      </c>
      <c r="B769" s="1" t="s">
        <v>7038</v>
      </c>
      <c r="C769" s="1" t="s">
        <v>6020</v>
      </c>
      <c r="D769" s="1" t="s">
        <v>2424</v>
      </c>
      <c r="E769" s="1" t="s">
        <v>87</v>
      </c>
      <c r="F769" s="1" t="s">
        <v>121</v>
      </c>
      <c r="G769" s="1" t="s">
        <v>42</v>
      </c>
      <c r="H769" s="1" t="s">
        <v>163</v>
      </c>
      <c r="I769" s="1" t="s">
        <v>164</v>
      </c>
      <c r="J769" s="1" t="s">
        <v>3885</v>
      </c>
      <c r="K769" s="1" t="s">
        <v>183</v>
      </c>
      <c r="L769" s="1" t="s">
        <v>2425</v>
      </c>
      <c r="M769" s="1" t="s">
        <v>83</v>
      </c>
      <c r="N769" s="1" t="s">
        <v>2836</v>
      </c>
      <c r="O769" s="1" t="s">
        <v>7039</v>
      </c>
      <c r="P769" s="1" t="s">
        <v>84</v>
      </c>
      <c r="Q769" s="1" t="s">
        <v>7040</v>
      </c>
      <c r="R769" s="1" t="s">
        <v>7041</v>
      </c>
      <c r="S769" s="1" t="s">
        <v>7042</v>
      </c>
      <c r="T769" s="1" t="s">
        <v>52</v>
      </c>
      <c r="U769" s="1" t="s">
        <v>53</v>
      </c>
    </row>
    <row r="770" customFormat="false" ht="15" hidden="false" customHeight="true" outlineLevel="0" collapsed="false">
      <c r="A770" s="1" t="s">
        <v>2426</v>
      </c>
      <c r="B770" s="1" t="s">
        <v>4947</v>
      </c>
      <c r="C770" s="1" t="s">
        <v>7043</v>
      </c>
      <c r="D770" s="1" t="s">
        <v>2427</v>
      </c>
      <c r="E770" s="1" t="s">
        <v>159</v>
      </c>
      <c r="F770" s="1" t="s">
        <v>121</v>
      </c>
      <c r="G770" s="1" t="s">
        <v>59</v>
      </c>
      <c r="H770" s="1" t="s">
        <v>262</v>
      </c>
      <c r="I770" s="1" t="s">
        <v>263</v>
      </c>
      <c r="J770" s="1" t="s">
        <v>46</v>
      </c>
      <c r="K770" s="1" t="s">
        <v>47</v>
      </c>
      <c r="L770" s="1" t="s">
        <v>2428</v>
      </c>
      <c r="M770" s="1" t="s">
        <v>65</v>
      </c>
      <c r="N770" s="1" t="s">
        <v>2829</v>
      </c>
      <c r="O770" s="1" t="s">
        <v>7044</v>
      </c>
      <c r="P770" s="1" t="s">
        <v>203</v>
      </c>
      <c r="Q770" s="1" t="s">
        <v>7045</v>
      </c>
      <c r="R770" s="1" t="s">
        <v>7046</v>
      </c>
      <c r="S770" s="1" t="s">
        <v>7047</v>
      </c>
      <c r="T770" s="1" t="s">
        <v>52</v>
      </c>
      <c r="U770" s="1" t="s">
        <v>53</v>
      </c>
    </row>
    <row r="771" customFormat="false" ht="15" hidden="false" customHeight="true" outlineLevel="0" collapsed="false">
      <c r="A771" s="1" t="s">
        <v>2429</v>
      </c>
      <c r="B771" s="1" t="s">
        <v>7048</v>
      </c>
      <c r="C771" s="1" t="s">
        <v>5188</v>
      </c>
      <c r="D771" s="1" t="s">
        <v>2430</v>
      </c>
      <c r="E771" s="1" t="s">
        <v>141</v>
      </c>
      <c r="F771" s="1" t="s">
        <v>121</v>
      </c>
      <c r="G771" s="1" t="s">
        <v>88</v>
      </c>
      <c r="H771" s="1" t="s">
        <v>221</v>
      </c>
      <c r="I771" s="1" t="s">
        <v>222</v>
      </c>
      <c r="J771" s="1" t="s">
        <v>62</v>
      </c>
      <c r="K771" s="1" t="s">
        <v>188</v>
      </c>
      <c r="L771" s="1" t="s">
        <v>2431</v>
      </c>
      <c r="M771" s="1" t="s">
        <v>65</v>
      </c>
      <c r="N771" s="1" t="s">
        <v>2822</v>
      </c>
      <c r="O771" s="1" t="s">
        <v>7049</v>
      </c>
      <c r="P771" s="1" t="s">
        <v>84</v>
      </c>
      <c r="Q771" s="1" t="s">
        <v>7050</v>
      </c>
      <c r="R771" s="1" t="s">
        <v>7051</v>
      </c>
      <c r="S771" s="1" t="s">
        <v>7052</v>
      </c>
      <c r="T771" s="1" t="s">
        <v>52</v>
      </c>
      <c r="U771" s="1" t="s">
        <v>53</v>
      </c>
    </row>
    <row r="772" customFormat="false" ht="15" hidden="false" customHeight="true" outlineLevel="0" collapsed="false">
      <c r="A772" s="1" t="s">
        <v>2432</v>
      </c>
      <c r="B772" s="1" t="s">
        <v>5540</v>
      </c>
      <c r="C772" s="1" t="s">
        <v>6088</v>
      </c>
      <c r="D772" s="1" t="s">
        <v>2433</v>
      </c>
      <c r="E772" s="1" t="s">
        <v>104</v>
      </c>
      <c r="F772" s="1" t="s">
        <v>41</v>
      </c>
      <c r="G772" s="1" t="s">
        <v>42</v>
      </c>
      <c r="H772" s="1" t="s">
        <v>163</v>
      </c>
      <c r="I772" s="1" t="s">
        <v>164</v>
      </c>
      <c r="J772" s="1" t="s">
        <v>99</v>
      </c>
      <c r="K772" s="1" t="s">
        <v>105</v>
      </c>
      <c r="L772" s="1" t="s">
        <v>2434</v>
      </c>
      <c r="M772" s="1" t="s">
        <v>72</v>
      </c>
      <c r="N772" s="1" t="s">
        <v>2937</v>
      </c>
      <c r="O772" s="1" t="s">
        <v>7053</v>
      </c>
      <c r="Q772" s="1" t="s">
        <v>7054</v>
      </c>
      <c r="R772" s="1" t="s">
        <v>7055</v>
      </c>
      <c r="S772" s="1" t="s">
        <v>7056</v>
      </c>
      <c r="T772" s="1" t="s">
        <v>52</v>
      </c>
      <c r="U772" s="1" t="s">
        <v>53</v>
      </c>
    </row>
    <row r="773" customFormat="false" ht="15" hidden="false" customHeight="true" outlineLevel="0" collapsed="false">
      <c r="A773" s="1" t="s">
        <v>2435</v>
      </c>
      <c r="B773" s="1" t="s">
        <v>7057</v>
      </c>
      <c r="C773" s="1" t="s">
        <v>5923</v>
      </c>
      <c r="D773" s="1" t="s">
        <v>504</v>
      </c>
      <c r="E773" s="1" t="s">
        <v>87</v>
      </c>
      <c r="F773" s="1" t="s">
        <v>41</v>
      </c>
      <c r="G773" s="1" t="s">
        <v>42</v>
      </c>
      <c r="H773" s="1" t="s">
        <v>270</v>
      </c>
      <c r="I773" s="1" t="s">
        <v>271</v>
      </c>
      <c r="J773" s="1" t="s">
        <v>99</v>
      </c>
      <c r="K773" s="1" t="s">
        <v>308</v>
      </c>
      <c r="L773" s="1" t="s">
        <v>2436</v>
      </c>
      <c r="M773" s="1" t="s">
        <v>49</v>
      </c>
      <c r="N773" s="1" t="s">
        <v>2937</v>
      </c>
      <c r="O773" s="1" t="s">
        <v>7058</v>
      </c>
      <c r="Q773" s="1" t="s">
        <v>7059</v>
      </c>
      <c r="R773" s="1" t="s">
        <v>7060</v>
      </c>
      <c r="S773" s="1" t="s">
        <v>7061</v>
      </c>
      <c r="T773" s="1" t="s">
        <v>52</v>
      </c>
      <c r="U773" s="1" t="s">
        <v>53</v>
      </c>
    </row>
    <row r="774" customFormat="false" ht="15" hidden="false" customHeight="true" outlineLevel="0" collapsed="false">
      <c r="A774" s="1" t="s">
        <v>2437</v>
      </c>
      <c r="B774" s="1" t="s">
        <v>3043</v>
      </c>
      <c r="C774" s="1" t="s">
        <v>4656</v>
      </c>
      <c r="D774" s="1" t="s">
        <v>2438</v>
      </c>
      <c r="E774" s="1" t="s">
        <v>192</v>
      </c>
      <c r="F774" s="1" t="s">
        <v>41</v>
      </c>
      <c r="G774" s="1" t="s">
        <v>78</v>
      </c>
      <c r="H774" s="1" t="s">
        <v>281</v>
      </c>
      <c r="I774" s="1" t="s">
        <v>282</v>
      </c>
      <c r="J774" s="1" t="s">
        <v>62</v>
      </c>
      <c r="K774" s="1" t="s">
        <v>91</v>
      </c>
      <c r="L774" s="1" t="s">
        <v>2439</v>
      </c>
      <c r="M774" s="1" t="s">
        <v>65</v>
      </c>
      <c r="N774" s="1" t="s">
        <v>2836</v>
      </c>
      <c r="O774" s="1" t="s">
        <v>7062</v>
      </c>
      <c r="P774" s="1" t="s">
        <v>128</v>
      </c>
      <c r="Q774" s="1" t="s">
        <v>7063</v>
      </c>
      <c r="R774" s="1" t="s">
        <v>7064</v>
      </c>
      <c r="S774" s="1" t="s">
        <v>7065</v>
      </c>
      <c r="T774" s="1" t="s">
        <v>138</v>
      </c>
      <c r="U774" s="1" t="s">
        <v>93</v>
      </c>
    </row>
    <row r="775" customFormat="false" ht="15" hidden="false" customHeight="true" outlineLevel="0" collapsed="false">
      <c r="A775" s="1" t="s">
        <v>2440</v>
      </c>
      <c r="B775" s="1" t="s">
        <v>7066</v>
      </c>
      <c r="C775" s="1" t="s">
        <v>7067</v>
      </c>
      <c r="D775" s="1" t="s">
        <v>2441</v>
      </c>
      <c r="E775" s="1" t="s">
        <v>40</v>
      </c>
      <c r="F775" s="1" t="s">
        <v>121</v>
      </c>
      <c r="G775" s="1" t="s">
        <v>88</v>
      </c>
      <c r="H775" s="1" t="s">
        <v>211</v>
      </c>
      <c r="I775" s="1" t="s">
        <v>212</v>
      </c>
      <c r="J775" s="1" t="s">
        <v>99</v>
      </c>
      <c r="K775" s="1" t="s">
        <v>201</v>
      </c>
      <c r="L775" s="1" t="s">
        <v>2442</v>
      </c>
      <c r="N775" s="1" t="s">
        <v>2937</v>
      </c>
      <c r="O775" s="1" t="s">
        <v>7068</v>
      </c>
      <c r="P775" s="1" t="s">
        <v>50</v>
      </c>
      <c r="Q775" s="1" t="s">
        <v>7069</v>
      </c>
      <c r="R775" s="1" t="s">
        <v>7070</v>
      </c>
      <c r="S775" s="1" t="s">
        <v>7071</v>
      </c>
      <c r="T775" s="1" t="s">
        <v>52</v>
      </c>
      <c r="U775" s="1" t="s">
        <v>53</v>
      </c>
    </row>
    <row r="776" customFormat="false" ht="15" hidden="false" customHeight="true" outlineLevel="0" collapsed="false">
      <c r="A776" s="1" t="s">
        <v>2443</v>
      </c>
      <c r="B776" s="1" t="s">
        <v>7072</v>
      </c>
      <c r="C776" s="1" t="s">
        <v>4931</v>
      </c>
      <c r="D776" s="1" t="s">
        <v>2444</v>
      </c>
      <c r="E776" s="1" t="s">
        <v>298</v>
      </c>
      <c r="F776" s="1" t="s">
        <v>41</v>
      </c>
      <c r="G776" s="1" t="s">
        <v>88</v>
      </c>
      <c r="H776" s="1" t="s">
        <v>44</v>
      </c>
      <c r="I776" s="1" t="s">
        <v>136</v>
      </c>
      <c r="J776" s="1" t="s">
        <v>99</v>
      </c>
      <c r="K776" s="1" t="s">
        <v>308</v>
      </c>
      <c r="L776" s="1" t="s">
        <v>2445</v>
      </c>
      <c r="N776" s="1" t="s">
        <v>2899</v>
      </c>
      <c r="O776" s="1" t="s">
        <v>7073</v>
      </c>
      <c r="P776" s="1" t="s">
        <v>50</v>
      </c>
      <c r="Q776" s="1" t="s">
        <v>7074</v>
      </c>
      <c r="R776" s="1" t="s">
        <v>7075</v>
      </c>
      <c r="S776" s="1" t="s">
        <v>7076</v>
      </c>
      <c r="T776" s="1" t="s">
        <v>52</v>
      </c>
      <c r="U776" s="1" t="s">
        <v>53</v>
      </c>
    </row>
    <row r="777" customFormat="false" ht="15" hidden="false" customHeight="true" outlineLevel="0" collapsed="false">
      <c r="A777" s="1" t="s">
        <v>2446</v>
      </c>
      <c r="B777" s="1" t="s">
        <v>7077</v>
      </c>
      <c r="C777" s="1" t="s">
        <v>7078</v>
      </c>
      <c r="D777" s="1" t="s">
        <v>2447</v>
      </c>
      <c r="E777" s="1" t="s">
        <v>77</v>
      </c>
      <c r="F777" s="1" t="s">
        <v>41</v>
      </c>
      <c r="G777" s="1" t="s">
        <v>42</v>
      </c>
      <c r="H777" s="1" t="s">
        <v>270</v>
      </c>
      <c r="I777" s="1" t="s">
        <v>271</v>
      </c>
      <c r="J777" s="1" t="s">
        <v>99</v>
      </c>
      <c r="K777" s="1" t="s">
        <v>100</v>
      </c>
      <c r="L777" s="1" t="s">
        <v>2448</v>
      </c>
      <c r="M777" s="1" t="s">
        <v>83</v>
      </c>
      <c r="N777" s="1" t="s">
        <v>2861</v>
      </c>
      <c r="O777" s="1" t="s">
        <v>7079</v>
      </c>
      <c r="P777" s="1" t="s">
        <v>84</v>
      </c>
      <c r="Q777" s="1" t="s">
        <v>7080</v>
      </c>
      <c r="R777" s="1" t="s">
        <v>7081</v>
      </c>
      <c r="S777" s="1" t="s">
        <v>7082</v>
      </c>
      <c r="T777" s="1" t="s">
        <v>52</v>
      </c>
      <c r="U777" s="1" t="s">
        <v>53</v>
      </c>
    </row>
    <row r="778" customFormat="false" ht="15" hidden="false" customHeight="true" outlineLevel="0" collapsed="false">
      <c r="A778" s="1" t="s">
        <v>2449</v>
      </c>
      <c r="B778" s="1" t="s">
        <v>7083</v>
      </c>
      <c r="C778" s="1" t="s">
        <v>5594</v>
      </c>
      <c r="D778" s="1" t="s">
        <v>2450</v>
      </c>
      <c r="E778" s="1" t="s">
        <v>115</v>
      </c>
      <c r="F778" s="1" t="s">
        <v>58</v>
      </c>
      <c r="G778" s="1" t="s">
        <v>42</v>
      </c>
      <c r="H778" s="1" t="s">
        <v>44</v>
      </c>
      <c r="I778" s="1" t="s">
        <v>45</v>
      </c>
      <c r="J778" s="1" t="s">
        <v>99</v>
      </c>
      <c r="K778" s="1" t="s">
        <v>105</v>
      </c>
      <c r="L778" s="1" t="s">
        <v>2451</v>
      </c>
      <c r="M778" s="1" t="s">
        <v>49</v>
      </c>
      <c r="N778" s="1" t="s">
        <v>2906</v>
      </c>
      <c r="O778" s="1" t="s">
        <v>7084</v>
      </c>
      <c r="P778" s="1" t="s">
        <v>66</v>
      </c>
      <c r="Q778" s="1" t="s">
        <v>7085</v>
      </c>
      <c r="R778" s="1" t="s">
        <v>7086</v>
      </c>
      <c r="S778" s="1" t="s">
        <v>7087</v>
      </c>
      <c r="T778" s="1" t="s">
        <v>52</v>
      </c>
      <c r="U778" s="1" t="s">
        <v>53</v>
      </c>
    </row>
    <row r="779" customFormat="false" ht="15" hidden="false" customHeight="true" outlineLevel="0" collapsed="false">
      <c r="A779" s="1" t="s">
        <v>2452</v>
      </c>
      <c r="B779" s="1" t="s">
        <v>7088</v>
      </c>
      <c r="C779" s="1" t="s">
        <v>5507</v>
      </c>
      <c r="D779" s="1" t="s">
        <v>2453</v>
      </c>
      <c r="E779" s="1" t="s">
        <v>298</v>
      </c>
      <c r="F779" s="1" t="s">
        <v>58</v>
      </c>
      <c r="G779" s="1" t="s">
        <v>88</v>
      </c>
      <c r="H779" s="1" t="s">
        <v>97</v>
      </c>
      <c r="I779" s="1" t="s">
        <v>98</v>
      </c>
      <c r="J779" s="1" t="s">
        <v>99</v>
      </c>
      <c r="K779" s="1" t="s">
        <v>100</v>
      </c>
      <c r="L779" s="1" t="s">
        <v>2454</v>
      </c>
      <c r="M779" s="1" t="s">
        <v>49</v>
      </c>
      <c r="N779" s="1" t="s">
        <v>2937</v>
      </c>
      <c r="O779" s="1" t="s">
        <v>7089</v>
      </c>
      <c r="P779" s="1" t="s">
        <v>107</v>
      </c>
      <c r="Q779" s="1" t="s">
        <v>7090</v>
      </c>
      <c r="R779" s="1" t="s">
        <v>7091</v>
      </c>
      <c r="S779" s="1" t="s">
        <v>7092</v>
      </c>
      <c r="T779" s="1" t="s">
        <v>185</v>
      </c>
      <c r="U779" s="1" t="s">
        <v>93</v>
      </c>
    </row>
    <row r="780" customFormat="false" ht="15" hidden="false" customHeight="true" outlineLevel="0" collapsed="false">
      <c r="A780" s="1" t="s">
        <v>2455</v>
      </c>
      <c r="B780" s="1" t="s">
        <v>3653</v>
      </c>
      <c r="C780" s="1" t="s">
        <v>7093</v>
      </c>
      <c r="D780" s="1" t="s">
        <v>2456</v>
      </c>
      <c r="E780" s="1" t="s">
        <v>40</v>
      </c>
      <c r="F780" s="1" t="s">
        <v>58</v>
      </c>
      <c r="G780" s="1" t="s">
        <v>42</v>
      </c>
      <c r="H780" s="1" t="s">
        <v>270</v>
      </c>
      <c r="I780" s="1" t="s">
        <v>271</v>
      </c>
      <c r="J780" s="1" t="s">
        <v>99</v>
      </c>
      <c r="K780" s="1" t="s">
        <v>105</v>
      </c>
      <c r="L780" s="1" t="s">
        <v>2457</v>
      </c>
      <c r="M780" s="1" t="s">
        <v>49</v>
      </c>
      <c r="N780" s="1" t="s">
        <v>2937</v>
      </c>
      <c r="O780" s="1" t="s">
        <v>7094</v>
      </c>
      <c r="P780" s="1" t="s">
        <v>66</v>
      </c>
      <c r="Q780" s="1" t="s">
        <v>7095</v>
      </c>
      <c r="R780" s="1" t="s">
        <v>7096</v>
      </c>
      <c r="S780" s="1" t="s">
        <v>7097</v>
      </c>
      <c r="T780" s="1" t="s">
        <v>52</v>
      </c>
      <c r="U780" s="1" t="s">
        <v>53</v>
      </c>
    </row>
    <row r="781" customFormat="false" ht="15" hidden="false" customHeight="true" outlineLevel="0" collapsed="false">
      <c r="A781" s="1" t="s">
        <v>2458</v>
      </c>
      <c r="B781" s="1" t="s">
        <v>5415</v>
      </c>
      <c r="C781" s="1" t="s">
        <v>7098</v>
      </c>
      <c r="D781" s="1" t="s">
        <v>2459</v>
      </c>
      <c r="E781" s="1" t="s">
        <v>141</v>
      </c>
      <c r="F781" s="1" t="s">
        <v>58</v>
      </c>
      <c r="G781" s="1" t="s">
        <v>78</v>
      </c>
      <c r="H781" s="1" t="s">
        <v>110</v>
      </c>
      <c r="I781" s="1" t="s">
        <v>111</v>
      </c>
      <c r="J781" s="1" t="s">
        <v>62</v>
      </c>
      <c r="K781" s="1" t="s">
        <v>91</v>
      </c>
      <c r="L781" s="1" t="s">
        <v>2460</v>
      </c>
      <c r="M781" s="1" t="s">
        <v>83</v>
      </c>
      <c r="N781" s="1" t="s">
        <v>2937</v>
      </c>
      <c r="O781" s="1" t="s">
        <v>7099</v>
      </c>
      <c r="P781" s="1" t="s">
        <v>128</v>
      </c>
      <c r="Q781" s="1" t="s">
        <v>7100</v>
      </c>
      <c r="R781" s="1" t="s">
        <v>7101</v>
      </c>
      <c r="S781" s="1" t="s">
        <v>7102</v>
      </c>
      <c r="T781" s="1" t="s">
        <v>52</v>
      </c>
      <c r="U781" s="1" t="s">
        <v>53</v>
      </c>
    </row>
    <row r="782" customFormat="false" ht="15" hidden="false" customHeight="true" outlineLevel="0" collapsed="false">
      <c r="A782" s="1" t="s">
        <v>2461</v>
      </c>
      <c r="B782" s="1" t="s">
        <v>7103</v>
      </c>
      <c r="C782" s="1" t="s">
        <v>5954</v>
      </c>
      <c r="D782" s="1" t="s">
        <v>2462</v>
      </c>
      <c r="E782" s="1" t="s">
        <v>192</v>
      </c>
      <c r="F782" s="1" t="s">
        <v>58</v>
      </c>
      <c r="G782" s="1" t="s">
        <v>88</v>
      </c>
      <c r="H782" s="1" t="s">
        <v>44</v>
      </c>
      <c r="I782" s="1" t="s">
        <v>136</v>
      </c>
      <c r="J782" s="1" t="s">
        <v>62</v>
      </c>
      <c r="K782" s="1" t="s">
        <v>91</v>
      </c>
      <c r="L782" s="1" t="s">
        <v>2463</v>
      </c>
      <c r="M782" s="1" t="s">
        <v>65</v>
      </c>
      <c r="N782" s="1" t="s">
        <v>2937</v>
      </c>
      <c r="O782" s="1" t="s">
        <v>7104</v>
      </c>
      <c r="P782" s="1" t="s">
        <v>50</v>
      </c>
      <c r="Q782" s="1" t="s">
        <v>7105</v>
      </c>
      <c r="R782" s="1" t="s">
        <v>7106</v>
      </c>
      <c r="S782" s="1" t="s">
        <v>7107</v>
      </c>
      <c r="T782" s="1" t="s">
        <v>52</v>
      </c>
      <c r="U782" s="1" t="s">
        <v>53</v>
      </c>
    </row>
    <row r="783" customFormat="false" ht="15" hidden="false" customHeight="true" outlineLevel="0" collapsed="false">
      <c r="A783" s="1" t="s">
        <v>2464</v>
      </c>
      <c r="B783" s="1" t="s">
        <v>7108</v>
      </c>
      <c r="C783" s="1" t="s">
        <v>2904</v>
      </c>
      <c r="D783" s="1" t="s">
        <v>2465</v>
      </c>
      <c r="E783" s="1" t="s">
        <v>40</v>
      </c>
      <c r="F783" s="1" t="s">
        <v>121</v>
      </c>
      <c r="G783" s="1" t="s">
        <v>88</v>
      </c>
      <c r="H783" s="1" t="s">
        <v>44</v>
      </c>
      <c r="I783" s="1" t="s">
        <v>136</v>
      </c>
      <c r="J783" s="1" t="s">
        <v>46</v>
      </c>
      <c r="K783" s="1" t="s">
        <v>117</v>
      </c>
      <c r="L783" s="1" t="s">
        <v>2466</v>
      </c>
      <c r="M783" s="1" t="s">
        <v>72</v>
      </c>
      <c r="N783" s="1" t="s">
        <v>2822</v>
      </c>
      <c r="O783" s="1" t="s">
        <v>7109</v>
      </c>
      <c r="P783" s="1" t="s">
        <v>84</v>
      </c>
      <c r="Q783" s="1" t="s">
        <v>7110</v>
      </c>
      <c r="R783" s="1" t="s">
        <v>7111</v>
      </c>
      <c r="S783" s="1" t="s">
        <v>7112</v>
      </c>
      <c r="T783" s="1" t="s">
        <v>138</v>
      </c>
      <c r="U783" s="1" t="s">
        <v>130</v>
      </c>
    </row>
    <row r="784" customFormat="false" ht="15" hidden="false" customHeight="true" outlineLevel="0" collapsed="false">
      <c r="A784" s="1" t="s">
        <v>2467</v>
      </c>
      <c r="B784" s="1" t="s">
        <v>4500</v>
      </c>
      <c r="C784" s="1" t="s">
        <v>7113</v>
      </c>
      <c r="D784" s="1" t="s">
        <v>2468</v>
      </c>
      <c r="E784" s="1" t="s">
        <v>57</v>
      </c>
      <c r="F784" s="1" t="s">
        <v>116</v>
      </c>
      <c r="G784" s="1" t="s">
        <v>59</v>
      </c>
      <c r="H784" s="1" t="s">
        <v>125</v>
      </c>
      <c r="I784" s="1" t="s">
        <v>126</v>
      </c>
      <c r="J784" s="1" t="s">
        <v>99</v>
      </c>
      <c r="K784" s="1" t="s">
        <v>105</v>
      </c>
      <c r="L784" s="1" t="s">
        <v>2469</v>
      </c>
      <c r="M784" s="1" t="s">
        <v>83</v>
      </c>
      <c r="N784" s="1" t="s">
        <v>2868</v>
      </c>
      <c r="O784" s="1" t="s">
        <v>7114</v>
      </c>
      <c r="P784" s="1" t="s">
        <v>107</v>
      </c>
      <c r="Q784" s="1" t="s">
        <v>7115</v>
      </c>
      <c r="R784" s="1" t="s">
        <v>7116</v>
      </c>
      <c r="S784" s="1" t="s">
        <v>7117</v>
      </c>
      <c r="T784" s="1" t="s">
        <v>52</v>
      </c>
      <c r="U784" s="1" t="s">
        <v>53</v>
      </c>
    </row>
    <row r="785" customFormat="false" ht="15" hidden="false" customHeight="true" outlineLevel="0" collapsed="false">
      <c r="A785" s="1" t="s">
        <v>2470</v>
      </c>
      <c r="B785" s="1" t="s">
        <v>7118</v>
      </c>
      <c r="C785" s="1" t="s">
        <v>7119</v>
      </c>
      <c r="D785" s="1" t="s">
        <v>2471</v>
      </c>
      <c r="E785" s="1" t="s">
        <v>155</v>
      </c>
      <c r="F785" s="1" t="s">
        <v>58</v>
      </c>
      <c r="G785" s="1" t="s">
        <v>59</v>
      </c>
      <c r="H785" s="1" t="s">
        <v>174</v>
      </c>
      <c r="I785" s="1" t="s">
        <v>175</v>
      </c>
      <c r="J785" s="1" t="s">
        <v>46</v>
      </c>
      <c r="K785" s="1" t="s">
        <v>70</v>
      </c>
      <c r="L785" s="1" t="s">
        <v>2472</v>
      </c>
      <c r="M785" s="1" t="s">
        <v>49</v>
      </c>
      <c r="N785" s="1" t="s">
        <v>2836</v>
      </c>
      <c r="O785" s="1" t="s">
        <v>7120</v>
      </c>
      <c r="P785" s="1" t="s">
        <v>128</v>
      </c>
      <c r="Q785" s="1" t="s">
        <v>7121</v>
      </c>
      <c r="R785" s="1" t="s">
        <v>7122</v>
      </c>
      <c r="S785" s="1" t="s">
        <v>4926</v>
      </c>
      <c r="T785" s="1" t="s">
        <v>52</v>
      </c>
      <c r="U785" s="1" t="s">
        <v>53</v>
      </c>
    </row>
    <row r="786" customFormat="false" ht="15" hidden="false" customHeight="true" outlineLevel="0" collapsed="false">
      <c r="A786" s="1" t="s">
        <v>2473</v>
      </c>
      <c r="B786" s="1" t="s">
        <v>7123</v>
      </c>
      <c r="C786" s="1" t="s">
        <v>5836</v>
      </c>
      <c r="D786" s="1" t="s">
        <v>2474</v>
      </c>
      <c r="E786" s="1" t="s">
        <v>141</v>
      </c>
      <c r="F786" s="1" t="s">
        <v>116</v>
      </c>
      <c r="G786" s="1" t="s">
        <v>7124</v>
      </c>
      <c r="H786" s="1" t="s">
        <v>149</v>
      </c>
      <c r="I786" s="1" t="s">
        <v>150</v>
      </c>
      <c r="J786" s="1" t="s">
        <v>99</v>
      </c>
      <c r="K786" s="1" t="s">
        <v>105</v>
      </c>
      <c r="L786" s="1" t="s">
        <v>2475</v>
      </c>
      <c r="M786" s="1" t="s">
        <v>72</v>
      </c>
      <c r="N786" s="1" t="s">
        <v>2937</v>
      </c>
      <c r="O786" s="1" t="s">
        <v>7125</v>
      </c>
      <c r="P786" s="1" t="s">
        <v>128</v>
      </c>
      <c r="Q786" s="1" t="s">
        <v>7126</v>
      </c>
      <c r="R786" s="1" t="s">
        <v>7127</v>
      </c>
      <c r="S786" s="1" t="s">
        <v>7128</v>
      </c>
      <c r="T786" s="1" t="s">
        <v>52</v>
      </c>
      <c r="U786" s="1" t="s">
        <v>53</v>
      </c>
    </row>
    <row r="787" customFormat="false" ht="15" hidden="false" customHeight="true" outlineLevel="0" collapsed="false">
      <c r="A787" s="1" t="s">
        <v>2476</v>
      </c>
      <c r="B787" s="1" t="s">
        <v>7129</v>
      </c>
      <c r="C787" s="1" t="s">
        <v>3141</v>
      </c>
      <c r="D787" s="1" t="s">
        <v>2477</v>
      </c>
      <c r="E787" s="1" t="s">
        <v>192</v>
      </c>
      <c r="F787" s="1" t="s">
        <v>58</v>
      </c>
      <c r="G787" s="1" t="s">
        <v>42</v>
      </c>
      <c r="H787" s="1" t="s">
        <v>270</v>
      </c>
      <c r="I787" s="1" t="s">
        <v>271</v>
      </c>
      <c r="J787" s="1" t="s">
        <v>46</v>
      </c>
      <c r="K787" s="1" t="s">
        <v>151</v>
      </c>
      <c r="L787" s="1" t="s">
        <v>2478</v>
      </c>
      <c r="M787" s="1" t="s">
        <v>65</v>
      </c>
      <c r="N787" s="1" t="s">
        <v>2868</v>
      </c>
      <c r="O787" s="1" t="s">
        <v>7130</v>
      </c>
      <c r="P787" s="1" t="s">
        <v>84</v>
      </c>
      <c r="Q787" s="1" t="s">
        <v>7131</v>
      </c>
      <c r="R787" s="1" t="s">
        <v>7132</v>
      </c>
      <c r="S787" s="1" t="s">
        <v>7133</v>
      </c>
      <c r="T787" s="1" t="s">
        <v>185</v>
      </c>
      <c r="U787" s="1" t="s">
        <v>93</v>
      </c>
    </row>
    <row r="788" customFormat="false" ht="15" hidden="false" customHeight="true" outlineLevel="0" collapsed="false">
      <c r="A788" s="1" t="s">
        <v>2479</v>
      </c>
      <c r="B788" s="1" t="s">
        <v>4311</v>
      </c>
      <c r="C788" s="1" t="s">
        <v>6201</v>
      </c>
      <c r="D788" s="1" t="s">
        <v>2480</v>
      </c>
      <c r="E788" s="1" t="s">
        <v>87</v>
      </c>
      <c r="F788" s="1" t="s">
        <v>116</v>
      </c>
      <c r="G788" s="1" t="s">
        <v>42</v>
      </c>
      <c r="H788" s="1" t="s">
        <v>44</v>
      </c>
      <c r="I788" s="1" t="s">
        <v>45</v>
      </c>
      <c r="J788" s="1" t="s">
        <v>62</v>
      </c>
      <c r="K788" s="1" t="s">
        <v>81</v>
      </c>
      <c r="L788" s="1" t="s">
        <v>2481</v>
      </c>
      <c r="N788" s="1" t="s">
        <v>2937</v>
      </c>
      <c r="O788" s="1" t="s">
        <v>7134</v>
      </c>
      <c r="P788" s="1" t="s">
        <v>128</v>
      </c>
      <c r="Q788" s="1" t="s">
        <v>7135</v>
      </c>
      <c r="R788" s="1" t="s">
        <v>7136</v>
      </c>
      <c r="S788" s="1" t="s">
        <v>7137</v>
      </c>
      <c r="T788" s="1" t="s">
        <v>129</v>
      </c>
      <c r="U788" s="1" t="s">
        <v>130</v>
      </c>
    </row>
    <row r="789" customFormat="false" ht="15" hidden="false" customHeight="true" outlineLevel="0" collapsed="false">
      <c r="A789" s="1" t="s">
        <v>2482</v>
      </c>
      <c r="B789" s="1" t="s">
        <v>4370</v>
      </c>
      <c r="C789" s="1" t="s">
        <v>7138</v>
      </c>
      <c r="D789" s="1" t="s">
        <v>2483</v>
      </c>
      <c r="E789" s="1" t="s">
        <v>87</v>
      </c>
      <c r="F789" s="1" t="s">
        <v>121</v>
      </c>
      <c r="G789" s="1" t="s">
        <v>59</v>
      </c>
      <c r="H789" s="1" t="s">
        <v>174</v>
      </c>
      <c r="I789" s="1" t="s">
        <v>175</v>
      </c>
      <c r="J789" s="1" t="s">
        <v>46</v>
      </c>
      <c r="K789" s="1" t="s">
        <v>47</v>
      </c>
      <c r="L789" s="1" t="s">
        <v>2484</v>
      </c>
      <c r="M789" s="1" t="s">
        <v>49</v>
      </c>
      <c r="N789" s="1" t="s">
        <v>2868</v>
      </c>
      <c r="O789" s="1" t="s">
        <v>7139</v>
      </c>
      <c r="P789" s="1" t="s">
        <v>128</v>
      </c>
      <c r="Q789" s="1" t="s">
        <v>7140</v>
      </c>
      <c r="R789" s="1" t="s">
        <v>7141</v>
      </c>
      <c r="S789" s="1" t="s">
        <v>7142</v>
      </c>
      <c r="T789" s="1" t="s">
        <v>52</v>
      </c>
      <c r="U789" s="1" t="s">
        <v>53</v>
      </c>
    </row>
    <row r="790" customFormat="false" ht="15" hidden="false" customHeight="true" outlineLevel="0" collapsed="false">
      <c r="A790" s="1" t="s">
        <v>2485</v>
      </c>
      <c r="B790" s="1" t="s">
        <v>4345</v>
      </c>
      <c r="C790" s="1" t="s">
        <v>3446</v>
      </c>
      <c r="D790" s="1" t="s">
        <v>2486</v>
      </c>
      <c r="E790" s="1" t="s">
        <v>69</v>
      </c>
      <c r="F790" s="1" t="s">
        <v>116</v>
      </c>
      <c r="G790" s="1" t="s">
        <v>42</v>
      </c>
      <c r="H790" s="1" t="s">
        <v>163</v>
      </c>
      <c r="I790" s="1" t="s">
        <v>164</v>
      </c>
      <c r="J790" s="1" t="s">
        <v>62</v>
      </c>
      <c r="K790" s="1" t="s">
        <v>91</v>
      </c>
      <c r="L790" s="1" t="s">
        <v>2487</v>
      </c>
      <c r="M790" s="1" t="s">
        <v>83</v>
      </c>
      <c r="N790" s="1" t="s">
        <v>2861</v>
      </c>
      <c r="O790" s="1" t="s">
        <v>7143</v>
      </c>
      <c r="P790" s="1" t="s">
        <v>203</v>
      </c>
      <c r="Q790" s="1" t="s">
        <v>7144</v>
      </c>
      <c r="R790" s="1" t="s">
        <v>7145</v>
      </c>
      <c r="S790" s="1" t="s">
        <v>7146</v>
      </c>
      <c r="T790" s="1" t="s">
        <v>185</v>
      </c>
      <c r="U790" s="1" t="s">
        <v>130</v>
      </c>
    </row>
    <row r="791" customFormat="false" ht="15" hidden="false" customHeight="true" outlineLevel="0" collapsed="false">
      <c r="A791" s="1" t="s">
        <v>2488</v>
      </c>
      <c r="B791" s="1" t="s">
        <v>7147</v>
      </c>
      <c r="C791" s="1" t="s">
        <v>5561</v>
      </c>
      <c r="D791" s="1" t="s">
        <v>2489</v>
      </c>
      <c r="E791" s="1" t="s">
        <v>141</v>
      </c>
      <c r="F791" s="1" t="s">
        <v>121</v>
      </c>
      <c r="H791" s="1" t="s">
        <v>44</v>
      </c>
      <c r="I791" s="1" t="s">
        <v>136</v>
      </c>
      <c r="J791" s="1" t="s">
        <v>99</v>
      </c>
      <c r="K791" s="1" t="s">
        <v>105</v>
      </c>
      <c r="L791" s="1" t="s">
        <v>2490</v>
      </c>
      <c r="M791" s="1" t="s">
        <v>65</v>
      </c>
      <c r="N791" s="1" t="s">
        <v>2937</v>
      </c>
      <c r="O791" s="1" t="s">
        <v>7148</v>
      </c>
      <c r="P791" s="1" t="s">
        <v>66</v>
      </c>
      <c r="Q791" s="1" t="s">
        <v>7149</v>
      </c>
      <c r="R791" s="1" t="s">
        <v>7150</v>
      </c>
      <c r="S791" s="1" t="s">
        <v>7151</v>
      </c>
      <c r="T791" s="1" t="s">
        <v>52</v>
      </c>
      <c r="U791" s="1" t="s">
        <v>53</v>
      </c>
    </row>
    <row r="792" customFormat="false" ht="15" hidden="false" customHeight="true" outlineLevel="0" collapsed="false">
      <c r="A792" s="1" t="s">
        <v>2491</v>
      </c>
      <c r="B792" s="1" t="s">
        <v>7152</v>
      </c>
      <c r="C792" s="1" t="s">
        <v>7153</v>
      </c>
      <c r="D792" s="1" t="s">
        <v>2492</v>
      </c>
      <c r="E792" s="1" t="s">
        <v>145</v>
      </c>
      <c r="F792" s="1" t="s">
        <v>116</v>
      </c>
      <c r="G792" s="1" t="s">
        <v>78</v>
      </c>
      <c r="H792" s="1" t="s">
        <v>110</v>
      </c>
      <c r="I792" s="1" t="s">
        <v>111</v>
      </c>
      <c r="J792" s="1" t="s">
        <v>46</v>
      </c>
      <c r="K792" s="1" t="s">
        <v>70</v>
      </c>
      <c r="L792" s="1" t="s">
        <v>2493</v>
      </c>
      <c r="M792" s="1" t="s">
        <v>83</v>
      </c>
      <c r="N792" s="1" t="s">
        <v>2861</v>
      </c>
      <c r="O792" s="1" t="s">
        <v>7154</v>
      </c>
      <c r="P792" s="1" t="s">
        <v>50</v>
      </c>
      <c r="Q792" s="1" t="s">
        <v>7155</v>
      </c>
      <c r="R792" s="1" t="s">
        <v>7156</v>
      </c>
      <c r="S792" s="1" t="s">
        <v>7157</v>
      </c>
      <c r="T792" s="1" t="s">
        <v>52</v>
      </c>
      <c r="U792" s="1" t="s">
        <v>53</v>
      </c>
    </row>
    <row r="793" customFormat="false" ht="15" hidden="false" customHeight="true" outlineLevel="0" collapsed="false">
      <c r="A793" s="1" t="s">
        <v>2494</v>
      </c>
      <c r="B793" s="1" t="s">
        <v>6389</v>
      </c>
      <c r="C793" s="1" t="s">
        <v>7158</v>
      </c>
      <c r="D793" s="1" t="s">
        <v>2495</v>
      </c>
      <c r="E793" s="1" t="s">
        <v>145</v>
      </c>
      <c r="F793" s="1" t="s">
        <v>121</v>
      </c>
      <c r="G793" s="1" t="s">
        <v>78</v>
      </c>
      <c r="H793" s="1" t="s">
        <v>206</v>
      </c>
      <c r="I793" s="1" t="s">
        <v>207</v>
      </c>
      <c r="J793" s="1" t="s">
        <v>62</v>
      </c>
      <c r="K793" s="1" t="s">
        <v>188</v>
      </c>
      <c r="L793" s="1" t="s">
        <v>2496</v>
      </c>
      <c r="M793" s="1" t="s">
        <v>65</v>
      </c>
      <c r="N793" s="1" t="s">
        <v>2861</v>
      </c>
      <c r="O793" s="1" t="s">
        <v>7159</v>
      </c>
      <c r="P793" s="1" t="s">
        <v>84</v>
      </c>
      <c r="Q793" s="1" t="s">
        <v>7160</v>
      </c>
      <c r="R793" s="1" t="s">
        <v>7161</v>
      </c>
      <c r="S793" s="1" t="s">
        <v>7162</v>
      </c>
      <c r="T793" s="1" t="s">
        <v>52</v>
      </c>
      <c r="U793" s="1" t="s">
        <v>53</v>
      </c>
    </row>
    <row r="794" customFormat="false" ht="15" hidden="false" customHeight="true" outlineLevel="0" collapsed="false">
      <c r="A794" s="1" t="s">
        <v>2497</v>
      </c>
      <c r="B794" s="1" t="s">
        <v>4261</v>
      </c>
      <c r="C794" s="1" t="s">
        <v>7163</v>
      </c>
      <c r="D794" s="1" t="s">
        <v>2498</v>
      </c>
      <c r="E794" s="1" t="s">
        <v>77</v>
      </c>
      <c r="F794" s="1" t="s">
        <v>58</v>
      </c>
      <c r="G794" s="1" t="s">
        <v>59</v>
      </c>
      <c r="H794" s="1" t="s">
        <v>196</v>
      </c>
      <c r="I794" s="1" t="s">
        <v>197</v>
      </c>
      <c r="J794" s="1" t="s">
        <v>62</v>
      </c>
      <c r="K794" s="1" t="s">
        <v>81</v>
      </c>
      <c r="L794" s="1" t="s">
        <v>2499</v>
      </c>
      <c r="M794" s="1" t="s">
        <v>49</v>
      </c>
      <c r="N794" s="1" t="s">
        <v>2836</v>
      </c>
      <c r="O794" s="1" t="s">
        <v>7164</v>
      </c>
      <c r="P794" s="1" t="s">
        <v>50</v>
      </c>
      <c r="Q794" s="1" t="s">
        <v>7165</v>
      </c>
      <c r="R794" s="1" t="s">
        <v>7166</v>
      </c>
      <c r="S794" s="1" t="s">
        <v>7167</v>
      </c>
      <c r="T794" s="1" t="s">
        <v>52</v>
      </c>
      <c r="U794" s="1" t="s">
        <v>130</v>
      </c>
    </row>
    <row r="795" customFormat="false" ht="15" hidden="false" customHeight="true" outlineLevel="0" collapsed="false">
      <c r="A795" s="1" t="s">
        <v>2500</v>
      </c>
      <c r="B795" s="1" t="s">
        <v>2973</v>
      </c>
      <c r="C795" s="1" t="s">
        <v>7168</v>
      </c>
      <c r="D795" s="1" t="s">
        <v>2501</v>
      </c>
      <c r="E795" s="1" t="s">
        <v>96</v>
      </c>
      <c r="F795" s="1" t="s">
        <v>116</v>
      </c>
      <c r="G795" s="1" t="s">
        <v>42</v>
      </c>
      <c r="H795" s="1" t="s">
        <v>44</v>
      </c>
      <c r="I795" s="1" t="s">
        <v>45</v>
      </c>
      <c r="J795" s="1" t="s">
        <v>99</v>
      </c>
      <c r="K795" s="1" t="s">
        <v>105</v>
      </c>
      <c r="L795" s="1" t="s">
        <v>2502</v>
      </c>
      <c r="M795" s="1" t="s">
        <v>49</v>
      </c>
      <c r="N795" s="1" t="s">
        <v>2829</v>
      </c>
      <c r="O795" s="1" t="s">
        <v>7169</v>
      </c>
      <c r="P795" s="1" t="s">
        <v>66</v>
      </c>
      <c r="Q795" s="1" t="s">
        <v>7170</v>
      </c>
      <c r="R795" s="1" t="s">
        <v>7171</v>
      </c>
      <c r="S795" s="1" t="s">
        <v>7172</v>
      </c>
      <c r="T795" s="1" t="s">
        <v>52</v>
      </c>
      <c r="U795" s="1" t="s">
        <v>53</v>
      </c>
    </row>
    <row r="796" customFormat="false" ht="15" hidden="false" customHeight="true" outlineLevel="0" collapsed="false">
      <c r="A796" s="1" t="s">
        <v>2503</v>
      </c>
      <c r="B796" s="1" t="s">
        <v>7173</v>
      </c>
      <c r="C796" s="1" t="s">
        <v>3981</v>
      </c>
      <c r="D796" s="1" t="s">
        <v>2504</v>
      </c>
      <c r="E796" s="1" t="s">
        <v>159</v>
      </c>
      <c r="F796" s="1" t="s">
        <v>116</v>
      </c>
      <c r="G796" s="1" t="s">
        <v>59</v>
      </c>
      <c r="H796" s="1" t="s">
        <v>196</v>
      </c>
      <c r="I796" s="1" t="s">
        <v>197</v>
      </c>
      <c r="J796" s="1" t="s">
        <v>46</v>
      </c>
      <c r="K796" s="1" t="s">
        <v>47</v>
      </c>
      <c r="L796" s="1" t="s">
        <v>2505</v>
      </c>
      <c r="M796" s="1" t="s">
        <v>83</v>
      </c>
      <c r="N796" s="1" t="s">
        <v>2899</v>
      </c>
      <c r="O796" s="1" t="s">
        <v>7174</v>
      </c>
      <c r="P796" s="1" t="s">
        <v>107</v>
      </c>
      <c r="Q796" s="1" t="s">
        <v>7175</v>
      </c>
      <c r="R796" s="1" t="s">
        <v>7176</v>
      </c>
      <c r="S796" s="1" t="s">
        <v>7177</v>
      </c>
      <c r="T796" s="1" t="s">
        <v>52</v>
      </c>
      <c r="U796" s="1" t="s">
        <v>53</v>
      </c>
    </row>
    <row r="797" customFormat="false" ht="15" hidden="false" customHeight="true" outlineLevel="0" collapsed="false">
      <c r="A797" s="1" t="s">
        <v>2506</v>
      </c>
      <c r="B797" s="1" t="s">
        <v>7178</v>
      </c>
      <c r="C797" s="1" t="s">
        <v>3436</v>
      </c>
      <c r="D797" s="1" t="s">
        <v>2507</v>
      </c>
      <c r="E797" s="1" t="s">
        <v>192</v>
      </c>
      <c r="F797" s="1" t="s">
        <v>121</v>
      </c>
      <c r="G797" s="1" t="s">
        <v>59</v>
      </c>
      <c r="H797" s="1" t="s">
        <v>60</v>
      </c>
      <c r="I797" s="1" t="s">
        <v>61</v>
      </c>
      <c r="J797" s="1" t="s">
        <v>99</v>
      </c>
      <c r="K797" s="1" t="s">
        <v>105</v>
      </c>
      <c r="L797" s="1" t="s">
        <v>2508</v>
      </c>
      <c r="M797" s="1" t="s">
        <v>65</v>
      </c>
      <c r="N797" s="1" t="s">
        <v>2899</v>
      </c>
      <c r="O797" s="1" t="s">
        <v>7179</v>
      </c>
      <c r="P797" s="1" t="s">
        <v>66</v>
      </c>
      <c r="Q797" s="1" t="s">
        <v>7180</v>
      </c>
      <c r="R797" s="1" t="s">
        <v>7181</v>
      </c>
      <c r="S797" s="1" t="s">
        <v>7182</v>
      </c>
      <c r="T797" s="1" t="s">
        <v>129</v>
      </c>
      <c r="U797" s="1" t="s">
        <v>93</v>
      </c>
    </row>
    <row r="798" customFormat="false" ht="15" hidden="false" customHeight="true" outlineLevel="0" collapsed="false">
      <c r="A798" s="1" t="s">
        <v>2509</v>
      </c>
      <c r="B798" s="1" t="s">
        <v>3739</v>
      </c>
      <c r="C798" s="1" t="s">
        <v>7183</v>
      </c>
      <c r="D798" s="1" t="s">
        <v>2510</v>
      </c>
      <c r="E798" s="1" t="s">
        <v>168</v>
      </c>
      <c r="F798" s="1" t="s">
        <v>58</v>
      </c>
      <c r="G798" s="1" t="s">
        <v>78</v>
      </c>
      <c r="H798" s="1" t="s">
        <v>110</v>
      </c>
      <c r="I798" s="1" t="s">
        <v>111</v>
      </c>
      <c r="J798" s="1" t="s">
        <v>99</v>
      </c>
      <c r="K798" s="1" t="s">
        <v>308</v>
      </c>
      <c r="L798" s="1" t="s">
        <v>2511</v>
      </c>
      <c r="M798" s="1" t="s">
        <v>72</v>
      </c>
      <c r="N798" s="1" t="s">
        <v>2815</v>
      </c>
      <c r="O798" s="1" t="s">
        <v>7184</v>
      </c>
      <c r="P798" s="1" t="s">
        <v>107</v>
      </c>
      <c r="Q798" s="1" t="s">
        <v>7185</v>
      </c>
      <c r="R798" s="1" t="s">
        <v>7186</v>
      </c>
      <c r="S798" s="1" t="s">
        <v>7187</v>
      </c>
      <c r="T798" s="1" t="s">
        <v>52</v>
      </c>
      <c r="U798" s="1" t="s">
        <v>53</v>
      </c>
    </row>
    <row r="799" customFormat="false" ht="15" hidden="false" customHeight="true" outlineLevel="0" collapsed="false">
      <c r="A799" s="1" t="s">
        <v>2512</v>
      </c>
      <c r="B799" s="1" t="s">
        <v>7188</v>
      </c>
      <c r="C799" s="1" t="s">
        <v>7078</v>
      </c>
      <c r="D799" s="1" t="s">
        <v>2513</v>
      </c>
      <c r="E799" s="1" t="s">
        <v>155</v>
      </c>
      <c r="F799" s="1" t="s">
        <v>41</v>
      </c>
      <c r="G799" s="1" t="s">
        <v>59</v>
      </c>
      <c r="H799" s="1" t="s">
        <v>60</v>
      </c>
      <c r="I799" s="1" t="s">
        <v>61</v>
      </c>
      <c r="J799" s="1" t="s">
        <v>46</v>
      </c>
      <c r="K799" s="1" t="s">
        <v>183</v>
      </c>
      <c r="L799" s="1" t="s">
        <v>2514</v>
      </c>
      <c r="M799" s="1" t="s">
        <v>72</v>
      </c>
      <c r="N799" s="1" t="s">
        <v>2861</v>
      </c>
      <c r="O799" s="1" t="s">
        <v>7189</v>
      </c>
      <c r="P799" s="1" t="s">
        <v>66</v>
      </c>
      <c r="Q799" s="1" t="s">
        <v>7190</v>
      </c>
      <c r="R799" s="1" t="s">
        <v>7191</v>
      </c>
      <c r="S799" s="1" t="s">
        <v>7192</v>
      </c>
      <c r="T799" s="1" t="s">
        <v>185</v>
      </c>
      <c r="U799" s="1" t="s">
        <v>93</v>
      </c>
    </row>
    <row r="800" customFormat="false" ht="15" hidden="false" customHeight="true" outlineLevel="0" collapsed="false">
      <c r="A800" s="1" t="s">
        <v>2515</v>
      </c>
      <c r="B800" s="1" t="s">
        <v>7193</v>
      </c>
      <c r="C800" s="1" t="s">
        <v>7194</v>
      </c>
      <c r="D800" s="1" t="s">
        <v>2516</v>
      </c>
      <c r="E800" s="1" t="s">
        <v>115</v>
      </c>
      <c r="F800" s="1" t="s">
        <v>116</v>
      </c>
      <c r="G800" s="1" t="s">
        <v>42</v>
      </c>
      <c r="H800" s="1" t="s">
        <v>384</v>
      </c>
      <c r="I800" s="1" t="s">
        <v>385</v>
      </c>
      <c r="J800" s="1" t="s">
        <v>62</v>
      </c>
      <c r="K800" s="1" t="s">
        <v>81</v>
      </c>
      <c r="L800" s="1" t="s">
        <v>2517</v>
      </c>
      <c r="M800" s="1" t="s">
        <v>83</v>
      </c>
      <c r="N800" s="1" t="s">
        <v>2899</v>
      </c>
      <c r="O800" s="1" t="s">
        <v>7195</v>
      </c>
      <c r="P800" s="1" t="s">
        <v>66</v>
      </c>
      <c r="Q800" s="1" t="s">
        <v>7196</v>
      </c>
      <c r="R800" s="1" t="s">
        <v>7197</v>
      </c>
      <c r="S800" s="1" t="s">
        <v>7198</v>
      </c>
      <c r="T800" s="1" t="s">
        <v>52</v>
      </c>
      <c r="U800" s="1" t="s">
        <v>53</v>
      </c>
    </row>
    <row r="801" customFormat="false" ht="15" hidden="false" customHeight="true" outlineLevel="0" collapsed="false">
      <c r="A801" s="1" t="s">
        <v>2518</v>
      </c>
      <c r="B801" s="1" t="s">
        <v>6812</v>
      </c>
      <c r="C801" s="1" t="s">
        <v>5824</v>
      </c>
      <c r="D801" s="1" t="s">
        <v>2519</v>
      </c>
      <c r="E801" s="1" t="s">
        <v>69</v>
      </c>
      <c r="F801" s="1" t="s">
        <v>121</v>
      </c>
      <c r="G801" s="1" t="s">
        <v>42</v>
      </c>
      <c r="H801" s="1" t="s">
        <v>270</v>
      </c>
      <c r="I801" s="1" t="s">
        <v>271</v>
      </c>
      <c r="J801" s="1" t="s">
        <v>99</v>
      </c>
      <c r="K801" s="1" t="s">
        <v>100</v>
      </c>
      <c r="L801" s="1" t="s">
        <v>2520</v>
      </c>
      <c r="N801" s="1" t="s">
        <v>2829</v>
      </c>
      <c r="O801" s="1" t="s">
        <v>7199</v>
      </c>
      <c r="P801" s="1" t="s">
        <v>128</v>
      </c>
      <c r="Q801" s="1" t="s">
        <v>7200</v>
      </c>
      <c r="R801" s="1" t="s">
        <v>7201</v>
      </c>
      <c r="S801" s="1" t="s">
        <v>7202</v>
      </c>
      <c r="T801" s="1" t="s">
        <v>52</v>
      </c>
      <c r="U801" s="1" t="s">
        <v>130</v>
      </c>
    </row>
    <row r="802" customFormat="false" ht="15" hidden="false" customHeight="true" outlineLevel="0" collapsed="false">
      <c r="A802" s="1" t="s">
        <v>2521</v>
      </c>
      <c r="B802" s="1" t="s">
        <v>7203</v>
      </c>
      <c r="C802" s="1" t="s">
        <v>7204</v>
      </c>
      <c r="D802" s="1" t="s">
        <v>2522</v>
      </c>
      <c r="E802" s="1" t="s">
        <v>96</v>
      </c>
      <c r="F802" s="1" t="s">
        <v>58</v>
      </c>
      <c r="G802" s="1" t="s">
        <v>88</v>
      </c>
      <c r="H802" s="1" t="s">
        <v>89</v>
      </c>
      <c r="I802" s="1" t="s">
        <v>90</v>
      </c>
      <c r="J802" s="1" t="s">
        <v>46</v>
      </c>
      <c r="K802" s="1" t="s">
        <v>151</v>
      </c>
      <c r="L802" s="1" t="s">
        <v>2523</v>
      </c>
      <c r="M802" s="1" t="s">
        <v>49</v>
      </c>
      <c r="N802" s="1" t="s">
        <v>2815</v>
      </c>
      <c r="O802" s="1" t="s">
        <v>7205</v>
      </c>
      <c r="P802" s="1" t="s">
        <v>107</v>
      </c>
      <c r="Q802" s="1" t="s">
        <v>7206</v>
      </c>
      <c r="R802" s="1" t="s">
        <v>7207</v>
      </c>
      <c r="S802" s="1" t="s">
        <v>7208</v>
      </c>
      <c r="T802" s="1" t="s">
        <v>52</v>
      </c>
      <c r="U802" s="1" t="s">
        <v>53</v>
      </c>
    </row>
    <row r="803" customFormat="false" ht="15" hidden="false" customHeight="true" outlineLevel="0" collapsed="false">
      <c r="A803" s="1" t="s">
        <v>2524</v>
      </c>
      <c r="B803" s="1" t="s">
        <v>7209</v>
      </c>
      <c r="C803" s="1" t="s">
        <v>3184</v>
      </c>
      <c r="D803" s="1" t="s">
        <v>2525</v>
      </c>
      <c r="E803" s="1" t="s">
        <v>155</v>
      </c>
      <c r="F803" s="1" t="s">
        <v>121</v>
      </c>
      <c r="G803" s="1" t="s">
        <v>59</v>
      </c>
      <c r="H803" s="1" t="s">
        <v>60</v>
      </c>
      <c r="I803" s="1" t="s">
        <v>61</v>
      </c>
      <c r="J803" s="1" t="s">
        <v>99</v>
      </c>
      <c r="K803" s="1" t="s">
        <v>100</v>
      </c>
      <c r="L803" s="1" t="s">
        <v>2526</v>
      </c>
      <c r="M803" s="1" t="s">
        <v>49</v>
      </c>
      <c r="N803" s="1" t="s">
        <v>2822</v>
      </c>
      <c r="O803" s="1" t="s">
        <v>7210</v>
      </c>
      <c r="P803" s="1" t="s">
        <v>50</v>
      </c>
      <c r="Q803" s="1" t="s">
        <v>7211</v>
      </c>
      <c r="R803" s="1" t="s">
        <v>7212</v>
      </c>
      <c r="S803" s="1" t="s">
        <v>7213</v>
      </c>
      <c r="T803" s="1" t="s">
        <v>138</v>
      </c>
      <c r="U803" s="1" t="s">
        <v>93</v>
      </c>
    </row>
    <row r="804" customFormat="false" ht="15" hidden="false" customHeight="true" outlineLevel="0" collapsed="false">
      <c r="A804" s="1" t="s">
        <v>2527</v>
      </c>
      <c r="B804" s="1" t="s">
        <v>6588</v>
      </c>
      <c r="C804" s="1" t="s">
        <v>7214</v>
      </c>
      <c r="D804" s="1" t="s">
        <v>2528</v>
      </c>
      <c r="E804" s="1" t="s">
        <v>168</v>
      </c>
      <c r="F804" s="1" t="s">
        <v>58</v>
      </c>
      <c r="G804" s="1" t="s">
        <v>59</v>
      </c>
      <c r="H804" s="1" t="s">
        <v>196</v>
      </c>
      <c r="I804" s="1" t="s">
        <v>197</v>
      </c>
      <c r="J804" s="1" t="s">
        <v>62</v>
      </c>
      <c r="K804" s="1" t="s">
        <v>81</v>
      </c>
      <c r="L804" s="1" t="s">
        <v>2529</v>
      </c>
      <c r="M804" s="1" t="s">
        <v>49</v>
      </c>
      <c r="N804" s="1" t="s">
        <v>2815</v>
      </c>
      <c r="O804" s="1" t="s">
        <v>7215</v>
      </c>
      <c r="P804" s="1" t="s">
        <v>66</v>
      </c>
      <c r="Q804" s="1" t="s">
        <v>7216</v>
      </c>
      <c r="R804" s="1" t="s">
        <v>7217</v>
      </c>
      <c r="S804" s="1" t="s">
        <v>7218</v>
      </c>
      <c r="T804" s="1" t="s">
        <v>7219</v>
      </c>
      <c r="U804" s="1" t="s">
        <v>130</v>
      </c>
    </row>
    <row r="805" customFormat="false" ht="15" hidden="false" customHeight="true" outlineLevel="0" collapsed="false">
      <c r="A805" s="1" t="s">
        <v>2530</v>
      </c>
      <c r="B805" s="1" t="s">
        <v>7220</v>
      </c>
      <c r="C805" s="1" t="s">
        <v>3670</v>
      </c>
      <c r="D805" s="1" t="s">
        <v>2531</v>
      </c>
      <c r="E805" s="1" t="s">
        <v>168</v>
      </c>
      <c r="F805" s="1" t="s">
        <v>41</v>
      </c>
      <c r="H805" s="1" t="s">
        <v>262</v>
      </c>
      <c r="I805" s="1" t="s">
        <v>263</v>
      </c>
      <c r="J805" s="1" t="s">
        <v>46</v>
      </c>
      <c r="K805" s="1" t="s">
        <v>117</v>
      </c>
      <c r="L805" s="1" t="s">
        <v>2532</v>
      </c>
      <c r="M805" s="1" t="s">
        <v>72</v>
      </c>
      <c r="N805" s="1" t="s">
        <v>2836</v>
      </c>
      <c r="O805" s="1" t="s">
        <v>7221</v>
      </c>
      <c r="P805" s="1" t="s">
        <v>66</v>
      </c>
      <c r="Q805" s="1" t="s">
        <v>7221</v>
      </c>
      <c r="R805" s="1" t="s">
        <v>7222</v>
      </c>
      <c r="S805" s="1" t="s">
        <v>7223</v>
      </c>
      <c r="T805" s="1" t="s">
        <v>52</v>
      </c>
      <c r="U805" s="1" t="s">
        <v>53</v>
      </c>
    </row>
    <row r="806" customFormat="false" ht="15" hidden="false" customHeight="true" outlineLevel="0" collapsed="false">
      <c r="A806" s="1" t="s">
        <v>2533</v>
      </c>
      <c r="B806" s="1" t="s">
        <v>3972</v>
      </c>
      <c r="C806" s="1" t="s">
        <v>5404</v>
      </c>
      <c r="D806" s="1" t="s">
        <v>2534</v>
      </c>
      <c r="E806" s="1" t="s">
        <v>145</v>
      </c>
      <c r="F806" s="1" t="s">
        <v>121</v>
      </c>
      <c r="G806" s="1" t="s">
        <v>78</v>
      </c>
      <c r="H806" s="1" t="s">
        <v>79</v>
      </c>
      <c r="I806" s="1" t="s">
        <v>80</v>
      </c>
      <c r="J806" s="1" t="s">
        <v>62</v>
      </c>
      <c r="K806" s="1" t="s">
        <v>81</v>
      </c>
      <c r="L806" s="1" t="s">
        <v>2535</v>
      </c>
      <c r="M806" s="1" t="s">
        <v>83</v>
      </c>
      <c r="N806" s="1" t="s">
        <v>2836</v>
      </c>
      <c r="O806" s="1" t="s">
        <v>7224</v>
      </c>
      <c r="P806" s="1" t="s">
        <v>128</v>
      </c>
      <c r="Q806" s="1" t="s">
        <v>7225</v>
      </c>
      <c r="R806" s="1" t="s">
        <v>7226</v>
      </c>
      <c r="S806" s="1" t="s">
        <v>7227</v>
      </c>
      <c r="T806" s="1" t="s">
        <v>52</v>
      </c>
      <c r="U806" s="1" t="s">
        <v>53</v>
      </c>
    </row>
    <row r="807" customFormat="false" ht="15" hidden="false" customHeight="true" outlineLevel="0" collapsed="false">
      <c r="A807" s="1" t="s">
        <v>2536</v>
      </c>
      <c r="B807" s="1" t="s">
        <v>4360</v>
      </c>
      <c r="C807" s="1" t="s">
        <v>4062</v>
      </c>
      <c r="D807" s="1" t="s">
        <v>2401</v>
      </c>
      <c r="E807" s="1" t="s">
        <v>141</v>
      </c>
      <c r="F807" s="1" t="s">
        <v>121</v>
      </c>
      <c r="G807" s="1" t="s">
        <v>59</v>
      </c>
      <c r="H807" s="1" t="s">
        <v>196</v>
      </c>
      <c r="I807" s="1" t="s">
        <v>197</v>
      </c>
      <c r="J807" s="1" t="s">
        <v>46</v>
      </c>
      <c r="K807" s="1" t="s">
        <v>183</v>
      </c>
      <c r="L807" s="1" t="s">
        <v>2537</v>
      </c>
      <c r="M807" s="1" t="s">
        <v>49</v>
      </c>
      <c r="N807" s="1" t="s">
        <v>2868</v>
      </c>
      <c r="O807" s="1" t="s">
        <v>7228</v>
      </c>
      <c r="P807" s="1" t="s">
        <v>84</v>
      </c>
      <c r="Q807" s="1" t="s">
        <v>7229</v>
      </c>
      <c r="R807" s="1" t="s">
        <v>7230</v>
      </c>
      <c r="S807" s="1" t="s">
        <v>7231</v>
      </c>
      <c r="T807" s="1" t="s">
        <v>52</v>
      </c>
      <c r="U807" s="1" t="s">
        <v>53</v>
      </c>
    </row>
    <row r="808" customFormat="false" ht="15" hidden="false" customHeight="true" outlineLevel="0" collapsed="false">
      <c r="A808" s="1" t="s">
        <v>2538</v>
      </c>
      <c r="B808" s="1" t="s">
        <v>7232</v>
      </c>
      <c r="C808" s="1" t="s">
        <v>7233</v>
      </c>
      <c r="D808" s="1" t="s">
        <v>2539</v>
      </c>
      <c r="E808" s="1" t="s">
        <v>69</v>
      </c>
      <c r="F808" s="1" t="s">
        <v>121</v>
      </c>
      <c r="G808" s="1" t="s">
        <v>42</v>
      </c>
      <c r="H808" s="1" t="s">
        <v>44</v>
      </c>
      <c r="I808" s="1" t="s">
        <v>45</v>
      </c>
      <c r="J808" s="1" t="s">
        <v>99</v>
      </c>
      <c r="K808" s="1" t="s">
        <v>105</v>
      </c>
      <c r="L808" s="1" t="s">
        <v>2540</v>
      </c>
      <c r="M808" s="1" t="s">
        <v>83</v>
      </c>
      <c r="N808" s="1" t="s">
        <v>2836</v>
      </c>
      <c r="O808" s="1" t="s">
        <v>7234</v>
      </c>
      <c r="P808" s="1" t="s">
        <v>50</v>
      </c>
      <c r="Q808" s="1" t="s">
        <v>7235</v>
      </c>
      <c r="R808" s="1" t="s">
        <v>7236</v>
      </c>
      <c r="S808" s="1" t="s">
        <v>7237</v>
      </c>
      <c r="T808" s="1" t="s">
        <v>185</v>
      </c>
      <c r="U808" s="1" t="s">
        <v>93</v>
      </c>
    </row>
    <row r="809" customFormat="false" ht="15" hidden="false" customHeight="true" outlineLevel="0" collapsed="false">
      <c r="A809" s="1" t="s">
        <v>2541</v>
      </c>
      <c r="B809" s="1" t="s">
        <v>4317</v>
      </c>
      <c r="C809" s="1" t="s">
        <v>5495</v>
      </c>
      <c r="D809" s="1" t="s">
        <v>2542</v>
      </c>
      <c r="E809" s="1" t="s">
        <v>40</v>
      </c>
      <c r="F809" s="1" t="s">
        <v>58</v>
      </c>
      <c r="G809" s="1" t="s">
        <v>78</v>
      </c>
      <c r="H809" s="1" t="s">
        <v>79</v>
      </c>
      <c r="I809" s="1" t="s">
        <v>80</v>
      </c>
      <c r="J809" s="1" t="s">
        <v>46</v>
      </c>
      <c r="K809" s="1" t="s">
        <v>117</v>
      </c>
      <c r="L809" s="1" t="s">
        <v>2543</v>
      </c>
      <c r="M809" s="1" t="s">
        <v>7238</v>
      </c>
      <c r="N809" s="1" t="s">
        <v>2868</v>
      </c>
      <c r="O809" s="1" t="s">
        <v>7239</v>
      </c>
      <c r="P809" s="1" t="s">
        <v>203</v>
      </c>
      <c r="Q809" s="1" t="s">
        <v>7240</v>
      </c>
      <c r="R809" s="1" t="s">
        <v>7241</v>
      </c>
      <c r="S809" s="1" t="s">
        <v>7242</v>
      </c>
      <c r="T809" s="1" t="s">
        <v>52</v>
      </c>
      <c r="U809" s="1" t="s">
        <v>53</v>
      </c>
    </row>
    <row r="810" customFormat="false" ht="15" hidden="false" customHeight="true" outlineLevel="0" collapsed="false">
      <c r="A810" s="1" t="s">
        <v>2544</v>
      </c>
      <c r="B810" s="1" t="s">
        <v>7243</v>
      </c>
      <c r="C810" s="1" t="s">
        <v>5208</v>
      </c>
      <c r="D810" s="1" t="s">
        <v>2545</v>
      </c>
      <c r="E810" s="1" t="s">
        <v>155</v>
      </c>
      <c r="F810" s="1" t="s">
        <v>58</v>
      </c>
      <c r="G810" s="1" t="s">
        <v>78</v>
      </c>
      <c r="H810" s="1" t="s">
        <v>281</v>
      </c>
      <c r="I810" s="1" t="s">
        <v>282</v>
      </c>
      <c r="J810" s="1" t="s">
        <v>62</v>
      </c>
      <c r="K810" s="1" t="s">
        <v>81</v>
      </c>
      <c r="L810" s="1" t="s">
        <v>2546</v>
      </c>
      <c r="M810" s="1" t="s">
        <v>72</v>
      </c>
      <c r="N810" s="1" t="s">
        <v>2906</v>
      </c>
      <c r="O810" s="1" t="s">
        <v>7244</v>
      </c>
      <c r="P810" s="1" t="s">
        <v>50</v>
      </c>
      <c r="Q810" s="1" t="s">
        <v>7245</v>
      </c>
      <c r="R810" s="1" t="s">
        <v>7246</v>
      </c>
      <c r="S810" s="1" t="s">
        <v>7247</v>
      </c>
      <c r="T810" s="1" t="s">
        <v>52</v>
      </c>
      <c r="U810" s="1" t="s">
        <v>53</v>
      </c>
    </row>
    <row r="811" customFormat="false" ht="15" hidden="false" customHeight="true" outlineLevel="0" collapsed="false">
      <c r="A811" s="1" t="s">
        <v>2547</v>
      </c>
      <c r="B811" s="1" t="s">
        <v>4591</v>
      </c>
      <c r="C811" s="1" t="s">
        <v>4591</v>
      </c>
      <c r="D811" s="1" t="s">
        <v>2548</v>
      </c>
      <c r="E811" s="1" t="s">
        <v>77</v>
      </c>
      <c r="F811" s="1" t="s">
        <v>58</v>
      </c>
      <c r="H811" s="1" t="s">
        <v>149</v>
      </c>
      <c r="I811" s="1" t="s">
        <v>150</v>
      </c>
      <c r="J811" s="1" t="s">
        <v>46</v>
      </c>
      <c r="K811" s="1" t="s">
        <v>183</v>
      </c>
      <c r="L811" s="1" t="s">
        <v>2549</v>
      </c>
      <c r="M811" s="1" t="s">
        <v>49</v>
      </c>
      <c r="N811" s="1" t="s">
        <v>2815</v>
      </c>
      <c r="O811" s="1" t="s">
        <v>7248</v>
      </c>
      <c r="P811" s="1" t="s">
        <v>203</v>
      </c>
      <c r="Q811" s="1" t="s">
        <v>7249</v>
      </c>
      <c r="R811" s="1" t="s">
        <v>7250</v>
      </c>
      <c r="S811" s="1" t="s">
        <v>7251</v>
      </c>
      <c r="T811" s="1" t="s">
        <v>52</v>
      </c>
      <c r="U811" s="1" t="s">
        <v>53</v>
      </c>
    </row>
    <row r="812" customFormat="false" ht="15" hidden="false" customHeight="true" outlineLevel="0" collapsed="false">
      <c r="A812" s="1" t="s">
        <v>2550</v>
      </c>
      <c r="B812" s="1" t="s">
        <v>7252</v>
      </c>
      <c r="C812" s="1" t="s">
        <v>7253</v>
      </c>
      <c r="D812" s="1" t="s">
        <v>1712</v>
      </c>
      <c r="E812" s="1" t="s">
        <v>298</v>
      </c>
      <c r="F812" s="1" t="s">
        <v>121</v>
      </c>
      <c r="G812" s="1" t="s">
        <v>88</v>
      </c>
      <c r="H812" s="1" t="s">
        <v>211</v>
      </c>
      <c r="I812" s="1" t="s">
        <v>212</v>
      </c>
      <c r="J812" s="1" t="s">
        <v>99</v>
      </c>
      <c r="K812" s="1" t="s">
        <v>105</v>
      </c>
      <c r="L812" s="1" t="s">
        <v>2551</v>
      </c>
      <c r="M812" s="1" t="s">
        <v>72</v>
      </c>
      <c r="N812" s="1" t="s">
        <v>2836</v>
      </c>
      <c r="O812" s="1" t="s">
        <v>7254</v>
      </c>
      <c r="P812" s="1" t="s">
        <v>84</v>
      </c>
      <c r="Q812" s="1" t="s">
        <v>7255</v>
      </c>
      <c r="R812" s="1" t="s">
        <v>7256</v>
      </c>
      <c r="S812" s="1" t="s">
        <v>7257</v>
      </c>
      <c r="T812" s="1" t="s">
        <v>52</v>
      </c>
      <c r="U812" s="1" t="s">
        <v>53</v>
      </c>
    </row>
    <row r="813" customFormat="false" ht="15" hidden="false" customHeight="true" outlineLevel="0" collapsed="false">
      <c r="A813" s="1" t="s">
        <v>2552</v>
      </c>
      <c r="B813" s="1" t="s">
        <v>7258</v>
      </c>
      <c r="C813" s="1" t="s">
        <v>7259</v>
      </c>
      <c r="D813" s="1" t="s">
        <v>2553</v>
      </c>
      <c r="E813" s="1" t="s">
        <v>168</v>
      </c>
      <c r="F813" s="1" t="s">
        <v>121</v>
      </c>
      <c r="G813" s="1" t="s">
        <v>42</v>
      </c>
      <c r="H813" s="1" t="s">
        <v>270</v>
      </c>
      <c r="I813" s="1" t="s">
        <v>271</v>
      </c>
      <c r="J813" s="1" t="s">
        <v>99</v>
      </c>
      <c r="K813" s="1" t="s">
        <v>100</v>
      </c>
      <c r="L813" s="1" t="s">
        <v>2554</v>
      </c>
      <c r="M813" s="1" t="s">
        <v>72</v>
      </c>
      <c r="N813" s="1" t="s">
        <v>2868</v>
      </c>
      <c r="O813" s="1" t="s">
        <v>7260</v>
      </c>
      <c r="P813" s="1" t="s">
        <v>50</v>
      </c>
      <c r="Q813" s="1" t="s">
        <v>7261</v>
      </c>
      <c r="R813" s="1" t="s">
        <v>7262</v>
      </c>
      <c r="S813" s="1" t="s">
        <v>7263</v>
      </c>
      <c r="T813" s="1" t="s">
        <v>52</v>
      </c>
      <c r="U813" s="1" t="s">
        <v>53</v>
      </c>
    </row>
    <row r="814" customFormat="false" ht="15" hidden="false" customHeight="true" outlineLevel="0" collapsed="false">
      <c r="A814" s="1" t="s">
        <v>2555</v>
      </c>
      <c r="B814" s="1" t="s">
        <v>3756</v>
      </c>
      <c r="C814" s="1" t="s">
        <v>7264</v>
      </c>
      <c r="D814" s="1" t="s">
        <v>2556</v>
      </c>
      <c r="E814" s="1" t="s">
        <v>159</v>
      </c>
      <c r="F814" s="1" t="s">
        <v>58</v>
      </c>
      <c r="G814" s="1" t="s">
        <v>59</v>
      </c>
      <c r="H814" s="1" t="s">
        <v>262</v>
      </c>
      <c r="I814" s="1" t="s">
        <v>263</v>
      </c>
      <c r="J814" s="1" t="s">
        <v>62</v>
      </c>
      <c r="K814" s="1" t="s">
        <v>63</v>
      </c>
      <c r="L814" s="1" t="s">
        <v>2557</v>
      </c>
      <c r="M814" s="1" t="s">
        <v>72</v>
      </c>
      <c r="N814" s="1" t="s">
        <v>2861</v>
      </c>
      <c r="O814" s="1" t="s">
        <v>7265</v>
      </c>
      <c r="P814" s="1" t="s">
        <v>66</v>
      </c>
      <c r="Q814" s="1" t="s">
        <v>7266</v>
      </c>
      <c r="R814" s="1" t="s">
        <v>7267</v>
      </c>
      <c r="S814" s="1" t="s">
        <v>7268</v>
      </c>
      <c r="T814" s="1" t="s">
        <v>52</v>
      </c>
      <c r="U814" s="1" t="s">
        <v>53</v>
      </c>
    </row>
    <row r="815" customFormat="false" ht="15" hidden="false" customHeight="true" outlineLevel="0" collapsed="false">
      <c r="A815" s="1" t="s">
        <v>2558</v>
      </c>
      <c r="B815" s="1" t="s">
        <v>7269</v>
      </c>
      <c r="C815" s="1" t="s">
        <v>7270</v>
      </c>
      <c r="D815" s="1" t="s">
        <v>2559</v>
      </c>
      <c r="E815" s="1" t="s">
        <v>168</v>
      </c>
      <c r="F815" s="1" t="s">
        <v>41</v>
      </c>
      <c r="G815" s="1" t="s">
        <v>59</v>
      </c>
      <c r="H815" s="1" t="s">
        <v>60</v>
      </c>
      <c r="I815" s="1" t="s">
        <v>61</v>
      </c>
      <c r="J815" s="1" t="s">
        <v>62</v>
      </c>
      <c r="K815" s="1" t="s">
        <v>188</v>
      </c>
      <c r="L815" s="1" t="s">
        <v>1163</v>
      </c>
      <c r="M815" s="1" t="s">
        <v>83</v>
      </c>
      <c r="N815" s="1" t="s">
        <v>2868</v>
      </c>
      <c r="O815" s="1" t="s">
        <v>7271</v>
      </c>
      <c r="P815" s="1" t="s">
        <v>66</v>
      </c>
      <c r="Q815" s="1" t="s">
        <v>7272</v>
      </c>
      <c r="R815" s="1" t="s">
        <v>7273</v>
      </c>
      <c r="S815" s="1" t="s">
        <v>7274</v>
      </c>
      <c r="T815" s="1" t="s">
        <v>52</v>
      </c>
      <c r="U815" s="1" t="s">
        <v>53</v>
      </c>
    </row>
    <row r="816" customFormat="false" ht="15" hidden="false" customHeight="true" outlineLevel="0" collapsed="false">
      <c r="A816" s="1" t="s">
        <v>2560</v>
      </c>
      <c r="B816" s="1" t="s">
        <v>4427</v>
      </c>
      <c r="C816" s="1" t="s">
        <v>3501</v>
      </c>
      <c r="D816" s="1" t="s">
        <v>2561</v>
      </c>
      <c r="E816" s="1" t="s">
        <v>77</v>
      </c>
      <c r="F816" s="1" t="s">
        <v>41</v>
      </c>
      <c r="G816" s="1" t="s">
        <v>88</v>
      </c>
      <c r="H816" s="1" t="s">
        <v>97</v>
      </c>
      <c r="I816" s="1" t="s">
        <v>98</v>
      </c>
      <c r="J816" s="1" t="s">
        <v>46</v>
      </c>
      <c r="K816" s="1" t="s">
        <v>117</v>
      </c>
      <c r="L816" s="1" t="s">
        <v>2562</v>
      </c>
      <c r="M816" s="1" t="s">
        <v>72</v>
      </c>
      <c r="N816" s="1" t="s">
        <v>2868</v>
      </c>
      <c r="O816" s="1" t="s">
        <v>7275</v>
      </c>
      <c r="P816" s="1" t="s">
        <v>84</v>
      </c>
      <c r="Q816" s="1" t="s">
        <v>7276</v>
      </c>
      <c r="R816" s="1" t="s">
        <v>7277</v>
      </c>
      <c r="S816" s="1" t="s">
        <v>7278</v>
      </c>
      <c r="T816" s="1" t="s">
        <v>52</v>
      </c>
      <c r="U816" s="1" t="s">
        <v>53</v>
      </c>
    </row>
    <row r="817" customFormat="false" ht="15" hidden="false" customHeight="true" outlineLevel="0" collapsed="false">
      <c r="A817" s="1" t="s">
        <v>2563</v>
      </c>
      <c r="B817" s="1" t="s">
        <v>2813</v>
      </c>
      <c r="C817" s="1" t="s">
        <v>7279</v>
      </c>
      <c r="D817" s="1" t="s">
        <v>2564</v>
      </c>
      <c r="E817" s="1" t="s">
        <v>192</v>
      </c>
      <c r="F817" s="1" t="s">
        <v>41</v>
      </c>
      <c r="G817" s="1" t="s">
        <v>59</v>
      </c>
      <c r="H817" s="1" t="s">
        <v>60</v>
      </c>
      <c r="I817" s="1" t="s">
        <v>61</v>
      </c>
      <c r="J817" s="1" t="s">
        <v>99</v>
      </c>
      <c r="K817" s="1" t="s">
        <v>308</v>
      </c>
      <c r="L817" s="1" t="s">
        <v>2565</v>
      </c>
      <c r="M817" s="1" t="s">
        <v>83</v>
      </c>
      <c r="N817" s="1" t="s">
        <v>2906</v>
      </c>
      <c r="O817" s="1" t="s">
        <v>7280</v>
      </c>
      <c r="P817" s="1" t="s">
        <v>107</v>
      </c>
      <c r="Q817" s="1" t="s">
        <v>7281</v>
      </c>
      <c r="R817" s="1" t="s">
        <v>7282</v>
      </c>
      <c r="S817" s="1" t="s">
        <v>7283</v>
      </c>
      <c r="T817" s="1" t="s">
        <v>138</v>
      </c>
      <c r="U817" s="1" t="s">
        <v>93</v>
      </c>
    </row>
    <row r="818" customFormat="false" ht="15" hidden="false" customHeight="true" outlineLevel="0" collapsed="false">
      <c r="A818" s="1" t="s">
        <v>2566</v>
      </c>
      <c r="B818" s="1" t="s">
        <v>7284</v>
      </c>
      <c r="C818" s="1" t="s">
        <v>7285</v>
      </c>
      <c r="D818" s="1" t="s">
        <v>2567</v>
      </c>
      <c r="E818" s="1" t="s">
        <v>145</v>
      </c>
      <c r="F818" s="1" t="s">
        <v>58</v>
      </c>
      <c r="G818" s="1" t="s">
        <v>59</v>
      </c>
      <c r="H818" s="1" t="s">
        <v>262</v>
      </c>
      <c r="I818" s="1" t="s">
        <v>263</v>
      </c>
      <c r="J818" s="1" t="s">
        <v>62</v>
      </c>
      <c r="K818" s="1" t="s">
        <v>81</v>
      </c>
      <c r="L818" s="1" t="s">
        <v>2568</v>
      </c>
      <c r="M818" s="1" t="s">
        <v>72</v>
      </c>
      <c r="N818" s="1" t="s">
        <v>2836</v>
      </c>
      <c r="O818" s="1" t="s">
        <v>7286</v>
      </c>
      <c r="P818" s="1" t="s">
        <v>203</v>
      </c>
      <c r="Q818" s="1" t="s">
        <v>7287</v>
      </c>
      <c r="R818" s="1" t="s">
        <v>3568</v>
      </c>
      <c r="S818" s="1" t="s">
        <v>7288</v>
      </c>
      <c r="T818" s="1" t="s">
        <v>52</v>
      </c>
      <c r="U818" s="1" t="s">
        <v>53</v>
      </c>
    </row>
    <row r="819" customFormat="false" ht="15" hidden="false" customHeight="true" outlineLevel="0" collapsed="false">
      <c r="A819" s="1" t="s">
        <v>2569</v>
      </c>
      <c r="B819" s="1" t="s">
        <v>7289</v>
      </c>
      <c r="C819" s="1" t="s">
        <v>7290</v>
      </c>
      <c r="D819" s="1" t="s">
        <v>2570</v>
      </c>
      <c r="E819" s="1" t="s">
        <v>159</v>
      </c>
      <c r="F819" s="1" t="s">
        <v>41</v>
      </c>
      <c r="G819" s="1" t="s">
        <v>59</v>
      </c>
      <c r="H819" s="1" t="s">
        <v>174</v>
      </c>
      <c r="I819" s="1" t="s">
        <v>175</v>
      </c>
      <c r="J819" s="1" t="s">
        <v>46</v>
      </c>
      <c r="K819" s="1" t="s">
        <v>183</v>
      </c>
      <c r="L819" s="1" t="s">
        <v>2571</v>
      </c>
      <c r="M819" s="1" t="s">
        <v>83</v>
      </c>
      <c r="N819" s="1" t="s">
        <v>2815</v>
      </c>
      <c r="O819" s="1" t="s">
        <v>7291</v>
      </c>
      <c r="P819" s="1" t="s">
        <v>84</v>
      </c>
      <c r="Q819" s="1" t="s">
        <v>7292</v>
      </c>
      <c r="R819" s="1" t="s">
        <v>7293</v>
      </c>
      <c r="S819" s="1" t="s">
        <v>7294</v>
      </c>
      <c r="T819" s="1" t="s">
        <v>52</v>
      </c>
      <c r="U819" s="1" t="s">
        <v>53</v>
      </c>
    </row>
    <row r="820" customFormat="false" ht="15" hidden="false" customHeight="true" outlineLevel="0" collapsed="false">
      <c r="A820" s="1" t="s">
        <v>2572</v>
      </c>
      <c r="B820" s="1" t="s">
        <v>7295</v>
      </c>
      <c r="C820" s="1" t="s">
        <v>6666</v>
      </c>
      <c r="D820" s="1" t="s">
        <v>2573</v>
      </c>
      <c r="E820" s="1" t="s">
        <v>141</v>
      </c>
      <c r="F820" s="1" t="s">
        <v>58</v>
      </c>
      <c r="G820" s="1" t="s">
        <v>88</v>
      </c>
      <c r="H820" s="1" t="s">
        <v>89</v>
      </c>
      <c r="I820" s="1" t="s">
        <v>90</v>
      </c>
      <c r="J820" s="1" t="s">
        <v>46</v>
      </c>
      <c r="K820" s="1" t="s">
        <v>117</v>
      </c>
      <c r="L820" s="1" t="s">
        <v>2574</v>
      </c>
      <c r="M820" s="1" t="s">
        <v>72</v>
      </c>
      <c r="N820" s="1" t="s">
        <v>2861</v>
      </c>
      <c r="O820" s="1" t="s">
        <v>7296</v>
      </c>
      <c r="P820" s="1" t="s">
        <v>977</v>
      </c>
      <c r="Q820" s="1" t="s">
        <v>7297</v>
      </c>
      <c r="R820" s="1" t="s">
        <v>7298</v>
      </c>
      <c r="S820" s="1" t="s">
        <v>7299</v>
      </c>
      <c r="T820" s="1" t="s">
        <v>52</v>
      </c>
      <c r="U820" s="1" t="s">
        <v>53</v>
      </c>
    </row>
    <row r="821" customFormat="false" ht="15" hidden="false" customHeight="true" outlineLevel="0" collapsed="false">
      <c r="A821" s="1" t="s">
        <v>2575</v>
      </c>
      <c r="B821" s="1" t="s">
        <v>4684</v>
      </c>
      <c r="C821" s="1" t="s">
        <v>7300</v>
      </c>
      <c r="D821" s="1" t="s">
        <v>2576</v>
      </c>
      <c r="E821" s="1" t="s">
        <v>40</v>
      </c>
      <c r="F821" s="1" t="s">
        <v>121</v>
      </c>
      <c r="G821" s="1" t="s">
        <v>78</v>
      </c>
      <c r="H821" s="1" t="s">
        <v>216</v>
      </c>
      <c r="I821" s="1" t="s">
        <v>217</v>
      </c>
      <c r="J821" s="1" t="s">
        <v>99</v>
      </c>
      <c r="K821" s="1" t="s">
        <v>7301</v>
      </c>
      <c r="L821" s="1" t="s">
        <v>2577</v>
      </c>
      <c r="M821" s="1" t="s">
        <v>83</v>
      </c>
      <c r="N821" s="1" t="s">
        <v>2861</v>
      </c>
      <c r="O821" s="1" t="s">
        <v>7302</v>
      </c>
      <c r="P821" s="1" t="s">
        <v>66</v>
      </c>
      <c r="Q821" s="1" t="s">
        <v>7303</v>
      </c>
      <c r="R821" s="1" t="s">
        <v>7304</v>
      </c>
      <c r="S821" s="1" t="s">
        <v>7305</v>
      </c>
      <c r="T821" s="1" t="s">
        <v>185</v>
      </c>
      <c r="U821" s="1" t="s">
        <v>93</v>
      </c>
    </row>
    <row r="822" customFormat="false" ht="15" hidden="false" customHeight="true" outlineLevel="0" collapsed="false">
      <c r="A822" s="1" t="s">
        <v>2578</v>
      </c>
      <c r="B822" s="1" t="s">
        <v>7306</v>
      </c>
      <c r="C822" s="1" t="s">
        <v>7307</v>
      </c>
      <c r="D822" s="1" t="s">
        <v>2579</v>
      </c>
      <c r="E822" s="1" t="s">
        <v>87</v>
      </c>
      <c r="F822" s="1" t="s">
        <v>121</v>
      </c>
      <c r="G822" s="1" t="s">
        <v>42</v>
      </c>
      <c r="H822" s="1" t="s">
        <v>163</v>
      </c>
      <c r="I822" s="1" t="s">
        <v>164</v>
      </c>
      <c r="J822" s="1" t="s">
        <v>62</v>
      </c>
      <c r="K822" s="1" t="s">
        <v>188</v>
      </c>
      <c r="L822" s="1" t="s">
        <v>2580</v>
      </c>
      <c r="M822" s="1" t="s">
        <v>83</v>
      </c>
      <c r="N822" s="1" t="s">
        <v>2868</v>
      </c>
      <c r="O822" s="1" t="s">
        <v>7308</v>
      </c>
      <c r="P822" s="1" t="s">
        <v>50</v>
      </c>
      <c r="Q822" s="1" t="s">
        <v>7309</v>
      </c>
      <c r="R822" s="1" t="s">
        <v>7310</v>
      </c>
      <c r="S822" s="1" t="s">
        <v>7311</v>
      </c>
      <c r="T822" s="1" t="s">
        <v>52</v>
      </c>
      <c r="U822" s="1" t="s">
        <v>53</v>
      </c>
    </row>
    <row r="823" customFormat="false" ht="15" hidden="false" customHeight="true" outlineLevel="0" collapsed="false">
      <c r="A823" s="1" t="s">
        <v>2581</v>
      </c>
      <c r="B823" s="1" t="s">
        <v>7312</v>
      </c>
      <c r="C823" s="1" t="s">
        <v>7313</v>
      </c>
      <c r="D823" s="1" t="s">
        <v>2582</v>
      </c>
      <c r="E823" s="1" t="s">
        <v>155</v>
      </c>
      <c r="F823" s="1" t="s">
        <v>116</v>
      </c>
      <c r="G823" s="1" t="s">
        <v>78</v>
      </c>
      <c r="H823" s="1" t="s">
        <v>206</v>
      </c>
      <c r="I823" s="1" t="s">
        <v>207</v>
      </c>
      <c r="J823" s="1" t="s">
        <v>99</v>
      </c>
      <c r="K823" s="1" t="s">
        <v>100</v>
      </c>
      <c r="L823" s="1" t="s">
        <v>2583</v>
      </c>
      <c r="M823" s="1" t="s">
        <v>72</v>
      </c>
      <c r="N823" s="1" t="s">
        <v>2906</v>
      </c>
      <c r="O823" s="1" t="s">
        <v>7314</v>
      </c>
      <c r="P823" s="1" t="s">
        <v>50</v>
      </c>
      <c r="Q823" s="1" t="s">
        <v>7315</v>
      </c>
      <c r="R823" s="1" t="s">
        <v>7316</v>
      </c>
      <c r="S823" s="1" t="s">
        <v>7317</v>
      </c>
      <c r="T823" s="1" t="s">
        <v>52</v>
      </c>
      <c r="U823" s="1" t="s">
        <v>53</v>
      </c>
    </row>
    <row r="824" customFormat="false" ht="15" hidden="false" customHeight="true" outlineLevel="0" collapsed="false">
      <c r="A824" s="1" t="s">
        <v>2584</v>
      </c>
      <c r="B824" s="1" t="s">
        <v>7318</v>
      </c>
      <c r="C824" s="1" t="s">
        <v>7319</v>
      </c>
      <c r="D824" s="1" t="s">
        <v>2585</v>
      </c>
      <c r="E824" s="1" t="s">
        <v>57</v>
      </c>
      <c r="F824" s="1" t="s">
        <v>116</v>
      </c>
      <c r="G824" s="1" t="s">
        <v>59</v>
      </c>
      <c r="H824" s="1" t="s">
        <v>196</v>
      </c>
      <c r="I824" s="1" t="s">
        <v>197</v>
      </c>
      <c r="J824" s="1" t="s">
        <v>62</v>
      </c>
      <c r="K824" s="1" t="s">
        <v>81</v>
      </c>
      <c r="L824" s="1" t="s">
        <v>2586</v>
      </c>
      <c r="M824" s="1" t="s">
        <v>49</v>
      </c>
      <c r="N824" s="1" t="s">
        <v>2937</v>
      </c>
      <c r="O824" s="1" t="s">
        <v>7320</v>
      </c>
      <c r="P824" s="1" t="s">
        <v>50</v>
      </c>
      <c r="Q824" s="1" t="s">
        <v>7321</v>
      </c>
      <c r="R824" s="1" t="s">
        <v>7322</v>
      </c>
      <c r="S824" s="1" t="s">
        <v>7323</v>
      </c>
      <c r="T824" s="1" t="s">
        <v>138</v>
      </c>
      <c r="U824" s="1" t="s">
        <v>130</v>
      </c>
    </row>
    <row r="825" customFormat="false" ht="15" hidden="false" customHeight="true" outlineLevel="0" collapsed="false">
      <c r="A825" s="1" t="s">
        <v>2587</v>
      </c>
      <c r="B825" s="1" t="s">
        <v>7324</v>
      </c>
      <c r="C825" s="1" t="s">
        <v>5383</v>
      </c>
      <c r="D825" s="1" t="s">
        <v>2588</v>
      </c>
      <c r="E825" s="1" t="s">
        <v>57</v>
      </c>
      <c r="F825" s="1" t="s">
        <v>121</v>
      </c>
      <c r="G825" s="1" t="s">
        <v>88</v>
      </c>
      <c r="H825" s="1" t="s">
        <v>221</v>
      </c>
      <c r="I825" s="1" t="s">
        <v>222</v>
      </c>
      <c r="J825" s="1" t="s">
        <v>46</v>
      </c>
      <c r="K825" s="1" t="s">
        <v>47</v>
      </c>
      <c r="L825" s="1" t="s">
        <v>2589</v>
      </c>
      <c r="M825" s="1" t="s">
        <v>65</v>
      </c>
      <c r="N825" s="1" t="s">
        <v>2822</v>
      </c>
      <c r="O825" s="1" t="s">
        <v>7325</v>
      </c>
      <c r="P825" s="1" t="s">
        <v>107</v>
      </c>
      <c r="Q825" s="1" t="s">
        <v>7326</v>
      </c>
      <c r="R825" s="1" t="s">
        <v>7327</v>
      </c>
      <c r="S825" s="1" t="s">
        <v>7328</v>
      </c>
      <c r="T825" s="1" t="s">
        <v>52</v>
      </c>
      <c r="U825" s="1" t="s">
        <v>53</v>
      </c>
    </row>
    <row r="826" customFormat="false" ht="15" hidden="false" customHeight="true" outlineLevel="0" collapsed="false">
      <c r="A826" s="1" t="s">
        <v>2590</v>
      </c>
      <c r="B826" s="1" t="s">
        <v>7329</v>
      </c>
      <c r="C826" s="1" t="s">
        <v>5306</v>
      </c>
      <c r="D826" s="1" t="s">
        <v>2591</v>
      </c>
      <c r="E826" s="1" t="s">
        <v>141</v>
      </c>
      <c r="F826" s="1" t="s">
        <v>41</v>
      </c>
      <c r="G826" s="1" t="s">
        <v>88</v>
      </c>
      <c r="H826" s="1" t="s">
        <v>221</v>
      </c>
      <c r="I826" s="1" t="s">
        <v>222</v>
      </c>
      <c r="J826" s="1" t="s">
        <v>46</v>
      </c>
      <c r="K826" s="1" t="s">
        <v>47</v>
      </c>
      <c r="L826" s="1" t="s">
        <v>2592</v>
      </c>
      <c r="M826" s="1" t="s">
        <v>72</v>
      </c>
      <c r="N826" s="1" t="s">
        <v>2861</v>
      </c>
      <c r="O826" s="1" t="s">
        <v>7330</v>
      </c>
      <c r="P826" s="1" t="s">
        <v>128</v>
      </c>
      <c r="Q826" s="1" t="s">
        <v>7331</v>
      </c>
      <c r="R826" s="1" t="s">
        <v>7332</v>
      </c>
      <c r="S826" s="1" t="s">
        <v>7333</v>
      </c>
      <c r="T826" s="1" t="s">
        <v>52</v>
      </c>
      <c r="U826" s="1" t="s">
        <v>53</v>
      </c>
    </row>
    <row r="827" customFormat="false" ht="15" hidden="false" customHeight="true" outlineLevel="0" collapsed="false">
      <c r="A827" s="1" t="s">
        <v>2593</v>
      </c>
      <c r="B827" s="1" t="s">
        <v>7334</v>
      </c>
      <c r="C827" s="1" t="s">
        <v>7335</v>
      </c>
      <c r="D827" s="1" t="s">
        <v>2594</v>
      </c>
      <c r="E827" s="1" t="s">
        <v>96</v>
      </c>
      <c r="F827" s="1" t="s">
        <v>58</v>
      </c>
      <c r="G827" s="1" t="s">
        <v>42</v>
      </c>
      <c r="H827" s="1" t="s">
        <v>163</v>
      </c>
      <c r="I827" s="1" t="s">
        <v>164</v>
      </c>
      <c r="J827" s="1" t="s">
        <v>99</v>
      </c>
      <c r="K827" s="1" t="s">
        <v>308</v>
      </c>
      <c r="L827" s="1" t="s">
        <v>2595</v>
      </c>
      <c r="M827" s="1" t="s">
        <v>72</v>
      </c>
      <c r="N827" s="1" t="s">
        <v>2836</v>
      </c>
      <c r="O827" s="1" t="s">
        <v>7336</v>
      </c>
      <c r="P827" s="1" t="s">
        <v>66</v>
      </c>
      <c r="Q827" s="1" t="s">
        <v>7336</v>
      </c>
      <c r="R827" s="1" t="s">
        <v>7337</v>
      </c>
      <c r="S827" s="1" t="s">
        <v>7338</v>
      </c>
      <c r="T827" s="1" t="s">
        <v>52</v>
      </c>
      <c r="U827" s="1" t="s">
        <v>53</v>
      </c>
    </row>
    <row r="828" customFormat="false" ht="15" hidden="false" customHeight="true" outlineLevel="0" collapsed="false">
      <c r="A828" s="1" t="s">
        <v>2596</v>
      </c>
      <c r="B828" s="1" t="s">
        <v>6503</v>
      </c>
      <c r="C828" s="1" t="s">
        <v>7339</v>
      </c>
      <c r="D828" s="1" t="s">
        <v>2597</v>
      </c>
      <c r="E828" s="1" t="s">
        <v>115</v>
      </c>
      <c r="F828" s="1" t="s">
        <v>41</v>
      </c>
      <c r="G828" s="1" t="s">
        <v>88</v>
      </c>
      <c r="H828" s="1" t="s">
        <v>44</v>
      </c>
      <c r="I828" s="1" t="s">
        <v>136</v>
      </c>
      <c r="J828" s="1" t="s">
        <v>99</v>
      </c>
      <c r="K828" s="1" t="s">
        <v>100</v>
      </c>
      <c r="L828" s="1" t="s">
        <v>2598</v>
      </c>
      <c r="M828" s="1" t="s">
        <v>83</v>
      </c>
      <c r="N828" s="1" t="s">
        <v>2829</v>
      </c>
      <c r="O828" s="1" t="s">
        <v>7340</v>
      </c>
      <c r="P828" s="1" t="s">
        <v>84</v>
      </c>
      <c r="Q828" s="1" t="s">
        <v>7341</v>
      </c>
      <c r="R828" s="1" t="s">
        <v>7342</v>
      </c>
      <c r="S828" s="1" t="s">
        <v>7343</v>
      </c>
      <c r="T828" s="1" t="s">
        <v>52</v>
      </c>
      <c r="U828" s="1" t="s">
        <v>53</v>
      </c>
    </row>
    <row r="829" customFormat="false" ht="15" hidden="false" customHeight="true" outlineLevel="0" collapsed="false">
      <c r="A829" s="1" t="s">
        <v>2599</v>
      </c>
      <c r="B829" s="1" t="s">
        <v>7344</v>
      </c>
      <c r="C829" s="1" t="s">
        <v>4871</v>
      </c>
      <c r="D829" s="1" t="s">
        <v>2600</v>
      </c>
      <c r="E829" s="1" t="s">
        <v>141</v>
      </c>
      <c r="F829" s="1" t="s">
        <v>121</v>
      </c>
      <c r="G829" s="1" t="s">
        <v>78</v>
      </c>
      <c r="H829" s="1" t="s">
        <v>281</v>
      </c>
      <c r="I829" s="1" t="s">
        <v>282</v>
      </c>
      <c r="J829" s="1" t="s">
        <v>46</v>
      </c>
      <c r="K829" s="1" t="s">
        <v>47</v>
      </c>
      <c r="L829" s="1" t="s">
        <v>2601</v>
      </c>
      <c r="M829" s="1" t="s">
        <v>65</v>
      </c>
      <c r="N829" s="1" t="s">
        <v>2836</v>
      </c>
      <c r="O829" s="1" t="s">
        <v>7345</v>
      </c>
      <c r="P829" s="1" t="s">
        <v>84</v>
      </c>
      <c r="Q829" s="1" t="s">
        <v>7346</v>
      </c>
      <c r="R829" s="1" t="s">
        <v>7347</v>
      </c>
      <c r="S829" s="1" t="s">
        <v>7348</v>
      </c>
      <c r="T829" s="1" t="s">
        <v>52</v>
      </c>
      <c r="U829" s="1" t="s">
        <v>93</v>
      </c>
    </row>
    <row r="830" customFormat="false" ht="15" hidden="false" customHeight="true" outlineLevel="0" collapsed="false">
      <c r="A830" s="1" t="s">
        <v>2602</v>
      </c>
      <c r="B830" s="1" t="s">
        <v>7349</v>
      </c>
      <c r="C830" s="1" t="s">
        <v>7350</v>
      </c>
      <c r="D830" s="1" t="s">
        <v>2603</v>
      </c>
      <c r="E830" s="1" t="s">
        <v>40</v>
      </c>
      <c r="F830" s="1" t="s">
        <v>116</v>
      </c>
      <c r="G830" s="1" t="s">
        <v>59</v>
      </c>
      <c r="H830" s="1" t="s">
        <v>60</v>
      </c>
      <c r="I830" s="1" t="s">
        <v>61</v>
      </c>
      <c r="J830" s="1" t="s">
        <v>62</v>
      </c>
      <c r="K830" s="1" t="s">
        <v>91</v>
      </c>
      <c r="L830" s="1" t="s">
        <v>2604</v>
      </c>
      <c r="M830" s="1" t="s">
        <v>49</v>
      </c>
      <c r="N830" s="1" t="s">
        <v>2906</v>
      </c>
      <c r="O830" s="1" t="s">
        <v>7351</v>
      </c>
      <c r="P830" s="1" t="s">
        <v>128</v>
      </c>
      <c r="Q830" s="1" t="s">
        <v>7352</v>
      </c>
      <c r="R830" s="1" t="s">
        <v>7353</v>
      </c>
      <c r="S830" s="1" t="s">
        <v>7354</v>
      </c>
      <c r="T830" s="1" t="s">
        <v>185</v>
      </c>
      <c r="U830" s="1" t="s">
        <v>93</v>
      </c>
    </row>
    <row r="831" customFormat="false" ht="15" hidden="false" customHeight="true" outlineLevel="0" collapsed="false">
      <c r="A831" s="1" t="s">
        <v>2605</v>
      </c>
      <c r="B831" s="1" t="s">
        <v>7355</v>
      </c>
      <c r="C831" s="1" t="s">
        <v>4540</v>
      </c>
      <c r="D831" s="1" t="s">
        <v>2606</v>
      </c>
      <c r="E831" s="1" t="s">
        <v>115</v>
      </c>
      <c r="F831" s="1" t="s">
        <v>58</v>
      </c>
      <c r="G831" s="1" t="s">
        <v>88</v>
      </c>
      <c r="H831" s="1" t="s">
        <v>221</v>
      </c>
      <c r="I831" s="1" t="s">
        <v>222</v>
      </c>
      <c r="J831" s="1" t="s">
        <v>62</v>
      </c>
      <c r="K831" s="1" t="s">
        <v>81</v>
      </c>
      <c r="L831" s="1" t="s">
        <v>2607</v>
      </c>
      <c r="M831" s="1" t="s">
        <v>49</v>
      </c>
      <c r="N831" s="1" t="s">
        <v>2906</v>
      </c>
      <c r="O831" s="1" t="s">
        <v>7356</v>
      </c>
      <c r="P831" s="1" t="s">
        <v>203</v>
      </c>
      <c r="Q831" s="1" t="s">
        <v>7357</v>
      </c>
      <c r="R831" s="1" t="s">
        <v>7358</v>
      </c>
      <c r="S831" s="1" t="s">
        <v>7359</v>
      </c>
      <c r="T831" s="1" t="s">
        <v>52</v>
      </c>
      <c r="U831" s="1" t="s">
        <v>53</v>
      </c>
    </row>
    <row r="832" customFormat="false" ht="15" hidden="false" customHeight="true" outlineLevel="0" collapsed="false">
      <c r="A832" s="1" t="s">
        <v>2608</v>
      </c>
      <c r="B832" s="1" t="s">
        <v>6267</v>
      </c>
      <c r="C832" s="1" t="s">
        <v>3659</v>
      </c>
      <c r="D832" s="1" t="s">
        <v>2609</v>
      </c>
      <c r="E832" s="1" t="s">
        <v>115</v>
      </c>
      <c r="F832" s="1" t="s">
        <v>58</v>
      </c>
      <c r="H832" s="1" t="s">
        <v>281</v>
      </c>
      <c r="I832" s="1" t="s">
        <v>282</v>
      </c>
      <c r="J832" s="1" t="s">
        <v>99</v>
      </c>
      <c r="K832" s="1" t="s">
        <v>308</v>
      </c>
      <c r="L832" s="1" t="s">
        <v>2610</v>
      </c>
      <c r="M832" s="1" t="s">
        <v>72</v>
      </c>
      <c r="N832" s="1" t="s">
        <v>2815</v>
      </c>
      <c r="O832" s="1" t="s">
        <v>7360</v>
      </c>
      <c r="P832" s="1" t="s">
        <v>203</v>
      </c>
      <c r="Q832" s="1" t="s">
        <v>7361</v>
      </c>
      <c r="R832" s="1" t="s">
        <v>7362</v>
      </c>
      <c r="S832" s="1" t="s">
        <v>7363</v>
      </c>
      <c r="T832" s="1" t="s">
        <v>52</v>
      </c>
      <c r="U832" s="1" t="s">
        <v>53</v>
      </c>
    </row>
    <row r="833" customFormat="false" ht="15" hidden="false" customHeight="true" outlineLevel="0" collapsed="false">
      <c r="A833" s="1" t="s">
        <v>2611</v>
      </c>
      <c r="B833" s="1" t="s">
        <v>3366</v>
      </c>
      <c r="C833" s="1" t="s">
        <v>6687</v>
      </c>
      <c r="D833" s="1" t="s">
        <v>2612</v>
      </c>
      <c r="E833" s="1" t="s">
        <v>192</v>
      </c>
      <c r="F833" s="1" t="s">
        <v>121</v>
      </c>
      <c r="H833" s="1" t="s">
        <v>270</v>
      </c>
      <c r="I833" s="1" t="s">
        <v>271</v>
      </c>
      <c r="J833" s="1" t="s">
        <v>62</v>
      </c>
      <c r="K833" s="1" t="s">
        <v>91</v>
      </c>
      <c r="L833" s="1" t="s">
        <v>2613</v>
      </c>
      <c r="M833" s="1" t="s">
        <v>72</v>
      </c>
      <c r="N833" s="1" t="s">
        <v>2899</v>
      </c>
      <c r="O833" s="1" t="s">
        <v>7364</v>
      </c>
      <c r="P833" s="1" t="s">
        <v>107</v>
      </c>
      <c r="Q833" s="1" t="s">
        <v>7365</v>
      </c>
      <c r="R833" s="1" t="s">
        <v>7366</v>
      </c>
      <c r="S833" s="1" t="s">
        <v>7367</v>
      </c>
      <c r="T833" s="1" t="s">
        <v>185</v>
      </c>
      <c r="U833" s="1" t="s">
        <v>130</v>
      </c>
    </row>
    <row r="834" customFormat="false" ht="15" hidden="false" customHeight="true" outlineLevel="0" collapsed="false">
      <c r="A834" s="1" t="s">
        <v>2614</v>
      </c>
      <c r="B834" s="1" t="s">
        <v>7368</v>
      </c>
      <c r="C834" s="1" t="s">
        <v>7369</v>
      </c>
      <c r="D834" s="1" t="s">
        <v>2615</v>
      </c>
      <c r="E834" s="1" t="s">
        <v>298</v>
      </c>
      <c r="F834" s="1" t="s">
        <v>58</v>
      </c>
      <c r="G834" s="1" t="s">
        <v>78</v>
      </c>
      <c r="H834" s="1" t="s">
        <v>110</v>
      </c>
      <c r="I834" s="1" t="s">
        <v>111</v>
      </c>
      <c r="J834" s="1" t="s">
        <v>99</v>
      </c>
      <c r="K834" s="1" t="s">
        <v>201</v>
      </c>
      <c r="L834" s="1" t="s">
        <v>2616</v>
      </c>
      <c r="M834" s="1" t="s">
        <v>49</v>
      </c>
      <c r="N834" s="1" t="s">
        <v>2899</v>
      </c>
      <c r="O834" s="1" t="s">
        <v>7370</v>
      </c>
      <c r="P834" s="1" t="s">
        <v>128</v>
      </c>
      <c r="Q834" s="1" t="s">
        <v>7371</v>
      </c>
      <c r="R834" s="1" t="s">
        <v>7372</v>
      </c>
      <c r="S834" s="1" t="s">
        <v>7373</v>
      </c>
      <c r="T834" s="1" t="s">
        <v>52</v>
      </c>
      <c r="U834" s="1" t="s">
        <v>53</v>
      </c>
    </row>
    <row r="835" customFormat="false" ht="15" hidden="false" customHeight="true" outlineLevel="0" collapsed="false">
      <c r="A835" s="1" t="s">
        <v>2617</v>
      </c>
      <c r="B835" s="1" t="s">
        <v>7374</v>
      </c>
      <c r="C835" s="1" t="s">
        <v>7375</v>
      </c>
      <c r="D835" s="1" t="s">
        <v>2618</v>
      </c>
      <c r="E835" s="1" t="s">
        <v>145</v>
      </c>
      <c r="F835" s="1" t="s">
        <v>121</v>
      </c>
      <c r="G835" s="1" t="s">
        <v>59</v>
      </c>
      <c r="H835" s="1" t="s">
        <v>125</v>
      </c>
      <c r="I835" s="1" t="s">
        <v>126</v>
      </c>
      <c r="J835" s="1" t="s">
        <v>62</v>
      </c>
      <c r="K835" s="1" t="s">
        <v>188</v>
      </c>
      <c r="L835" s="1" t="s">
        <v>2619</v>
      </c>
      <c r="M835" s="1" t="s">
        <v>72</v>
      </c>
      <c r="N835" s="1" t="s">
        <v>2815</v>
      </c>
      <c r="O835" s="1" t="s">
        <v>7376</v>
      </c>
      <c r="P835" s="1" t="s">
        <v>66</v>
      </c>
      <c r="Q835" s="1" t="s">
        <v>7377</v>
      </c>
      <c r="R835" s="1" t="s">
        <v>7378</v>
      </c>
      <c r="S835" s="1" t="s">
        <v>7379</v>
      </c>
      <c r="T835" s="1" t="s">
        <v>52</v>
      </c>
      <c r="U835" s="1" t="s">
        <v>53</v>
      </c>
    </row>
    <row r="836" customFormat="false" ht="15" hidden="false" customHeight="true" outlineLevel="0" collapsed="false">
      <c r="A836" s="1" t="s">
        <v>2620</v>
      </c>
      <c r="B836" s="1" t="s">
        <v>3100</v>
      </c>
      <c r="C836" s="1" t="s">
        <v>7380</v>
      </c>
      <c r="D836" s="1" t="s">
        <v>2621</v>
      </c>
      <c r="E836" s="1" t="s">
        <v>155</v>
      </c>
      <c r="F836" s="1" t="s">
        <v>121</v>
      </c>
      <c r="G836" s="1" t="s">
        <v>78</v>
      </c>
      <c r="H836" s="1" t="s">
        <v>79</v>
      </c>
      <c r="I836" s="1" t="s">
        <v>80</v>
      </c>
      <c r="J836" s="1" t="s">
        <v>46</v>
      </c>
      <c r="K836" s="1" t="s">
        <v>70</v>
      </c>
      <c r="L836" s="1" t="s">
        <v>2622</v>
      </c>
      <c r="M836" s="1" t="s">
        <v>72</v>
      </c>
      <c r="N836" s="1" t="s">
        <v>2815</v>
      </c>
      <c r="O836" s="1" t="s">
        <v>7381</v>
      </c>
      <c r="P836" s="1" t="s">
        <v>66</v>
      </c>
      <c r="Q836" s="1" t="s">
        <v>7382</v>
      </c>
      <c r="R836" s="1" t="s">
        <v>7383</v>
      </c>
      <c r="S836" s="1" t="s">
        <v>7384</v>
      </c>
      <c r="T836" s="1" t="s">
        <v>52</v>
      </c>
      <c r="U836" s="1" t="s">
        <v>53</v>
      </c>
    </row>
    <row r="837" customFormat="false" ht="15" hidden="false" customHeight="true" outlineLevel="0" collapsed="false">
      <c r="A837" s="1" t="s">
        <v>2623</v>
      </c>
      <c r="B837" s="1" t="s">
        <v>6073</v>
      </c>
      <c r="C837" s="1" t="s">
        <v>3931</v>
      </c>
      <c r="D837" s="1" t="s">
        <v>2624</v>
      </c>
      <c r="E837" s="1" t="s">
        <v>141</v>
      </c>
      <c r="F837" s="1" t="s">
        <v>58</v>
      </c>
      <c r="G837" s="1" t="s">
        <v>59</v>
      </c>
      <c r="H837" s="1" t="s">
        <v>196</v>
      </c>
      <c r="I837" s="1" t="s">
        <v>197</v>
      </c>
      <c r="J837" s="1" t="s">
        <v>99</v>
      </c>
      <c r="K837" s="1" t="s">
        <v>201</v>
      </c>
      <c r="L837" s="1" t="s">
        <v>2625</v>
      </c>
      <c r="M837" s="1" t="s">
        <v>49</v>
      </c>
      <c r="N837" s="1" t="s">
        <v>2906</v>
      </c>
      <c r="O837" s="1" t="s">
        <v>7385</v>
      </c>
      <c r="P837" s="1" t="s">
        <v>128</v>
      </c>
      <c r="Q837" s="1" t="s">
        <v>7386</v>
      </c>
      <c r="R837" s="1" t="s">
        <v>7387</v>
      </c>
      <c r="S837" s="1" t="s">
        <v>7388</v>
      </c>
      <c r="T837" s="1" t="s">
        <v>52</v>
      </c>
      <c r="U837" s="1" t="s">
        <v>53</v>
      </c>
    </row>
    <row r="838" customFormat="false" ht="15" hidden="false" customHeight="true" outlineLevel="0" collapsed="false">
      <c r="A838" s="1" t="s">
        <v>2626</v>
      </c>
      <c r="B838" s="1" t="s">
        <v>5724</v>
      </c>
      <c r="C838" s="1" t="s">
        <v>7389</v>
      </c>
      <c r="D838" s="1" t="s">
        <v>2627</v>
      </c>
      <c r="E838" s="1" t="s">
        <v>69</v>
      </c>
      <c r="F838" s="1" t="s">
        <v>58</v>
      </c>
      <c r="G838" s="1" t="s">
        <v>42</v>
      </c>
      <c r="H838" s="1" t="s">
        <v>44</v>
      </c>
      <c r="I838" s="1" t="s">
        <v>45</v>
      </c>
      <c r="J838" s="1" t="s">
        <v>46</v>
      </c>
      <c r="K838" s="1" t="s">
        <v>117</v>
      </c>
      <c r="L838" s="1" t="s">
        <v>2628</v>
      </c>
      <c r="M838" s="1" t="s">
        <v>49</v>
      </c>
      <c r="N838" s="1" t="s">
        <v>2868</v>
      </c>
      <c r="O838" s="1" t="s">
        <v>7390</v>
      </c>
      <c r="P838" s="1" t="s">
        <v>66</v>
      </c>
      <c r="Q838" s="1" t="s">
        <v>7391</v>
      </c>
      <c r="R838" s="1" t="s">
        <v>7392</v>
      </c>
      <c r="S838" s="1" t="s">
        <v>7393</v>
      </c>
      <c r="T838" s="1" t="s">
        <v>52</v>
      </c>
      <c r="U838" s="1" t="s">
        <v>53</v>
      </c>
    </row>
    <row r="839" customFormat="false" ht="15" hidden="false" customHeight="true" outlineLevel="0" collapsed="false">
      <c r="A839" s="1" t="s">
        <v>2629</v>
      </c>
      <c r="B839" s="1" t="s">
        <v>3401</v>
      </c>
      <c r="C839" s="1" t="s">
        <v>7394</v>
      </c>
      <c r="D839" s="1" t="s">
        <v>2630</v>
      </c>
      <c r="E839" s="1" t="s">
        <v>40</v>
      </c>
      <c r="F839" s="1" t="s">
        <v>121</v>
      </c>
      <c r="G839" s="1" t="s">
        <v>88</v>
      </c>
      <c r="H839" s="1" t="s">
        <v>89</v>
      </c>
      <c r="I839" s="1" t="s">
        <v>90</v>
      </c>
      <c r="J839" s="1" t="s">
        <v>46</v>
      </c>
      <c r="K839" s="1" t="s">
        <v>47</v>
      </c>
      <c r="L839" s="1" t="s">
        <v>2631</v>
      </c>
      <c r="M839" s="1" t="s">
        <v>72</v>
      </c>
      <c r="N839" s="1" t="s">
        <v>2822</v>
      </c>
      <c r="O839" s="1" t="s">
        <v>7395</v>
      </c>
      <c r="P839" s="1" t="s">
        <v>84</v>
      </c>
      <c r="Q839" s="1" t="s">
        <v>7396</v>
      </c>
      <c r="R839" s="1" t="s">
        <v>7397</v>
      </c>
      <c r="S839" s="1" t="s">
        <v>7398</v>
      </c>
      <c r="T839" s="1" t="s">
        <v>52</v>
      </c>
      <c r="U839" s="1" t="s">
        <v>53</v>
      </c>
    </row>
    <row r="840" customFormat="false" ht="15" hidden="false" customHeight="true" outlineLevel="0" collapsed="false">
      <c r="A840" s="1" t="s">
        <v>2632</v>
      </c>
      <c r="B840" s="1" t="s">
        <v>3366</v>
      </c>
      <c r="C840" s="1" t="s">
        <v>7399</v>
      </c>
      <c r="D840" s="1" t="s">
        <v>2633</v>
      </c>
      <c r="E840" s="1" t="s">
        <v>87</v>
      </c>
      <c r="F840" s="1" t="s">
        <v>58</v>
      </c>
      <c r="G840" s="1" t="s">
        <v>88</v>
      </c>
      <c r="H840" s="1" t="s">
        <v>221</v>
      </c>
      <c r="I840" s="1" t="s">
        <v>222</v>
      </c>
      <c r="J840" s="1" t="s">
        <v>46</v>
      </c>
      <c r="K840" s="1" t="s">
        <v>47</v>
      </c>
      <c r="L840" s="1" t="s">
        <v>2634</v>
      </c>
      <c r="M840" s="1" t="s">
        <v>65</v>
      </c>
      <c r="N840" s="1" t="s">
        <v>2836</v>
      </c>
      <c r="O840" s="1" t="s">
        <v>7400</v>
      </c>
      <c r="P840" s="1" t="s">
        <v>66</v>
      </c>
      <c r="Q840" s="1" t="s">
        <v>7400</v>
      </c>
      <c r="R840" s="1" t="s">
        <v>7401</v>
      </c>
      <c r="S840" s="1" t="s">
        <v>7402</v>
      </c>
      <c r="T840" s="1" t="s">
        <v>52</v>
      </c>
      <c r="U840" s="1" t="s">
        <v>130</v>
      </c>
    </row>
    <row r="841" customFormat="false" ht="15" hidden="false" customHeight="true" outlineLevel="0" collapsed="false">
      <c r="A841" s="1" t="s">
        <v>2635</v>
      </c>
      <c r="B841" s="1" t="s">
        <v>7403</v>
      </c>
      <c r="C841" s="1" t="s">
        <v>7404</v>
      </c>
      <c r="D841" s="1" t="s">
        <v>2636</v>
      </c>
      <c r="E841" s="1" t="s">
        <v>168</v>
      </c>
      <c r="F841" s="1" t="s">
        <v>121</v>
      </c>
      <c r="G841" s="1" t="s">
        <v>59</v>
      </c>
      <c r="H841" s="1" t="s">
        <v>60</v>
      </c>
      <c r="I841" s="1" t="s">
        <v>61</v>
      </c>
      <c r="J841" s="1" t="s">
        <v>99</v>
      </c>
      <c r="K841" s="1" t="s">
        <v>201</v>
      </c>
      <c r="L841" s="1" t="s">
        <v>2637</v>
      </c>
      <c r="M841" s="1" t="s">
        <v>83</v>
      </c>
      <c r="N841" s="1" t="s">
        <v>2861</v>
      </c>
      <c r="O841" s="1" t="s">
        <v>7405</v>
      </c>
      <c r="P841" s="1" t="s">
        <v>203</v>
      </c>
      <c r="Q841" s="1" t="s">
        <v>7406</v>
      </c>
      <c r="R841" s="1" t="s">
        <v>7407</v>
      </c>
      <c r="S841" s="1" t="s">
        <v>7408</v>
      </c>
      <c r="T841" s="1" t="s">
        <v>52</v>
      </c>
      <c r="U841" s="1" t="s">
        <v>53</v>
      </c>
    </row>
    <row r="842" customFormat="false" ht="15" hidden="false" customHeight="true" outlineLevel="0" collapsed="false">
      <c r="A842" s="1" t="s">
        <v>2638</v>
      </c>
      <c r="B842" s="1" t="s">
        <v>5048</v>
      </c>
      <c r="C842" s="1" t="s">
        <v>5405</v>
      </c>
      <c r="D842" s="1" t="s">
        <v>2639</v>
      </c>
      <c r="E842" s="1" t="s">
        <v>104</v>
      </c>
      <c r="F842" s="1" t="s">
        <v>121</v>
      </c>
      <c r="G842" s="1" t="s">
        <v>42</v>
      </c>
      <c r="H842" s="1" t="s">
        <v>384</v>
      </c>
      <c r="I842" s="1" t="s">
        <v>385</v>
      </c>
      <c r="J842" s="1" t="s">
        <v>62</v>
      </c>
      <c r="K842" s="1" t="s">
        <v>91</v>
      </c>
      <c r="L842" s="1" t="s">
        <v>2640</v>
      </c>
      <c r="M842" s="1" t="s">
        <v>65</v>
      </c>
      <c r="N842" s="1" t="s">
        <v>2937</v>
      </c>
      <c r="O842" s="1" t="s">
        <v>7409</v>
      </c>
      <c r="P842" s="1" t="s">
        <v>66</v>
      </c>
      <c r="Q842" s="1" t="s">
        <v>7410</v>
      </c>
      <c r="R842" s="1" t="s">
        <v>7411</v>
      </c>
      <c r="S842" s="1" t="s">
        <v>7412</v>
      </c>
      <c r="T842" s="1" t="s">
        <v>52</v>
      </c>
      <c r="U842" s="1" t="s">
        <v>53</v>
      </c>
    </row>
    <row r="843" customFormat="false" ht="15" hidden="false" customHeight="true" outlineLevel="0" collapsed="false">
      <c r="A843" s="1" t="s">
        <v>2641</v>
      </c>
      <c r="B843" s="1" t="s">
        <v>7413</v>
      </c>
      <c r="C843" s="1" t="s">
        <v>7414</v>
      </c>
      <c r="D843" s="1" t="s">
        <v>2642</v>
      </c>
      <c r="E843" s="1" t="s">
        <v>87</v>
      </c>
      <c r="F843" s="1" t="s">
        <v>58</v>
      </c>
      <c r="G843" s="1" t="s">
        <v>59</v>
      </c>
      <c r="H843" s="1" t="s">
        <v>174</v>
      </c>
      <c r="I843" s="1" t="s">
        <v>175</v>
      </c>
      <c r="J843" s="1" t="s">
        <v>46</v>
      </c>
      <c r="K843" s="1" t="s">
        <v>70</v>
      </c>
      <c r="L843" s="1" t="s">
        <v>2643</v>
      </c>
      <c r="M843" s="1" t="s">
        <v>83</v>
      </c>
      <c r="N843" s="1" t="s">
        <v>2899</v>
      </c>
      <c r="O843" s="1" t="s">
        <v>7415</v>
      </c>
      <c r="P843" s="1" t="s">
        <v>84</v>
      </c>
      <c r="Q843" s="1" t="s">
        <v>7416</v>
      </c>
      <c r="R843" s="1" t="s">
        <v>7417</v>
      </c>
      <c r="S843" s="1" t="s">
        <v>7418</v>
      </c>
      <c r="T843" s="1" t="s">
        <v>52</v>
      </c>
      <c r="U843" s="1" t="s">
        <v>53</v>
      </c>
    </row>
    <row r="844" customFormat="false" ht="15" hidden="false" customHeight="true" outlineLevel="0" collapsed="false">
      <c r="A844" s="1" t="s">
        <v>2644</v>
      </c>
      <c r="B844" s="1" t="s">
        <v>7419</v>
      </c>
      <c r="C844" s="1" t="s">
        <v>7420</v>
      </c>
      <c r="D844" s="1" t="s">
        <v>2645</v>
      </c>
      <c r="E844" s="1" t="s">
        <v>7421</v>
      </c>
      <c r="F844" s="1" t="s">
        <v>41</v>
      </c>
      <c r="G844" s="1" t="s">
        <v>42</v>
      </c>
      <c r="H844" s="1" t="s">
        <v>270</v>
      </c>
      <c r="I844" s="1" t="s">
        <v>271</v>
      </c>
      <c r="J844" s="1" t="s">
        <v>99</v>
      </c>
      <c r="K844" s="1" t="s">
        <v>308</v>
      </c>
      <c r="L844" s="1" t="s">
        <v>2646</v>
      </c>
      <c r="M844" s="1" t="s">
        <v>72</v>
      </c>
      <c r="N844" s="1" t="s">
        <v>2937</v>
      </c>
      <c r="O844" s="1" t="s">
        <v>7422</v>
      </c>
      <c r="P844" s="1" t="s">
        <v>107</v>
      </c>
      <c r="Q844" s="1" t="s">
        <v>7423</v>
      </c>
      <c r="R844" s="1" t="s">
        <v>7424</v>
      </c>
      <c r="S844" s="1" t="s">
        <v>7425</v>
      </c>
      <c r="T844" s="1" t="s">
        <v>52</v>
      </c>
      <c r="U844" s="1" t="s">
        <v>130</v>
      </c>
    </row>
    <row r="845" customFormat="false" ht="15" hidden="false" customHeight="true" outlineLevel="0" collapsed="false">
      <c r="A845" s="1" t="s">
        <v>2647</v>
      </c>
      <c r="B845" s="1" t="s">
        <v>6010</v>
      </c>
      <c r="C845" s="1" t="s">
        <v>7426</v>
      </c>
      <c r="D845" s="1" t="s">
        <v>2648</v>
      </c>
      <c r="E845" s="1" t="s">
        <v>141</v>
      </c>
      <c r="F845" s="1" t="s">
        <v>58</v>
      </c>
      <c r="G845" s="1" t="s">
        <v>42</v>
      </c>
      <c r="H845" s="1" t="s">
        <v>163</v>
      </c>
      <c r="I845" s="1" t="s">
        <v>164</v>
      </c>
      <c r="J845" s="1" t="s">
        <v>99</v>
      </c>
      <c r="K845" s="1" t="s">
        <v>201</v>
      </c>
      <c r="L845" s="1" t="s">
        <v>2649</v>
      </c>
      <c r="M845" s="1" t="s">
        <v>72</v>
      </c>
      <c r="N845" s="1" t="s">
        <v>2899</v>
      </c>
      <c r="O845" s="1" t="s">
        <v>7427</v>
      </c>
      <c r="P845" s="1" t="s">
        <v>2650</v>
      </c>
      <c r="Q845" s="1" t="s">
        <v>7428</v>
      </c>
      <c r="R845" s="1" t="s">
        <v>7429</v>
      </c>
      <c r="S845" s="1" t="s">
        <v>7430</v>
      </c>
      <c r="T845" s="1" t="s">
        <v>52</v>
      </c>
      <c r="U845" s="1" t="s">
        <v>53</v>
      </c>
    </row>
    <row r="846" customFormat="false" ht="15" hidden="false" customHeight="true" outlineLevel="0" collapsed="false">
      <c r="A846" s="1" t="s">
        <v>2651</v>
      </c>
      <c r="B846" s="1" t="s">
        <v>7431</v>
      </c>
      <c r="C846" s="1" t="s">
        <v>7432</v>
      </c>
      <c r="D846" s="1" t="s">
        <v>2652</v>
      </c>
      <c r="E846" s="1" t="s">
        <v>115</v>
      </c>
      <c r="F846" s="1" t="s">
        <v>121</v>
      </c>
      <c r="G846" s="1" t="s">
        <v>88</v>
      </c>
      <c r="H846" s="1" t="s">
        <v>221</v>
      </c>
      <c r="I846" s="1" t="s">
        <v>222</v>
      </c>
      <c r="J846" s="1" t="s">
        <v>46</v>
      </c>
      <c r="K846" s="1" t="s">
        <v>70</v>
      </c>
      <c r="L846" s="1" t="s">
        <v>2653</v>
      </c>
      <c r="M846" s="1" t="s">
        <v>72</v>
      </c>
      <c r="N846" s="1" t="s">
        <v>2836</v>
      </c>
      <c r="O846" s="1" t="s">
        <v>7433</v>
      </c>
      <c r="P846" s="1" t="s">
        <v>66</v>
      </c>
      <c r="Q846" s="1" t="s">
        <v>7433</v>
      </c>
      <c r="R846" s="1" t="s">
        <v>7434</v>
      </c>
      <c r="S846" s="1" t="s">
        <v>7435</v>
      </c>
      <c r="T846" s="1" t="s">
        <v>52</v>
      </c>
      <c r="U846" s="1" t="s">
        <v>53</v>
      </c>
    </row>
    <row r="847" customFormat="false" ht="15" hidden="false" customHeight="true" outlineLevel="0" collapsed="false">
      <c r="A847" s="1" t="s">
        <v>2654</v>
      </c>
      <c r="B847" s="1" t="s">
        <v>6100</v>
      </c>
      <c r="C847" s="1" t="s">
        <v>7436</v>
      </c>
      <c r="D847" s="1" t="s">
        <v>630</v>
      </c>
      <c r="E847" s="1" t="s">
        <v>40</v>
      </c>
      <c r="F847" s="1" t="s">
        <v>41</v>
      </c>
      <c r="G847" s="1" t="s">
        <v>59</v>
      </c>
      <c r="H847" s="1" t="s">
        <v>60</v>
      </c>
      <c r="I847" s="1" t="s">
        <v>61</v>
      </c>
      <c r="J847" s="1" t="s">
        <v>62</v>
      </c>
      <c r="K847" s="1" t="s">
        <v>63</v>
      </c>
      <c r="L847" s="1" t="s">
        <v>2655</v>
      </c>
      <c r="M847" s="1" t="s">
        <v>72</v>
      </c>
      <c r="N847" s="1" t="s">
        <v>2899</v>
      </c>
      <c r="O847" s="1" t="s">
        <v>7437</v>
      </c>
      <c r="P847" s="1" t="s">
        <v>84</v>
      </c>
      <c r="Q847" s="1" t="s">
        <v>7438</v>
      </c>
      <c r="R847" s="1" t="s">
        <v>7439</v>
      </c>
      <c r="S847" s="1" t="s">
        <v>7440</v>
      </c>
      <c r="T847" s="1" t="s">
        <v>138</v>
      </c>
      <c r="U847" s="1" t="s">
        <v>130</v>
      </c>
    </row>
    <row r="848" customFormat="false" ht="15" hidden="false" customHeight="true" outlineLevel="0" collapsed="false">
      <c r="A848" s="1" t="s">
        <v>2656</v>
      </c>
      <c r="B848" s="1" t="s">
        <v>7441</v>
      </c>
      <c r="C848" s="1" t="s">
        <v>7442</v>
      </c>
      <c r="D848" s="1" t="s">
        <v>2657</v>
      </c>
      <c r="E848" s="1" t="s">
        <v>141</v>
      </c>
      <c r="F848" s="1" t="s">
        <v>58</v>
      </c>
      <c r="G848" s="1" t="s">
        <v>88</v>
      </c>
      <c r="H848" s="1" t="s">
        <v>211</v>
      </c>
      <c r="I848" s="1" t="s">
        <v>212</v>
      </c>
      <c r="J848" s="1" t="s">
        <v>62</v>
      </c>
      <c r="K848" s="1" t="s">
        <v>188</v>
      </c>
      <c r="L848" s="1" t="s">
        <v>2658</v>
      </c>
      <c r="M848" s="1" t="s">
        <v>83</v>
      </c>
      <c r="N848" s="1" t="s">
        <v>2868</v>
      </c>
      <c r="O848" s="1" t="s">
        <v>7443</v>
      </c>
      <c r="P848" s="1" t="s">
        <v>66</v>
      </c>
      <c r="Q848" s="1" t="s">
        <v>7444</v>
      </c>
      <c r="R848" s="1" t="s">
        <v>7445</v>
      </c>
      <c r="S848" s="1" t="s">
        <v>7446</v>
      </c>
      <c r="T848" s="1" t="s">
        <v>138</v>
      </c>
      <c r="U848" s="1" t="s">
        <v>130</v>
      </c>
    </row>
    <row r="849" customFormat="false" ht="15" hidden="false" customHeight="true" outlineLevel="0" collapsed="false">
      <c r="A849" s="1" t="s">
        <v>2659</v>
      </c>
      <c r="B849" s="1" t="s">
        <v>7447</v>
      </c>
      <c r="C849" s="1" t="s">
        <v>7448</v>
      </c>
      <c r="D849" s="1" t="s">
        <v>2660</v>
      </c>
      <c r="E849" s="1" t="s">
        <v>192</v>
      </c>
      <c r="F849" s="1" t="s">
        <v>121</v>
      </c>
      <c r="G849" s="1" t="s">
        <v>59</v>
      </c>
      <c r="H849" s="1" t="s">
        <v>60</v>
      </c>
      <c r="I849" s="1" t="s">
        <v>61</v>
      </c>
      <c r="J849" s="1" t="s">
        <v>62</v>
      </c>
      <c r="K849" s="1" t="s">
        <v>63</v>
      </c>
      <c r="L849" s="1" t="s">
        <v>2661</v>
      </c>
      <c r="M849" s="1" t="s">
        <v>49</v>
      </c>
      <c r="N849" s="1" t="s">
        <v>2868</v>
      </c>
      <c r="O849" s="1" t="s">
        <v>7449</v>
      </c>
      <c r="P849" s="1" t="s">
        <v>50</v>
      </c>
      <c r="Q849" s="1" t="s">
        <v>7450</v>
      </c>
      <c r="R849" s="1" t="s">
        <v>7451</v>
      </c>
      <c r="S849" s="1" t="s">
        <v>7452</v>
      </c>
      <c r="T849" s="1" t="s">
        <v>52</v>
      </c>
      <c r="U849" s="1" t="s">
        <v>53</v>
      </c>
    </row>
    <row r="850" customFormat="false" ht="15" hidden="false" customHeight="true" outlineLevel="0" collapsed="false">
      <c r="A850" s="1" t="s">
        <v>2662</v>
      </c>
      <c r="B850" s="1" t="s">
        <v>6555</v>
      </c>
      <c r="C850" s="1" t="s">
        <v>7453</v>
      </c>
      <c r="D850" s="1" t="s">
        <v>2663</v>
      </c>
      <c r="E850" s="1" t="s">
        <v>145</v>
      </c>
      <c r="F850" s="1" t="s">
        <v>121</v>
      </c>
      <c r="G850" s="1" t="s">
        <v>78</v>
      </c>
      <c r="H850" s="1" t="s">
        <v>281</v>
      </c>
      <c r="I850" s="1" t="s">
        <v>282</v>
      </c>
      <c r="J850" s="1" t="s">
        <v>62</v>
      </c>
      <c r="K850" s="1" t="s">
        <v>81</v>
      </c>
      <c r="L850" s="1" t="s">
        <v>2664</v>
      </c>
      <c r="M850" s="1" t="s">
        <v>49</v>
      </c>
      <c r="N850" s="1" t="s">
        <v>2836</v>
      </c>
      <c r="O850" s="1" t="s">
        <v>7454</v>
      </c>
      <c r="P850" s="1" t="s">
        <v>84</v>
      </c>
      <c r="Q850" s="1" t="s">
        <v>7455</v>
      </c>
      <c r="R850" s="1" t="s">
        <v>7456</v>
      </c>
      <c r="S850" s="1" t="s">
        <v>7457</v>
      </c>
      <c r="T850" s="1" t="s">
        <v>52</v>
      </c>
      <c r="U850" s="1" t="s">
        <v>53</v>
      </c>
    </row>
    <row r="851" customFormat="false" ht="15" hidden="false" customHeight="true" outlineLevel="0" collapsed="false">
      <c r="A851" s="1" t="s">
        <v>2665</v>
      </c>
      <c r="B851" s="1" t="s">
        <v>2917</v>
      </c>
      <c r="C851" s="1" t="s">
        <v>2918</v>
      </c>
      <c r="D851" s="1" t="s">
        <v>2666</v>
      </c>
      <c r="E851" s="1" t="s">
        <v>69</v>
      </c>
      <c r="F851" s="1" t="s">
        <v>121</v>
      </c>
      <c r="G851" s="1" t="s">
        <v>88</v>
      </c>
      <c r="H851" s="1" t="s">
        <v>211</v>
      </c>
      <c r="I851" s="1" t="s">
        <v>212</v>
      </c>
      <c r="J851" s="1" t="s">
        <v>62</v>
      </c>
      <c r="K851" s="1" t="s">
        <v>188</v>
      </c>
      <c r="L851" s="1" t="s">
        <v>2667</v>
      </c>
      <c r="M851" s="1" t="s">
        <v>83</v>
      </c>
      <c r="N851" s="1" t="s">
        <v>2822</v>
      </c>
      <c r="O851" s="1" t="s">
        <v>2919</v>
      </c>
      <c r="P851" s="1" t="s">
        <v>50</v>
      </c>
      <c r="Q851" s="1" t="s">
        <v>2920</v>
      </c>
      <c r="R851" s="1" t="s">
        <v>2921</v>
      </c>
      <c r="S851" s="1" t="s">
        <v>2922</v>
      </c>
      <c r="T851" s="1" t="s">
        <v>52</v>
      </c>
      <c r="U851" s="1" t="s">
        <v>53</v>
      </c>
    </row>
    <row r="852" customFormat="false" ht="15" hidden="false" customHeight="true" outlineLevel="0" collapsed="false">
      <c r="A852" s="1" t="s">
        <v>2668</v>
      </c>
      <c r="B852" s="1" t="s">
        <v>5293</v>
      </c>
      <c r="C852" s="1" t="s">
        <v>7312</v>
      </c>
      <c r="D852" s="1" t="s">
        <v>2669</v>
      </c>
      <c r="E852" s="1" t="s">
        <v>141</v>
      </c>
      <c r="F852" s="1" t="s">
        <v>121</v>
      </c>
      <c r="G852" s="1" t="s">
        <v>59</v>
      </c>
      <c r="H852" s="1" t="s">
        <v>125</v>
      </c>
      <c r="I852" s="1" t="s">
        <v>126</v>
      </c>
      <c r="J852" s="1" t="s">
        <v>46</v>
      </c>
      <c r="K852" s="1" t="s">
        <v>47</v>
      </c>
      <c r="L852" s="1" t="s">
        <v>2670</v>
      </c>
      <c r="M852" s="1" t="s">
        <v>72</v>
      </c>
      <c r="N852" s="1" t="s">
        <v>2815</v>
      </c>
      <c r="O852" s="1" t="s">
        <v>7458</v>
      </c>
      <c r="P852" s="1" t="s">
        <v>66</v>
      </c>
      <c r="Q852" s="1" t="s">
        <v>7459</v>
      </c>
      <c r="R852" s="1" t="s">
        <v>7460</v>
      </c>
      <c r="S852" s="1" t="s">
        <v>7461</v>
      </c>
      <c r="T852" s="1" t="s">
        <v>52</v>
      </c>
      <c r="U852" s="1" t="s">
        <v>53</v>
      </c>
    </row>
    <row r="853" customFormat="false" ht="15" hidden="false" customHeight="true" outlineLevel="0" collapsed="false">
      <c r="A853" s="1" t="s">
        <v>2671</v>
      </c>
      <c r="B853" s="1" t="s">
        <v>3751</v>
      </c>
      <c r="C853" s="1" t="s">
        <v>6565</v>
      </c>
      <c r="D853" s="1" t="s">
        <v>2672</v>
      </c>
      <c r="E853" s="1" t="s">
        <v>40</v>
      </c>
      <c r="F853" s="1" t="s">
        <v>58</v>
      </c>
      <c r="G853" s="1" t="s">
        <v>88</v>
      </c>
      <c r="H853" s="1" t="s">
        <v>211</v>
      </c>
      <c r="I853" s="1" t="s">
        <v>212</v>
      </c>
      <c r="J853" s="1" t="s">
        <v>99</v>
      </c>
      <c r="K853" s="1" t="s">
        <v>100</v>
      </c>
      <c r="L853" s="1" t="s">
        <v>2673</v>
      </c>
      <c r="M853" s="1" t="s">
        <v>72</v>
      </c>
      <c r="N853" s="1" t="s">
        <v>2868</v>
      </c>
      <c r="O853" s="1" t="s">
        <v>7462</v>
      </c>
      <c r="P853" s="1" t="s">
        <v>50</v>
      </c>
      <c r="Q853" s="1" t="s">
        <v>7463</v>
      </c>
      <c r="R853" s="1" t="s">
        <v>7464</v>
      </c>
      <c r="S853" s="1" t="s">
        <v>7465</v>
      </c>
      <c r="T853" s="1" t="s">
        <v>52</v>
      </c>
      <c r="U853" s="1" t="s">
        <v>53</v>
      </c>
    </row>
    <row r="854" customFormat="false" ht="15" hidden="false" customHeight="true" outlineLevel="0" collapsed="false">
      <c r="A854" s="1" t="s">
        <v>2674</v>
      </c>
      <c r="B854" s="1" t="s">
        <v>7466</v>
      </c>
      <c r="C854" s="1" t="s">
        <v>7253</v>
      </c>
      <c r="D854" s="1" t="s">
        <v>2675</v>
      </c>
      <c r="E854" s="1" t="s">
        <v>87</v>
      </c>
      <c r="F854" s="1" t="s">
        <v>41</v>
      </c>
      <c r="G854" s="1" t="s">
        <v>59</v>
      </c>
      <c r="H854" s="1" t="s">
        <v>196</v>
      </c>
      <c r="I854" s="1" t="s">
        <v>197</v>
      </c>
      <c r="J854" s="1" t="s">
        <v>62</v>
      </c>
      <c r="K854" s="1" t="s">
        <v>63</v>
      </c>
      <c r="L854" s="1" t="s">
        <v>2676</v>
      </c>
      <c r="M854" s="1" t="s">
        <v>49</v>
      </c>
      <c r="N854" s="1" t="s">
        <v>2906</v>
      </c>
      <c r="O854" s="1" t="s">
        <v>7467</v>
      </c>
      <c r="P854" s="1" t="s">
        <v>107</v>
      </c>
      <c r="Q854" s="1" t="s">
        <v>7468</v>
      </c>
      <c r="R854" s="1" t="s">
        <v>7469</v>
      </c>
      <c r="S854" s="1" t="s">
        <v>7470</v>
      </c>
      <c r="T854" s="1" t="s">
        <v>138</v>
      </c>
      <c r="U854" s="1" t="s">
        <v>93</v>
      </c>
    </row>
    <row r="855" customFormat="false" ht="15" hidden="false" customHeight="true" outlineLevel="0" collapsed="false">
      <c r="A855" s="1" t="s">
        <v>2677</v>
      </c>
      <c r="B855" s="1" t="s">
        <v>7471</v>
      </c>
      <c r="C855" s="1" t="s">
        <v>7448</v>
      </c>
      <c r="D855" s="1" t="s">
        <v>2678</v>
      </c>
      <c r="E855" s="1" t="s">
        <v>77</v>
      </c>
      <c r="F855" s="1" t="s">
        <v>116</v>
      </c>
      <c r="G855" s="1" t="s">
        <v>78</v>
      </c>
      <c r="H855" s="1" t="s">
        <v>281</v>
      </c>
      <c r="I855" s="1" t="s">
        <v>282</v>
      </c>
      <c r="J855" s="1" t="s">
        <v>99</v>
      </c>
      <c r="K855" s="1" t="s">
        <v>100</v>
      </c>
      <c r="L855" s="1" t="s">
        <v>2679</v>
      </c>
      <c r="M855" s="1" t="s">
        <v>65</v>
      </c>
      <c r="N855" s="1" t="s">
        <v>2861</v>
      </c>
      <c r="O855" s="1" t="s">
        <v>7472</v>
      </c>
      <c r="P855" s="1" t="s">
        <v>50</v>
      </c>
      <c r="Q855" s="1" t="s">
        <v>7473</v>
      </c>
      <c r="R855" s="1" t="s">
        <v>7474</v>
      </c>
      <c r="S855" s="1" t="s">
        <v>7475</v>
      </c>
      <c r="T855" s="1" t="s">
        <v>52</v>
      </c>
      <c r="U855" s="1" t="s">
        <v>53</v>
      </c>
    </row>
    <row r="856" customFormat="false" ht="15" hidden="false" customHeight="true" outlineLevel="0" collapsed="false">
      <c r="A856" s="1" t="s">
        <v>2680</v>
      </c>
      <c r="B856" s="1" t="s">
        <v>7476</v>
      </c>
      <c r="C856" s="1" t="s">
        <v>7477</v>
      </c>
      <c r="D856" s="1" t="s">
        <v>2681</v>
      </c>
      <c r="E856" s="1" t="s">
        <v>141</v>
      </c>
      <c r="F856" s="1" t="s">
        <v>41</v>
      </c>
      <c r="G856" s="1" t="s">
        <v>78</v>
      </c>
      <c r="H856" s="1" t="s">
        <v>206</v>
      </c>
      <c r="I856" s="1" t="s">
        <v>207</v>
      </c>
      <c r="J856" s="1" t="s">
        <v>62</v>
      </c>
      <c r="K856" s="1" t="s">
        <v>188</v>
      </c>
      <c r="L856" s="1" t="s">
        <v>2682</v>
      </c>
      <c r="M856" s="1" t="s">
        <v>49</v>
      </c>
      <c r="N856" s="1" t="s">
        <v>2937</v>
      </c>
      <c r="O856" s="1" t="s">
        <v>7478</v>
      </c>
      <c r="P856" s="1" t="s">
        <v>128</v>
      </c>
      <c r="Q856" s="1" t="s">
        <v>7479</v>
      </c>
      <c r="R856" s="1" t="s">
        <v>7480</v>
      </c>
      <c r="S856" s="1" t="s">
        <v>7481</v>
      </c>
      <c r="T856" s="1" t="s">
        <v>52</v>
      </c>
      <c r="U856" s="1" t="s">
        <v>53</v>
      </c>
    </row>
    <row r="857" customFormat="false" ht="15" hidden="false" customHeight="true" outlineLevel="0" collapsed="false">
      <c r="A857" s="1" t="s">
        <v>2683</v>
      </c>
      <c r="B857" s="1" t="s">
        <v>3676</v>
      </c>
      <c r="C857" s="1" t="s">
        <v>7482</v>
      </c>
      <c r="D857" s="1" t="s">
        <v>1162</v>
      </c>
      <c r="E857" s="1" t="s">
        <v>145</v>
      </c>
      <c r="F857" s="1" t="s">
        <v>41</v>
      </c>
      <c r="G857" s="1" t="s">
        <v>42</v>
      </c>
      <c r="H857" s="1" t="s">
        <v>44</v>
      </c>
      <c r="I857" s="1" t="s">
        <v>45</v>
      </c>
      <c r="J857" s="1" t="s">
        <v>46</v>
      </c>
      <c r="K857" s="1" t="s">
        <v>7483</v>
      </c>
      <c r="L857" s="1" t="s">
        <v>2684</v>
      </c>
      <c r="M857" s="1" t="s">
        <v>49</v>
      </c>
      <c r="N857" s="1" t="s">
        <v>2868</v>
      </c>
      <c r="O857" s="1" t="s">
        <v>7484</v>
      </c>
      <c r="P857" s="1" t="s">
        <v>84</v>
      </c>
      <c r="Q857" s="1" t="s">
        <v>7485</v>
      </c>
      <c r="R857" s="1" t="s">
        <v>7486</v>
      </c>
      <c r="S857" s="1" t="s">
        <v>7487</v>
      </c>
      <c r="T857" s="1" t="s">
        <v>52</v>
      </c>
      <c r="U857" s="1" t="s">
        <v>53</v>
      </c>
    </row>
    <row r="858" customFormat="false" ht="15" hidden="false" customHeight="true" outlineLevel="0" collapsed="false">
      <c r="A858" s="1" t="s">
        <v>2685</v>
      </c>
      <c r="B858" s="1" t="s">
        <v>7488</v>
      </c>
      <c r="C858" s="1" t="s">
        <v>3630</v>
      </c>
      <c r="D858" s="1" t="s">
        <v>1341</v>
      </c>
      <c r="E858" s="1" t="s">
        <v>168</v>
      </c>
      <c r="F858" s="1" t="s">
        <v>121</v>
      </c>
      <c r="G858" s="1" t="s">
        <v>78</v>
      </c>
      <c r="H858" s="1" t="s">
        <v>281</v>
      </c>
      <c r="I858" s="1" t="s">
        <v>282</v>
      </c>
      <c r="J858" s="1" t="s">
        <v>46</v>
      </c>
      <c r="K858" s="1" t="s">
        <v>151</v>
      </c>
      <c r="L858" s="1" t="s">
        <v>2686</v>
      </c>
      <c r="M858" s="1" t="s">
        <v>83</v>
      </c>
      <c r="N858" s="1" t="s">
        <v>2937</v>
      </c>
      <c r="O858" s="1" t="s">
        <v>7489</v>
      </c>
      <c r="P858" s="1" t="s">
        <v>751</v>
      </c>
      <c r="Q858" s="1" t="s">
        <v>7490</v>
      </c>
      <c r="R858" s="1" t="s">
        <v>7491</v>
      </c>
      <c r="S858" s="1" t="s">
        <v>7492</v>
      </c>
      <c r="T858" s="1" t="s">
        <v>185</v>
      </c>
      <c r="U858" s="1" t="s">
        <v>93</v>
      </c>
    </row>
    <row r="859" customFormat="false" ht="15" hidden="false" customHeight="true" outlineLevel="0" collapsed="false">
      <c r="A859" s="1" t="s">
        <v>2687</v>
      </c>
      <c r="B859" s="1" t="s">
        <v>7493</v>
      </c>
      <c r="C859" s="1" t="s">
        <v>7494</v>
      </c>
      <c r="D859" s="1" t="s">
        <v>2193</v>
      </c>
      <c r="E859" s="1" t="s">
        <v>159</v>
      </c>
      <c r="F859" s="1" t="s">
        <v>121</v>
      </c>
      <c r="G859" s="1" t="s">
        <v>78</v>
      </c>
      <c r="H859" s="1" t="s">
        <v>216</v>
      </c>
      <c r="I859" s="1" t="s">
        <v>217</v>
      </c>
      <c r="J859" s="1" t="s">
        <v>46</v>
      </c>
      <c r="K859" s="1" t="s">
        <v>151</v>
      </c>
      <c r="L859" s="1" t="s">
        <v>2688</v>
      </c>
      <c r="M859" s="1" t="s">
        <v>72</v>
      </c>
      <c r="N859" s="1" t="s">
        <v>2815</v>
      </c>
      <c r="O859" s="1" t="s">
        <v>7495</v>
      </c>
      <c r="P859" s="1" t="s">
        <v>84</v>
      </c>
      <c r="Q859" s="1" t="s">
        <v>7496</v>
      </c>
      <c r="R859" s="1" t="s">
        <v>7497</v>
      </c>
      <c r="S859" s="1" t="s">
        <v>7498</v>
      </c>
      <c r="T859" s="1" t="s">
        <v>52</v>
      </c>
      <c r="U859" s="1" t="s">
        <v>53</v>
      </c>
    </row>
    <row r="860" customFormat="false" ht="15" hidden="false" customHeight="true" outlineLevel="0" collapsed="false">
      <c r="A860" s="1" t="s">
        <v>2689</v>
      </c>
      <c r="B860" s="1" t="s">
        <v>4255</v>
      </c>
      <c r="C860" s="1" t="s">
        <v>4339</v>
      </c>
      <c r="D860" s="1" t="s">
        <v>2690</v>
      </c>
      <c r="E860" s="1" t="s">
        <v>77</v>
      </c>
      <c r="F860" s="1" t="s">
        <v>41</v>
      </c>
      <c r="G860" s="1" t="s">
        <v>59</v>
      </c>
      <c r="H860" s="1" t="s">
        <v>60</v>
      </c>
      <c r="I860" s="1" t="s">
        <v>61</v>
      </c>
      <c r="J860" s="1" t="s">
        <v>99</v>
      </c>
      <c r="K860" s="1" t="s">
        <v>100</v>
      </c>
      <c r="L860" s="1" t="s">
        <v>2691</v>
      </c>
      <c r="M860" s="1" t="s">
        <v>49</v>
      </c>
      <c r="N860" s="1" t="s">
        <v>2937</v>
      </c>
      <c r="O860" s="1" t="s">
        <v>7499</v>
      </c>
      <c r="P860" s="1" t="s">
        <v>66</v>
      </c>
      <c r="Q860" s="1" t="s">
        <v>7500</v>
      </c>
      <c r="R860" s="1" t="s">
        <v>7501</v>
      </c>
      <c r="S860" s="1" t="s">
        <v>7502</v>
      </c>
      <c r="T860" s="1" t="s">
        <v>52</v>
      </c>
      <c r="U860" s="1" t="s">
        <v>53</v>
      </c>
    </row>
    <row r="861" customFormat="false" ht="15" hidden="false" customHeight="true" outlineLevel="0" collapsed="false">
      <c r="A861" s="1" t="s">
        <v>2692</v>
      </c>
      <c r="B861" s="1" t="s">
        <v>6980</v>
      </c>
      <c r="C861" s="1" t="s">
        <v>7503</v>
      </c>
      <c r="D861" s="1" t="s">
        <v>2693</v>
      </c>
      <c r="E861" s="1" t="s">
        <v>115</v>
      </c>
      <c r="F861" s="1" t="s">
        <v>116</v>
      </c>
      <c r="G861" s="1" t="s">
        <v>78</v>
      </c>
      <c r="H861" s="1" t="s">
        <v>281</v>
      </c>
      <c r="I861" s="1" t="s">
        <v>282</v>
      </c>
      <c r="J861" s="1" t="s">
        <v>99</v>
      </c>
      <c r="K861" s="1" t="s">
        <v>201</v>
      </c>
      <c r="L861" s="1" t="s">
        <v>2694</v>
      </c>
      <c r="M861" s="1" t="s">
        <v>83</v>
      </c>
      <c r="N861" s="1" t="s">
        <v>2815</v>
      </c>
      <c r="O861" s="1" t="s">
        <v>7504</v>
      </c>
      <c r="P861" s="1" t="s">
        <v>128</v>
      </c>
      <c r="Q861" s="1" t="s">
        <v>7505</v>
      </c>
      <c r="R861" s="1" t="s">
        <v>7506</v>
      </c>
      <c r="S861" s="1" t="s">
        <v>7507</v>
      </c>
      <c r="T861" s="1" t="s">
        <v>52</v>
      </c>
      <c r="U861" s="1" t="s">
        <v>53</v>
      </c>
    </row>
    <row r="862" customFormat="false" ht="15" hidden="false" customHeight="true" outlineLevel="0" collapsed="false">
      <c r="A862" s="1" t="s">
        <v>2695</v>
      </c>
      <c r="B862" s="1" t="s">
        <v>3682</v>
      </c>
      <c r="C862" s="1" t="s">
        <v>7508</v>
      </c>
      <c r="D862" s="1" t="s">
        <v>2696</v>
      </c>
      <c r="E862" s="1" t="s">
        <v>96</v>
      </c>
      <c r="F862" s="1" t="s">
        <v>121</v>
      </c>
      <c r="G862" s="1" t="s">
        <v>42</v>
      </c>
      <c r="H862" s="1" t="s">
        <v>163</v>
      </c>
      <c r="I862" s="1" t="s">
        <v>164</v>
      </c>
      <c r="J862" s="1" t="s">
        <v>46</v>
      </c>
      <c r="K862" s="1" t="s">
        <v>151</v>
      </c>
      <c r="L862" s="1" t="s">
        <v>2697</v>
      </c>
      <c r="M862" s="1" t="s">
        <v>49</v>
      </c>
      <c r="N862" s="1" t="s">
        <v>2836</v>
      </c>
      <c r="O862" s="1" t="s">
        <v>7509</v>
      </c>
      <c r="P862" s="1" t="s">
        <v>128</v>
      </c>
      <c r="Q862" s="1" t="s">
        <v>7510</v>
      </c>
      <c r="R862" s="1" t="s">
        <v>7511</v>
      </c>
      <c r="S862" s="1" t="s">
        <v>7512</v>
      </c>
      <c r="T862" s="1" t="s">
        <v>52</v>
      </c>
      <c r="U862" s="1" t="s">
        <v>53</v>
      </c>
    </row>
    <row r="863" customFormat="false" ht="15" hidden="false" customHeight="true" outlineLevel="0" collapsed="false">
      <c r="A863" s="1" t="s">
        <v>2698</v>
      </c>
      <c r="B863" s="1" t="s">
        <v>7513</v>
      </c>
      <c r="C863" s="1" t="s">
        <v>7514</v>
      </c>
      <c r="D863" s="1" t="s">
        <v>2699</v>
      </c>
      <c r="E863" s="1" t="s">
        <v>141</v>
      </c>
      <c r="F863" s="1" t="s">
        <v>121</v>
      </c>
      <c r="G863" s="1" t="s">
        <v>42</v>
      </c>
      <c r="H863" s="1" t="s">
        <v>384</v>
      </c>
      <c r="I863" s="1" t="s">
        <v>385</v>
      </c>
      <c r="J863" s="1" t="s">
        <v>62</v>
      </c>
      <c r="K863" s="1" t="s">
        <v>81</v>
      </c>
      <c r="L863" s="1" t="s">
        <v>2700</v>
      </c>
      <c r="M863" s="1" t="s">
        <v>65</v>
      </c>
      <c r="N863" s="1" t="s">
        <v>2937</v>
      </c>
      <c r="O863" s="1" t="s">
        <v>7515</v>
      </c>
      <c r="P863" s="1" t="s">
        <v>50</v>
      </c>
      <c r="Q863" s="1" t="s">
        <v>7516</v>
      </c>
      <c r="R863" s="1" t="s">
        <v>7517</v>
      </c>
      <c r="S863" s="1" t="s">
        <v>7518</v>
      </c>
      <c r="T863" s="1" t="s">
        <v>52</v>
      </c>
      <c r="U863" s="1" t="s">
        <v>53</v>
      </c>
    </row>
    <row r="864" customFormat="false" ht="15" hidden="false" customHeight="true" outlineLevel="0" collapsed="false">
      <c r="A864" s="1" t="s">
        <v>2701</v>
      </c>
      <c r="B864" s="1" t="s">
        <v>6754</v>
      </c>
      <c r="C864" s="1" t="s">
        <v>7519</v>
      </c>
      <c r="D864" s="1" t="s">
        <v>2702</v>
      </c>
      <c r="E864" s="1" t="s">
        <v>141</v>
      </c>
      <c r="F864" s="1" t="s">
        <v>58</v>
      </c>
      <c r="G864" s="1" t="s">
        <v>59</v>
      </c>
      <c r="H864" s="1" t="s">
        <v>262</v>
      </c>
      <c r="I864" s="1" t="s">
        <v>263</v>
      </c>
      <c r="J864" s="1" t="s">
        <v>46</v>
      </c>
      <c r="K864" s="1" t="s">
        <v>183</v>
      </c>
      <c r="L864" s="1" t="s">
        <v>2703</v>
      </c>
      <c r="M864" s="1" t="s">
        <v>72</v>
      </c>
      <c r="N864" s="1" t="s">
        <v>2829</v>
      </c>
      <c r="O864" s="1" t="s">
        <v>7520</v>
      </c>
      <c r="P864" s="1" t="s">
        <v>66</v>
      </c>
      <c r="Q864" s="1" t="s">
        <v>7521</v>
      </c>
      <c r="R864" s="1" t="s">
        <v>7522</v>
      </c>
      <c r="S864" s="1" t="s">
        <v>7523</v>
      </c>
      <c r="T864" s="1" t="s">
        <v>52</v>
      </c>
      <c r="U864" s="1" t="s">
        <v>93</v>
      </c>
    </row>
    <row r="865" customFormat="false" ht="15" hidden="false" customHeight="true" outlineLevel="0" collapsed="false">
      <c r="A865" s="1" t="s">
        <v>2704</v>
      </c>
      <c r="B865" s="1" t="s">
        <v>7524</v>
      </c>
      <c r="C865" s="1" t="s">
        <v>6051</v>
      </c>
      <c r="D865" s="1" t="s">
        <v>2705</v>
      </c>
      <c r="E865" s="1" t="s">
        <v>155</v>
      </c>
      <c r="F865" s="1" t="s">
        <v>121</v>
      </c>
      <c r="G865" s="1" t="s">
        <v>88</v>
      </c>
      <c r="H865" s="1" t="s">
        <v>97</v>
      </c>
      <c r="I865" s="1" t="s">
        <v>98</v>
      </c>
      <c r="J865" s="1" t="s">
        <v>62</v>
      </c>
      <c r="K865" s="1" t="s">
        <v>81</v>
      </c>
      <c r="L865" s="1" t="s">
        <v>2706</v>
      </c>
      <c r="M865" s="1" t="s">
        <v>65</v>
      </c>
      <c r="N865" s="1" t="s">
        <v>2822</v>
      </c>
      <c r="O865" s="1" t="s">
        <v>7525</v>
      </c>
      <c r="P865" s="1" t="s">
        <v>66</v>
      </c>
      <c r="Q865" s="1" t="s">
        <v>7526</v>
      </c>
      <c r="R865" s="1" t="s">
        <v>7527</v>
      </c>
      <c r="S865" s="1" t="s">
        <v>7528</v>
      </c>
      <c r="T865" s="1" t="s">
        <v>52</v>
      </c>
      <c r="U865" s="1" t="s">
        <v>53</v>
      </c>
    </row>
    <row r="866" customFormat="false" ht="15" hidden="false" customHeight="true" outlineLevel="0" collapsed="false">
      <c r="A866" s="1" t="s">
        <v>2707</v>
      </c>
      <c r="B866" s="1" t="s">
        <v>7529</v>
      </c>
      <c r="C866" s="1" t="s">
        <v>3488</v>
      </c>
      <c r="D866" s="1" t="s">
        <v>2708</v>
      </c>
      <c r="E866" s="1" t="s">
        <v>96</v>
      </c>
      <c r="F866" s="1" t="s">
        <v>41</v>
      </c>
      <c r="G866" s="1" t="s">
        <v>78</v>
      </c>
      <c r="H866" s="1" t="s">
        <v>281</v>
      </c>
      <c r="I866" s="1" t="s">
        <v>282</v>
      </c>
      <c r="J866" s="1" t="s">
        <v>99</v>
      </c>
      <c r="K866" s="1" t="s">
        <v>201</v>
      </c>
      <c r="L866" s="1" t="s">
        <v>2709</v>
      </c>
      <c r="M866" s="1" t="s">
        <v>72</v>
      </c>
      <c r="N866" s="1" t="s">
        <v>2829</v>
      </c>
      <c r="O866" s="1" t="s">
        <v>7530</v>
      </c>
      <c r="P866" s="1" t="s">
        <v>66</v>
      </c>
      <c r="Q866" s="1" t="s">
        <v>7531</v>
      </c>
      <c r="R866" s="1" t="s">
        <v>7532</v>
      </c>
      <c r="S866" s="1" t="s">
        <v>7533</v>
      </c>
      <c r="T866" s="1" t="s">
        <v>52</v>
      </c>
      <c r="U866" s="1" t="s">
        <v>53</v>
      </c>
    </row>
    <row r="867" customFormat="false" ht="15" hidden="false" customHeight="true" outlineLevel="0" collapsed="false">
      <c r="A867" s="1" t="s">
        <v>2710</v>
      </c>
      <c r="B867" s="1" t="s">
        <v>7306</v>
      </c>
      <c r="C867" s="1" t="s">
        <v>5076</v>
      </c>
      <c r="D867" s="1" t="s">
        <v>2711</v>
      </c>
      <c r="E867" s="1" t="s">
        <v>298</v>
      </c>
      <c r="F867" s="1" t="s">
        <v>41</v>
      </c>
      <c r="G867" s="1" t="s">
        <v>88</v>
      </c>
      <c r="H867" s="1" t="s">
        <v>89</v>
      </c>
      <c r="I867" s="1" t="s">
        <v>90</v>
      </c>
      <c r="J867" s="1" t="s">
        <v>46</v>
      </c>
      <c r="K867" s="1" t="s">
        <v>117</v>
      </c>
      <c r="L867" s="1" t="s">
        <v>2712</v>
      </c>
      <c r="M867" s="1" t="s">
        <v>49</v>
      </c>
      <c r="N867" s="1" t="s">
        <v>2868</v>
      </c>
      <c r="O867" s="1" t="s">
        <v>7534</v>
      </c>
      <c r="P867" s="1" t="s">
        <v>66</v>
      </c>
      <c r="Q867" s="1" t="s">
        <v>7535</v>
      </c>
      <c r="R867" s="1" t="s">
        <v>7536</v>
      </c>
      <c r="S867" s="1" t="s">
        <v>7537</v>
      </c>
      <c r="T867" s="1" t="s">
        <v>52</v>
      </c>
      <c r="U867" s="1" t="s">
        <v>53</v>
      </c>
    </row>
    <row r="868" customFormat="false" ht="15" hidden="false" customHeight="true" outlineLevel="0" collapsed="false">
      <c r="A868" s="1" t="s">
        <v>2713</v>
      </c>
      <c r="B868" s="1" t="s">
        <v>4208</v>
      </c>
      <c r="C868" s="1" t="s">
        <v>7538</v>
      </c>
      <c r="D868" s="1" t="s">
        <v>2714</v>
      </c>
      <c r="E868" s="1" t="s">
        <v>141</v>
      </c>
      <c r="F868" s="1" t="s">
        <v>41</v>
      </c>
      <c r="G868" s="1" t="s">
        <v>59</v>
      </c>
      <c r="H868" s="1" t="s">
        <v>174</v>
      </c>
      <c r="I868" s="1" t="s">
        <v>175</v>
      </c>
      <c r="J868" s="1" t="s">
        <v>62</v>
      </c>
      <c r="K868" s="1" t="s">
        <v>188</v>
      </c>
      <c r="L868" s="1" t="s">
        <v>2715</v>
      </c>
      <c r="M868" s="1" t="s">
        <v>72</v>
      </c>
      <c r="N868" s="1" t="s">
        <v>2899</v>
      </c>
      <c r="O868" s="1" t="s">
        <v>7539</v>
      </c>
      <c r="P868" s="1" t="s">
        <v>50</v>
      </c>
      <c r="Q868" s="1" t="s">
        <v>7540</v>
      </c>
      <c r="R868" s="1" t="s">
        <v>7541</v>
      </c>
      <c r="S868" s="1" t="s">
        <v>7542</v>
      </c>
      <c r="T868" s="1" t="s">
        <v>138</v>
      </c>
      <c r="U868" s="1" t="s">
        <v>93</v>
      </c>
    </row>
    <row r="869" customFormat="false" ht="15" hidden="false" customHeight="true" outlineLevel="0" collapsed="false">
      <c r="A869" s="1" t="s">
        <v>2716</v>
      </c>
      <c r="B869" s="1" t="s">
        <v>7543</v>
      </c>
      <c r="C869" s="1" t="s">
        <v>7544</v>
      </c>
      <c r="D869" s="1" t="s">
        <v>2717</v>
      </c>
      <c r="E869" s="1" t="s">
        <v>145</v>
      </c>
      <c r="F869" s="1" t="s">
        <v>121</v>
      </c>
      <c r="G869" s="1" t="s">
        <v>78</v>
      </c>
      <c r="H869" s="1" t="s">
        <v>110</v>
      </c>
      <c r="I869" s="1" t="s">
        <v>111</v>
      </c>
      <c r="J869" s="1" t="s">
        <v>99</v>
      </c>
      <c r="K869" s="1" t="s">
        <v>100</v>
      </c>
      <c r="L869" s="1" t="s">
        <v>2718</v>
      </c>
      <c r="M869" s="1" t="s">
        <v>65</v>
      </c>
      <c r="N869" s="1" t="s">
        <v>2815</v>
      </c>
      <c r="O869" s="1" t="s">
        <v>7545</v>
      </c>
      <c r="P869" s="1" t="s">
        <v>84</v>
      </c>
      <c r="Q869" s="1" t="s">
        <v>7546</v>
      </c>
      <c r="R869" s="1" t="s">
        <v>7547</v>
      </c>
      <c r="S869" s="1" t="s">
        <v>7548</v>
      </c>
      <c r="T869" s="1" t="s">
        <v>185</v>
      </c>
      <c r="U869" s="1" t="s">
        <v>93</v>
      </c>
    </row>
    <row r="870" customFormat="false" ht="15" hidden="false" customHeight="true" outlineLevel="0" collapsed="false">
      <c r="A870" s="1" t="s">
        <v>2719</v>
      </c>
      <c r="B870" s="1" t="s">
        <v>3761</v>
      </c>
      <c r="C870" s="1" t="s">
        <v>5339</v>
      </c>
      <c r="D870" s="1" t="s">
        <v>2720</v>
      </c>
      <c r="E870" s="1" t="s">
        <v>96</v>
      </c>
      <c r="F870" s="1" t="s">
        <v>121</v>
      </c>
      <c r="G870" s="1" t="s">
        <v>78</v>
      </c>
      <c r="H870" s="1" t="s">
        <v>206</v>
      </c>
      <c r="I870" s="1" t="s">
        <v>207</v>
      </c>
      <c r="J870" s="1" t="s">
        <v>46</v>
      </c>
      <c r="K870" s="1" t="s">
        <v>151</v>
      </c>
      <c r="L870" s="1" t="s">
        <v>2721</v>
      </c>
      <c r="M870" s="1" t="s">
        <v>65</v>
      </c>
      <c r="N870" s="1" t="s">
        <v>2899</v>
      </c>
      <c r="O870" s="1" t="s">
        <v>7549</v>
      </c>
      <c r="P870" s="1" t="s">
        <v>128</v>
      </c>
      <c r="Q870" s="1" t="s">
        <v>7550</v>
      </c>
      <c r="R870" s="1" t="s">
        <v>7551</v>
      </c>
      <c r="S870" s="1" t="s">
        <v>7552</v>
      </c>
      <c r="T870" s="1" t="s">
        <v>52</v>
      </c>
      <c r="U870" s="1" t="s">
        <v>53</v>
      </c>
    </row>
    <row r="871" customFormat="false" ht="15" hidden="false" customHeight="true" outlineLevel="0" collapsed="false">
      <c r="A871" s="1" t="s">
        <v>2722</v>
      </c>
      <c r="B871" s="1" t="s">
        <v>7553</v>
      </c>
      <c r="C871" s="1" t="s">
        <v>3728</v>
      </c>
      <c r="D871" s="1" t="s">
        <v>2723</v>
      </c>
      <c r="E871" s="1" t="s">
        <v>168</v>
      </c>
      <c r="F871" s="1" t="s">
        <v>121</v>
      </c>
      <c r="H871" s="1" t="s">
        <v>384</v>
      </c>
      <c r="I871" s="1" t="s">
        <v>385</v>
      </c>
      <c r="J871" s="1" t="s">
        <v>62</v>
      </c>
      <c r="K871" s="1" t="s">
        <v>91</v>
      </c>
      <c r="L871" s="1" t="s">
        <v>1187</v>
      </c>
      <c r="M871" s="1" t="s">
        <v>65</v>
      </c>
      <c r="N871" s="1" t="s">
        <v>2815</v>
      </c>
      <c r="O871" s="1" t="s">
        <v>7554</v>
      </c>
      <c r="P871" s="1" t="s">
        <v>203</v>
      </c>
      <c r="Q871" s="1" t="s">
        <v>7555</v>
      </c>
      <c r="R871" s="1" t="s">
        <v>7556</v>
      </c>
      <c r="S871" s="1" t="s">
        <v>7557</v>
      </c>
      <c r="T871" s="1" t="s">
        <v>52</v>
      </c>
      <c r="U871" s="1" t="s">
        <v>53</v>
      </c>
    </row>
    <row r="872" customFormat="false" ht="15" hidden="false" customHeight="true" outlineLevel="0" collapsed="false">
      <c r="A872" s="1" t="s">
        <v>2724</v>
      </c>
      <c r="B872" s="1" t="s">
        <v>7558</v>
      </c>
      <c r="C872" s="1" t="s">
        <v>7559</v>
      </c>
      <c r="D872" s="1" t="s">
        <v>2725</v>
      </c>
      <c r="E872" s="1" t="s">
        <v>96</v>
      </c>
      <c r="F872" s="1" t="s">
        <v>116</v>
      </c>
      <c r="G872" s="1" t="s">
        <v>88</v>
      </c>
      <c r="H872" s="1" t="s">
        <v>221</v>
      </c>
      <c r="I872" s="1" t="s">
        <v>222</v>
      </c>
      <c r="J872" s="1" t="s">
        <v>62</v>
      </c>
      <c r="K872" s="1" t="s">
        <v>63</v>
      </c>
      <c r="L872" s="1" t="s">
        <v>2726</v>
      </c>
      <c r="M872" s="1" t="s">
        <v>83</v>
      </c>
      <c r="N872" s="1" t="s">
        <v>2899</v>
      </c>
      <c r="O872" s="1" t="s">
        <v>7560</v>
      </c>
      <c r="P872" s="1" t="s">
        <v>107</v>
      </c>
      <c r="Q872" s="1" t="s">
        <v>7561</v>
      </c>
      <c r="R872" s="1" t="s">
        <v>7562</v>
      </c>
      <c r="S872" s="1" t="s">
        <v>7563</v>
      </c>
      <c r="T872" s="1" t="s">
        <v>52</v>
      </c>
      <c r="U872" s="1" t="s">
        <v>93</v>
      </c>
    </row>
    <row r="873" customFormat="false" ht="15" hidden="false" customHeight="true" outlineLevel="0" collapsed="false">
      <c r="A873" s="1" t="s">
        <v>2727</v>
      </c>
      <c r="B873" s="1" t="s">
        <v>7564</v>
      </c>
      <c r="C873" s="1" t="s">
        <v>6171</v>
      </c>
      <c r="D873" s="1" t="s">
        <v>2597</v>
      </c>
      <c r="E873" s="1" t="s">
        <v>104</v>
      </c>
      <c r="F873" s="1" t="s">
        <v>58</v>
      </c>
      <c r="G873" s="1" t="s">
        <v>78</v>
      </c>
      <c r="H873" s="1" t="s">
        <v>79</v>
      </c>
      <c r="I873" s="1" t="s">
        <v>80</v>
      </c>
      <c r="J873" s="1" t="s">
        <v>99</v>
      </c>
      <c r="K873" s="1" t="s">
        <v>100</v>
      </c>
      <c r="L873" s="1" t="s">
        <v>2728</v>
      </c>
      <c r="M873" s="1" t="s">
        <v>72</v>
      </c>
      <c r="N873" s="1" t="s">
        <v>2899</v>
      </c>
      <c r="O873" s="1" t="s">
        <v>7565</v>
      </c>
      <c r="P873" s="1" t="s">
        <v>66</v>
      </c>
      <c r="Q873" s="1" t="s">
        <v>7566</v>
      </c>
      <c r="R873" s="1" t="s">
        <v>7567</v>
      </c>
      <c r="S873" s="1" t="s">
        <v>7568</v>
      </c>
      <c r="T873" s="1" t="s">
        <v>129</v>
      </c>
      <c r="U873" s="1" t="s">
        <v>93</v>
      </c>
    </row>
    <row r="874" customFormat="false" ht="15" hidden="false" customHeight="true" outlineLevel="0" collapsed="false">
      <c r="A874" s="1" t="s">
        <v>2729</v>
      </c>
      <c r="B874" s="1" t="s">
        <v>6981</v>
      </c>
      <c r="C874" s="1" t="s">
        <v>7569</v>
      </c>
      <c r="D874" s="1" t="s">
        <v>2004</v>
      </c>
      <c r="E874" s="1" t="s">
        <v>40</v>
      </c>
      <c r="F874" s="1" t="s">
        <v>116</v>
      </c>
      <c r="G874" s="1" t="s">
        <v>59</v>
      </c>
      <c r="H874" s="1" t="s">
        <v>125</v>
      </c>
      <c r="I874" s="1" t="s">
        <v>126</v>
      </c>
      <c r="J874" s="1" t="s">
        <v>62</v>
      </c>
      <c r="K874" s="1" t="s">
        <v>81</v>
      </c>
      <c r="L874" s="1" t="s">
        <v>2730</v>
      </c>
      <c r="M874" s="1" t="s">
        <v>83</v>
      </c>
      <c r="N874" s="1" t="s">
        <v>2829</v>
      </c>
      <c r="O874" s="1" t="s">
        <v>7570</v>
      </c>
      <c r="P874" s="1" t="s">
        <v>50</v>
      </c>
      <c r="Q874" s="1" t="s">
        <v>7571</v>
      </c>
      <c r="R874" s="1" t="s">
        <v>7572</v>
      </c>
      <c r="S874" s="1" t="s">
        <v>7573</v>
      </c>
      <c r="T874" s="1" t="s">
        <v>52</v>
      </c>
      <c r="U874" s="1" t="s">
        <v>53</v>
      </c>
    </row>
    <row r="875" customFormat="false" ht="15" hidden="false" customHeight="true" outlineLevel="0" collapsed="false">
      <c r="A875" s="1" t="s">
        <v>2731</v>
      </c>
      <c r="B875" s="1" t="s">
        <v>7574</v>
      </c>
      <c r="C875" s="1" t="s">
        <v>7575</v>
      </c>
      <c r="D875" s="1" t="s">
        <v>2732</v>
      </c>
      <c r="E875" s="1" t="s">
        <v>115</v>
      </c>
      <c r="F875" s="1" t="s">
        <v>121</v>
      </c>
      <c r="G875" s="1" t="s">
        <v>88</v>
      </c>
      <c r="H875" s="1" t="s">
        <v>211</v>
      </c>
      <c r="I875" s="1" t="s">
        <v>212</v>
      </c>
      <c r="J875" s="1" t="s">
        <v>46</v>
      </c>
      <c r="K875" s="1" t="s">
        <v>151</v>
      </c>
      <c r="L875" s="1" t="s">
        <v>2733</v>
      </c>
      <c r="M875" s="1" t="s">
        <v>49</v>
      </c>
      <c r="N875" s="1" t="s">
        <v>2861</v>
      </c>
      <c r="O875" s="1" t="s">
        <v>7576</v>
      </c>
      <c r="P875" s="1" t="s">
        <v>203</v>
      </c>
      <c r="Q875" s="1" t="s">
        <v>7577</v>
      </c>
      <c r="R875" s="1" t="s">
        <v>7578</v>
      </c>
      <c r="S875" s="1" t="s">
        <v>7579</v>
      </c>
      <c r="T875" s="1" t="s">
        <v>52</v>
      </c>
      <c r="U875" s="1" t="s">
        <v>53</v>
      </c>
    </row>
    <row r="876" customFormat="false" ht="15" hidden="false" customHeight="true" outlineLevel="0" collapsed="false">
      <c r="A876" s="1" t="s">
        <v>2734</v>
      </c>
      <c r="B876" s="1" t="s">
        <v>6267</v>
      </c>
      <c r="C876" s="1" t="s">
        <v>4585</v>
      </c>
      <c r="D876" s="1" t="s">
        <v>2735</v>
      </c>
      <c r="E876" s="1" t="s">
        <v>96</v>
      </c>
      <c r="F876" s="1" t="s">
        <v>58</v>
      </c>
      <c r="G876" s="1" t="s">
        <v>88</v>
      </c>
      <c r="H876" s="1" t="s">
        <v>89</v>
      </c>
      <c r="I876" s="1" t="s">
        <v>90</v>
      </c>
      <c r="J876" s="1" t="s">
        <v>46</v>
      </c>
      <c r="K876" s="1" t="s">
        <v>47</v>
      </c>
      <c r="L876" s="1" t="s">
        <v>2736</v>
      </c>
      <c r="M876" s="1" t="s">
        <v>83</v>
      </c>
      <c r="N876" s="1" t="s">
        <v>2861</v>
      </c>
      <c r="O876" s="1" t="s">
        <v>7580</v>
      </c>
      <c r="P876" s="1" t="s">
        <v>128</v>
      </c>
      <c r="Q876" s="1" t="s">
        <v>7581</v>
      </c>
      <c r="R876" s="1" t="s">
        <v>7582</v>
      </c>
      <c r="S876" s="1" t="s">
        <v>7583</v>
      </c>
      <c r="T876" s="1" t="s">
        <v>52</v>
      </c>
      <c r="U876" s="1" t="s">
        <v>53</v>
      </c>
    </row>
    <row r="877" customFormat="false" ht="15" hidden="false" customHeight="true" outlineLevel="0" collapsed="false">
      <c r="A877" s="1" t="s">
        <v>2737</v>
      </c>
      <c r="B877" s="1" t="s">
        <v>7584</v>
      </c>
      <c r="C877" s="1" t="s">
        <v>7585</v>
      </c>
      <c r="D877" s="1" t="s">
        <v>2738</v>
      </c>
      <c r="E877" s="1" t="s">
        <v>57</v>
      </c>
      <c r="F877" s="1" t="s">
        <v>116</v>
      </c>
      <c r="G877" s="1" t="s">
        <v>88</v>
      </c>
      <c r="H877" s="1" t="s">
        <v>89</v>
      </c>
      <c r="I877" s="1" t="s">
        <v>90</v>
      </c>
      <c r="J877" s="1" t="s">
        <v>99</v>
      </c>
      <c r="K877" s="1" t="s">
        <v>105</v>
      </c>
      <c r="L877" s="1" t="s">
        <v>2739</v>
      </c>
      <c r="M877" s="1" t="s">
        <v>72</v>
      </c>
      <c r="N877" s="1" t="s">
        <v>2906</v>
      </c>
      <c r="O877" s="1" t="s">
        <v>7586</v>
      </c>
      <c r="P877" s="1" t="s">
        <v>50</v>
      </c>
      <c r="Q877" s="1" t="s">
        <v>7587</v>
      </c>
      <c r="R877" s="1" t="s">
        <v>7588</v>
      </c>
      <c r="S877" s="1" t="s">
        <v>7589</v>
      </c>
      <c r="T877" s="1" t="s">
        <v>52</v>
      </c>
      <c r="U877" s="1" t="s">
        <v>53</v>
      </c>
    </row>
    <row r="878" customFormat="false" ht="15" hidden="false" customHeight="true" outlineLevel="0" collapsed="false">
      <c r="A878" s="1" t="s">
        <v>2740</v>
      </c>
      <c r="B878" s="1" t="s">
        <v>7590</v>
      </c>
      <c r="C878" s="1" t="s">
        <v>7591</v>
      </c>
      <c r="D878" s="1" t="s">
        <v>2741</v>
      </c>
      <c r="E878" s="1" t="s">
        <v>141</v>
      </c>
      <c r="F878" s="1" t="s">
        <v>41</v>
      </c>
      <c r="G878" s="1" t="s">
        <v>88</v>
      </c>
      <c r="H878" s="1" t="s">
        <v>44</v>
      </c>
      <c r="I878" s="1" t="s">
        <v>136</v>
      </c>
      <c r="J878" s="1" t="s">
        <v>62</v>
      </c>
      <c r="K878" s="1" t="s">
        <v>91</v>
      </c>
      <c r="L878" s="1" t="s">
        <v>884</v>
      </c>
      <c r="M878" s="1" t="s">
        <v>72</v>
      </c>
      <c r="N878" s="1" t="s">
        <v>2815</v>
      </c>
      <c r="O878" s="1" t="s">
        <v>7592</v>
      </c>
      <c r="P878" s="1" t="s">
        <v>66</v>
      </c>
      <c r="Q878" s="1" t="s">
        <v>7593</v>
      </c>
      <c r="R878" s="1" t="s">
        <v>7594</v>
      </c>
      <c r="S878" s="1" t="s">
        <v>7595</v>
      </c>
      <c r="T878" s="1" t="s">
        <v>52</v>
      </c>
      <c r="U878" s="1" t="s">
        <v>53</v>
      </c>
    </row>
    <row r="879" customFormat="false" ht="15" hidden="false" customHeight="true" outlineLevel="0" collapsed="false">
      <c r="A879" s="1" t="s">
        <v>2742</v>
      </c>
      <c r="B879" s="1" t="s">
        <v>7596</v>
      </c>
      <c r="C879" s="1" t="s">
        <v>6094</v>
      </c>
      <c r="D879" s="1" t="s">
        <v>2743</v>
      </c>
      <c r="E879" s="1" t="s">
        <v>155</v>
      </c>
      <c r="F879" s="1" t="s">
        <v>41</v>
      </c>
      <c r="G879" s="1" t="s">
        <v>88</v>
      </c>
      <c r="H879" s="1" t="s">
        <v>44</v>
      </c>
      <c r="I879" s="1" t="s">
        <v>136</v>
      </c>
      <c r="J879" s="1" t="s">
        <v>46</v>
      </c>
      <c r="K879" s="1" t="s">
        <v>151</v>
      </c>
      <c r="L879" s="1" t="s">
        <v>2744</v>
      </c>
      <c r="M879" s="1" t="s">
        <v>49</v>
      </c>
      <c r="N879" s="1" t="s">
        <v>2815</v>
      </c>
      <c r="O879" s="1" t="s">
        <v>7597</v>
      </c>
      <c r="P879" s="1" t="s">
        <v>203</v>
      </c>
      <c r="Q879" s="1" t="s">
        <v>7598</v>
      </c>
      <c r="R879" s="1" t="s">
        <v>7599</v>
      </c>
      <c r="S879" s="1" t="s">
        <v>7600</v>
      </c>
      <c r="T879" s="1" t="s">
        <v>52</v>
      </c>
      <c r="U879" s="1" t="s">
        <v>53</v>
      </c>
    </row>
    <row r="880" customFormat="false" ht="15" hidden="false" customHeight="true" outlineLevel="0" collapsed="false">
      <c r="A880" s="1" t="s">
        <v>2745</v>
      </c>
      <c r="B880" s="1" t="s">
        <v>5213</v>
      </c>
      <c r="C880" s="1" t="s">
        <v>5213</v>
      </c>
      <c r="D880" s="1" t="s">
        <v>2746</v>
      </c>
      <c r="E880" s="1" t="s">
        <v>40</v>
      </c>
      <c r="F880" s="1" t="s">
        <v>116</v>
      </c>
      <c r="G880" s="1" t="s">
        <v>59</v>
      </c>
      <c r="H880" s="1" t="s">
        <v>125</v>
      </c>
      <c r="I880" s="1" t="s">
        <v>126</v>
      </c>
      <c r="J880" s="1" t="s">
        <v>46</v>
      </c>
      <c r="K880" s="1" t="s">
        <v>47</v>
      </c>
      <c r="L880" s="1" t="s">
        <v>2747</v>
      </c>
      <c r="M880" s="1" t="s">
        <v>72</v>
      </c>
      <c r="N880" s="1" t="s">
        <v>2861</v>
      </c>
      <c r="O880" s="1" t="s">
        <v>7601</v>
      </c>
      <c r="P880" s="1" t="s">
        <v>128</v>
      </c>
      <c r="Q880" s="1" t="s">
        <v>7602</v>
      </c>
      <c r="R880" s="1" t="s">
        <v>7603</v>
      </c>
      <c r="S880" s="1" t="s">
        <v>7604</v>
      </c>
      <c r="T880" s="1" t="s">
        <v>52</v>
      </c>
      <c r="U880" s="1" t="s">
        <v>53</v>
      </c>
    </row>
    <row r="881" customFormat="false" ht="15" hidden="false" customHeight="true" outlineLevel="0" collapsed="false">
      <c r="A881" s="1" t="s">
        <v>2748</v>
      </c>
      <c r="B881" s="1" t="s">
        <v>7605</v>
      </c>
      <c r="C881" s="1" t="s">
        <v>3325</v>
      </c>
      <c r="D881" s="1" t="s">
        <v>2749</v>
      </c>
      <c r="E881" s="1" t="s">
        <v>87</v>
      </c>
      <c r="F881" s="1" t="s">
        <v>121</v>
      </c>
      <c r="G881" s="1" t="s">
        <v>42</v>
      </c>
      <c r="H881" s="1" t="s">
        <v>163</v>
      </c>
      <c r="I881" s="1" t="s">
        <v>164</v>
      </c>
      <c r="J881" s="1" t="s">
        <v>46</v>
      </c>
      <c r="K881" s="1" t="s">
        <v>70</v>
      </c>
      <c r="L881" s="1" t="s">
        <v>2750</v>
      </c>
      <c r="M881" s="1" t="s">
        <v>83</v>
      </c>
      <c r="N881" s="1" t="s">
        <v>2815</v>
      </c>
      <c r="O881" s="1" t="s">
        <v>7606</v>
      </c>
      <c r="P881" s="1" t="s">
        <v>107</v>
      </c>
      <c r="Q881" s="1" t="s">
        <v>7607</v>
      </c>
      <c r="R881" s="1" t="s">
        <v>7608</v>
      </c>
      <c r="S881" s="1" t="s">
        <v>7609</v>
      </c>
      <c r="T881" s="1" t="s">
        <v>52</v>
      </c>
      <c r="U881" s="1" t="s">
        <v>53</v>
      </c>
    </row>
    <row r="882" customFormat="false" ht="15" hidden="false" customHeight="true" outlineLevel="0" collapsed="false">
      <c r="A882" s="1" t="s">
        <v>2751</v>
      </c>
      <c r="B882" s="1" t="s">
        <v>7610</v>
      </c>
      <c r="C882" s="1" t="s">
        <v>4134</v>
      </c>
      <c r="D882" s="1" t="s">
        <v>2752</v>
      </c>
      <c r="E882" s="1" t="s">
        <v>155</v>
      </c>
      <c r="F882" s="1" t="s">
        <v>58</v>
      </c>
      <c r="H882" s="1" t="s">
        <v>149</v>
      </c>
      <c r="I882" s="1" t="s">
        <v>150</v>
      </c>
      <c r="J882" s="1" t="s">
        <v>62</v>
      </c>
      <c r="K882" s="1" t="s">
        <v>91</v>
      </c>
      <c r="L882" s="1" t="s">
        <v>2753</v>
      </c>
      <c r="M882" s="1" t="s">
        <v>72</v>
      </c>
      <c r="N882" s="1" t="s">
        <v>2829</v>
      </c>
      <c r="O882" s="1" t="s">
        <v>7611</v>
      </c>
      <c r="P882" s="1" t="s">
        <v>66</v>
      </c>
      <c r="Q882" s="1" t="s">
        <v>7612</v>
      </c>
      <c r="R882" s="1" t="s">
        <v>7613</v>
      </c>
      <c r="S882" s="1" t="s">
        <v>7614</v>
      </c>
      <c r="T882" s="1" t="s">
        <v>52</v>
      </c>
      <c r="U882" s="1" t="s">
        <v>53</v>
      </c>
    </row>
    <row r="883" customFormat="false" ht="15" hidden="false" customHeight="true" outlineLevel="0" collapsed="false">
      <c r="A883" s="1" t="s">
        <v>2754</v>
      </c>
      <c r="B883" s="1" t="s">
        <v>5818</v>
      </c>
      <c r="C883" s="1" t="s">
        <v>7615</v>
      </c>
      <c r="D883" s="1" t="s">
        <v>2755</v>
      </c>
      <c r="E883" s="1" t="s">
        <v>87</v>
      </c>
      <c r="F883" s="1" t="s">
        <v>58</v>
      </c>
      <c r="G883" s="1" t="s">
        <v>78</v>
      </c>
      <c r="H883" s="1" t="s">
        <v>110</v>
      </c>
      <c r="I883" s="1" t="s">
        <v>111</v>
      </c>
      <c r="J883" s="1" t="s">
        <v>99</v>
      </c>
      <c r="K883" s="1" t="s">
        <v>105</v>
      </c>
      <c r="L883" s="1" t="s">
        <v>2756</v>
      </c>
      <c r="M883" s="1" t="s">
        <v>49</v>
      </c>
      <c r="N883" s="1" t="s">
        <v>2899</v>
      </c>
      <c r="O883" s="1" t="s">
        <v>7616</v>
      </c>
      <c r="P883" s="1" t="s">
        <v>84</v>
      </c>
      <c r="Q883" s="1" t="s">
        <v>7617</v>
      </c>
      <c r="R883" s="1" t="s">
        <v>7618</v>
      </c>
      <c r="S883" s="1" t="s">
        <v>7619</v>
      </c>
      <c r="T883" s="1" t="s">
        <v>52</v>
      </c>
      <c r="U883" s="1" t="s">
        <v>53</v>
      </c>
    </row>
    <row r="884" customFormat="false" ht="15" hidden="false" customHeight="true" outlineLevel="0" collapsed="false">
      <c r="A884" s="1" t="s">
        <v>2757</v>
      </c>
      <c r="B884" s="1" t="s">
        <v>7620</v>
      </c>
      <c r="C884" s="1" t="s">
        <v>4382</v>
      </c>
      <c r="D884" s="1" t="s">
        <v>2758</v>
      </c>
      <c r="E884" s="1" t="s">
        <v>159</v>
      </c>
      <c r="F884" s="1" t="s">
        <v>116</v>
      </c>
      <c r="G884" s="1" t="s">
        <v>59</v>
      </c>
      <c r="H884" s="1" t="s">
        <v>174</v>
      </c>
      <c r="I884" s="1" t="s">
        <v>175</v>
      </c>
      <c r="J884" s="1" t="s">
        <v>99</v>
      </c>
      <c r="K884" s="1" t="s">
        <v>100</v>
      </c>
      <c r="L884" s="1" t="s">
        <v>2759</v>
      </c>
      <c r="M884" s="1" t="s">
        <v>83</v>
      </c>
      <c r="N884" s="1" t="s">
        <v>2937</v>
      </c>
      <c r="O884" s="1" t="s">
        <v>7621</v>
      </c>
      <c r="P884" s="1" t="s">
        <v>66</v>
      </c>
      <c r="Q884" s="1" t="s">
        <v>7622</v>
      </c>
      <c r="R884" s="1" t="s">
        <v>7623</v>
      </c>
      <c r="S884" s="1" t="s">
        <v>7624</v>
      </c>
      <c r="T884" s="1" t="s">
        <v>138</v>
      </c>
      <c r="U884" s="1" t="s">
        <v>130</v>
      </c>
    </row>
    <row r="885" customFormat="false" ht="15" hidden="false" customHeight="true" outlineLevel="0" collapsed="false">
      <c r="A885" s="1" t="s">
        <v>2760</v>
      </c>
      <c r="B885" s="1" t="s">
        <v>7625</v>
      </c>
      <c r="C885" s="1" t="s">
        <v>7626</v>
      </c>
      <c r="D885" s="1" t="s">
        <v>2761</v>
      </c>
      <c r="E885" s="1" t="s">
        <v>155</v>
      </c>
      <c r="F885" s="1" t="s">
        <v>58</v>
      </c>
      <c r="G885" s="1" t="s">
        <v>88</v>
      </c>
      <c r="H885" s="1" t="s">
        <v>221</v>
      </c>
      <c r="I885" s="1" t="s">
        <v>222</v>
      </c>
      <c r="J885" s="1" t="s">
        <v>46</v>
      </c>
      <c r="K885" s="1" t="s">
        <v>151</v>
      </c>
      <c r="L885" s="1" t="s">
        <v>2762</v>
      </c>
      <c r="M885" s="1" t="s">
        <v>65</v>
      </c>
      <c r="N885" s="1" t="s">
        <v>2836</v>
      </c>
      <c r="O885" s="1" t="s">
        <v>7627</v>
      </c>
      <c r="P885" s="1" t="s">
        <v>66</v>
      </c>
      <c r="Q885" s="1" t="s">
        <v>7627</v>
      </c>
      <c r="R885" s="1" t="s">
        <v>7628</v>
      </c>
      <c r="S885" s="1" t="s">
        <v>7629</v>
      </c>
      <c r="T885" s="1" t="s">
        <v>52</v>
      </c>
      <c r="U885" s="1" t="s">
        <v>53</v>
      </c>
    </row>
    <row r="886" customFormat="false" ht="15" hidden="false" customHeight="true" outlineLevel="0" collapsed="false">
      <c r="A886" s="1" t="s">
        <v>2763</v>
      </c>
      <c r="B886" s="1" t="s">
        <v>7630</v>
      </c>
      <c r="C886" s="1" t="s">
        <v>7631</v>
      </c>
      <c r="D886" s="1" t="s">
        <v>2764</v>
      </c>
      <c r="E886" s="1" t="s">
        <v>104</v>
      </c>
      <c r="F886" s="1" t="s">
        <v>121</v>
      </c>
      <c r="G886" s="1" t="s">
        <v>78</v>
      </c>
      <c r="H886" s="1" t="s">
        <v>206</v>
      </c>
      <c r="I886" s="1" t="s">
        <v>207</v>
      </c>
      <c r="J886" s="1" t="s">
        <v>46</v>
      </c>
      <c r="K886" s="1" t="s">
        <v>151</v>
      </c>
      <c r="L886" s="1" t="s">
        <v>2765</v>
      </c>
      <c r="M886" s="1" t="s">
        <v>65</v>
      </c>
      <c r="N886" s="1" t="s">
        <v>2868</v>
      </c>
      <c r="O886" s="1" t="s">
        <v>7632</v>
      </c>
      <c r="P886" s="1" t="s">
        <v>107</v>
      </c>
      <c r="Q886" s="1" t="s">
        <v>7633</v>
      </c>
      <c r="R886" s="1" t="s">
        <v>7634</v>
      </c>
      <c r="S886" s="1" t="s">
        <v>7635</v>
      </c>
      <c r="T886" s="1" t="s">
        <v>52</v>
      </c>
      <c r="U886" s="1" t="s">
        <v>53</v>
      </c>
    </row>
    <row r="887" customFormat="false" ht="15" hidden="false" customHeight="true" outlineLevel="0" collapsed="false">
      <c r="A887" s="1" t="s">
        <v>2766</v>
      </c>
      <c r="B887" s="1" t="s">
        <v>7636</v>
      </c>
      <c r="C887" s="1" t="s">
        <v>7636</v>
      </c>
      <c r="D887" s="1" t="s">
        <v>2767</v>
      </c>
      <c r="E887" s="1" t="s">
        <v>192</v>
      </c>
      <c r="F887" s="1" t="s">
        <v>41</v>
      </c>
      <c r="G887" s="1" t="s">
        <v>42</v>
      </c>
      <c r="H887" s="1" t="s">
        <v>44</v>
      </c>
      <c r="I887" s="1" t="s">
        <v>45</v>
      </c>
      <c r="J887" s="1" t="s">
        <v>62</v>
      </c>
      <c r="K887" s="1" t="s">
        <v>63</v>
      </c>
      <c r="L887" s="1" t="s">
        <v>2768</v>
      </c>
      <c r="M887" s="1" t="s">
        <v>83</v>
      </c>
      <c r="N887" s="1" t="s">
        <v>2836</v>
      </c>
      <c r="O887" s="1" t="s">
        <v>7637</v>
      </c>
      <c r="P887" s="1" t="s">
        <v>84</v>
      </c>
      <c r="Q887" s="1" t="s">
        <v>7638</v>
      </c>
      <c r="R887" s="1" t="s">
        <v>7639</v>
      </c>
      <c r="S887" s="1" t="s">
        <v>7640</v>
      </c>
      <c r="T887" s="1" t="s">
        <v>52</v>
      </c>
      <c r="U887" s="1" t="s">
        <v>53</v>
      </c>
    </row>
    <row r="888" customFormat="false" ht="15" hidden="false" customHeight="true" outlineLevel="0" collapsed="false">
      <c r="A888" s="1" t="s">
        <v>2769</v>
      </c>
      <c r="B888" s="1" t="s">
        <v>7641</v>
      </c>
      <c r="C888" s="1" t="s">
        <v>7642</v>
      </c>
      <c r="D888" s="1" t="s">
        <v>2770</v>
      </c>
      <c r="E888" s="1" t="s">
        <v>77</v>
      </c>
      <c r="F888" s="1" t="s">
        <v>121</v>
      </c>
      <c r="G888" s="1" t="s">
        <v>78</v>
      </c>
      <c r="H888" s="1" t="s">
        <v>281</v>
      </c>
      <c r="I888" s="1" t="s">
        <v>282</v>
      </c>
      <c r="J888" s="1" t="s">
        <v>99</v>
      </c>
      <c r="K888" s="1" t="s">
        <v>100</v>
      </c>
      <c r="L888" s="1" t="s">
        <v>2771</v>
      </c>
      <c r="M888" s="1" t="s">
        <v>72</v>
      </c>
      <c r="N888" s="1" t="s">
        <v>2906</v>
      </c>
      <c r="O888" s="1" t="s">
        <v>7643</v>
      </c>
      <c r="P888" s="1" t="s">
        <v>107</v>
      </c>
      <c r="Q888" s="1" t="s">
        <v>7644</v>
      </c>
      <c r="R888" s="1" t="s">
        <v>7645</v>
      </c>
      <c r="S888" s="1" t="s">
        <v>7646</v>
      </c>
      <c r="T888" s="1" t="s">
        <v>52</v>
      </c>
      <c r="U888" s="1" t="s">
        <v>93</v>
      </c>
    </row>
    <row r="889" customFormat="false" ht="15" hidden="false" customHeight="true" outlineLevel="0" collapsed="false">
      <c r="A889" s="1" t="s">
        <v>2772</v>
      </c>
      <c r="B889" s="1" t="s">
        <v>7488</v>
      </c>
      <c r="C889" s="1" t="s">
        <v>3623</v>
      </c>
      <c r="D889" s="1" t="s">
        <v>2773</v>
      </c>
      <c r="E889" s="1" t="s">
        <v>155</v>
      </c>
      <c r="F889" s="1" t="s">
        <v>58</v>
      </c>
      <c r="G889" s="1" t="s">
        <v>78</v>
      </c>
      <c r="H889" s="1" t="s">
        <v>110</v>
      </c>
      <c r="I889" s="1" t="s">
        <v>111</v>
      </c>
      <c r="J889" s="1" t="s">
        <v>46</v>
      </c>
      <c r="K889" s="1" t="s">
        <v>70</v>
      </c>
      <c r="L889" s="1" t="s">
        <v>2774</v>
      </c>
      <c r="M889" s="1" t="s">
        <v>83</v>
      </c>
      <c r="N889" s="1" t="s">
        <v>2937</v>
      </c>
      <c r="O889" s="1" t="s">
        <v>7647</v>
      </c>
      <c r="P889" s="1" t="s">
        <v>66</v>
      </c>
      <c r="Q889" s="1" t="s">
        <v>7648</v>
      </c>
      <c r="R889" s="1" t="s">
        <v>7649</v>
      </c>
      <c r="S889" s="1" t="s">
        <v>7650</v>
      </c>
      <c r="T889" s="1" t="s">
        <v>52</v>
      </c>
      <c r="U889" s="1" t="s">
        <v>53</v>
      </c>
    </row>
    <row r="890" customFormat="false" ht="15" hidden="false" customHeight="true" outlineLevel="0" collapsed="false">
      <c r="A890" s="1" t="s">
        <v>2775</v>
      </c>
      <c r="B890" s="1" t="s">
        <v>7651</v>
      </c>
      <c r="C890" s="1" t="s">
        <v>7072</v>
      </c>
      <c r="D890" s="1" t="s">
        <v>2776</v>
      </c>
      <c r="E890" s="1" t="s">
        <v>145</v>
      </c>
      <c r="F890" s="1" t="s">
        <v>58</v>
      </c>
      <c r="G890" s="1" t="s">
        <v>88</v>
      </c>
      <c r="H890" s="1" t="s">
        <v>89</v>
      </c>
      <c r="I890" s="1" t="s">
        <v>90</v>
      </c>
      <c r="J890" s="1" t="s">
        <v>46</v>
      </c>
      <c r="K890" s="1" t="s">
        <v>70</v>
      </c>
      <c r="L890" s="1" t="s">
        <v>2777</v>
      </c>
      <c r="M890" s="1" t="s">
        <v>83</v>
      </c>
      <c r="N890" s="1" t="s">
        <v>2937</v>
      </c>
      <c r="O890" s="1" t="s">
        <v>7652</v>
      </c>
      <c r="P890" s="1" t="s">
        <v>203</v>
      </c>
      <c r="Q890" s="1" t="s">
        <v>7653</v>
      </c>
      <c r="R890" s="1" t="s">
        <v>7654</v>
      </c>
      <c r="S890" s="1" t="s">
        <v>7655</v>
      </c>
      <c r="T890" s="1" t="s">
        <v>129</v>
      </c>
      <c r="U890" s="1" t="s">
        <v>93</v>
      </c>
    </row>
    <row r="891" customFormat="false" ht="15" hidden="false" customHeight="true" outlineLevel="0" collapsed="false">
      <c r="A891" s="1" t="s">
        <v>2778</v>
      </c>
      <c r="B891" s="1" t="s">
        <v>7656</v>
      </c>
      <c r="C891" s="1" t="s">
        <v>7657</v>
      </c>
      <c r="D891" s="1" t="s">
        <v>922</v>
      </c>
      <c r="E891" s="1" t="s">
        <v>115</v>
      </c>
      <c r="F891" s="1" t="s">
        <v>121</v>
      </c>
      <c r="G891" s="1" t="s">
        <v>88</v>
      </c>
      <c r="H891" s="1" t="s">
        <v>97</v>
      </c>
      <c r="I891" s="1" t="s">
        <v>98</v>
      </c>
      <c r="J891" s="1" t="s">
        <v>46</v>
      </c>
      <c r="K891" s="1" t="s">
        <v>151</v>
      </c>
      <c r="L891" s="1" t="s">
        <v>2779</v>
      </c>
      <c r="M891" s="1" t="s">
        <v>72</v>
      </c>
      <c r="N891" s="1" t="s">
        <v>2868</v>
      </c>
      <c r="O891" s="1" t="s">
        <v>7658</v>
      </c>
      <c r="P891" s="1" t="s">
        <v>84</v>
      </c>
      <c r="Q891" s="1" t="s">
        <v>7659</v>
      </c>
      <c r="R891" s="1" t="s">
        <v>7660</v>
      </c>
      <c r="S891" s="1" t="s">
        <v>7661</v>
      </c>
      <c r="T891" s="1" t="s">
        <v>52</v>
      </c>
      <c r="U891" s="1" t="s">
        <v>130</v>
      </c>
    </row>
    <row r="892" customFormat="false" ht="15" hidden="false" customHeight="true" outlineLevel="0" collapsed="false">
      <c r="A892" s="1" t="s">
        <v>2780</v>
      </c>
      <c r="B892" s="1" t="s">
        <v>3032</v>
      </c>
      <c r="C892" s="1" t="s">
        <v>4153</v>
      </c>
      <c r="D892" s="1" t="s">
        <v>2781</v>
      </c>
      <c r="E892" s="1" t="s">
        <v>40</v>
      </c>
      <c r="F892" s="1" t="s">
        <v>41</v>
      </c>
      <c r="G892" s="1" t="s">
        <v>88</v>
      </c>
      <c r="H892" s="1" t="s">
        <v>221</v>
      </c>
      <c r="I892" s="1" t="s">
        <v>222</v>
      </c>
      <c r="J892" s="1" t="s">
        <v>46</v>
      </c>
      <c r="K892" s="1" t="s">
        <v>151</v>
      </c>
      <c r="L892" s="1" t="s">
        <v>2782</v>
      </c>
      <c r="M892" s="1" t="s">
        <v>83</v>
      </c>
      <c r="N892" s="1" t="s">
        <v>2815</v>
      </c>
      <c r="O892" s="1" t="s">
        <v>7662</v>
      </c>
      <c r="P892" s="1" t="s">
        <v>50</v>
      </c>
      <c r="Q892" s="1" t="s">
        <v>7663</v>
      </c>
      <c r="R892" s="1" t="s">
        <v>7664</v>
      </c>
      <c r="S892" s="1" t="s">
        <v>7665</v>
      </c>
      <c r="T892" s="1" t="s">
        <v>52</v>
      </c>
      <c r="U892" s="1" t="s">
        <v>53</v>
      </c>
    </row>
    <row r="893" customFormat="false" ht="15" hidden="false" customHeight="true" outlineLevel="0" collapsed="false">
      <c r="A893" s="1" t="s">
        <v>2783</v>
      </c>
      <c r="B893" s="1" t="s">
        <v>7319</v>
      </c>
      <c r="C893" s="1" t="s">
        <v>5842</v>
      </c>
      <c r="D893" s="1" t="s">
        <v>2784</v>
      </c>
      <c r="E893" s="1" t="s">
        <v>298</v>
      </c>
      <c r="F893" s="1" t="s">
        <v>116</v>
      </c>
      <c r="G893" s="1" t="s">
        <v>78</v>
      </c>
      <c r="H893" s="1" t="s">
        <v>281</v>
      </c>
      <c r="I893" s="1" t="s">
        <v>282</v>
      </c>
      <c r="J893" s="1" t="s">
        <v>99</v>
      </c>
      <c r="K893" s="1" t="s">
        <v>308</v>
      </c>
      <c r="L893" s="1" t="s">
        <v>2785</v>
      </c>
      <c r="M893" s="1" t="s">
        <v>65</v>
      </c>
      <c r="N893" s="1" t="s">
        <v>2829</v>
      </c>
      <c r="O893" s="1" t="s">
        <v>7666</v>
      </c>
      <c r="P893" s="1" t="s">
        <v>203</v>
      </c>
      <c r="Q893" s="1" t="s">
        <v>7667</v>
      </c>
      <c r="R893" s="1" t="s">
        <v>7668</v>
      </c>
      <c r="S893" s="1" t="s">
        <v>7669</v>
      </c>
      <c r="T893" s="1" t="s">
        <v>185</v>
      </c>
      <c r="U893" s="1" t="s">
        <v>93</v>
      </c>
    </row>
    <row r="894" customFormat="false" ht="15" hidden="false" customHeight="true" outlineLevel="0" collapsed="false">
      <c r="A894" s="1" t="s">
        <v>2786</v>
      </c>
      <c r="B894" s="1" t="s">
        <v>7670</v>
      </c>
      <c r="C894" s="1" t="s">
        <v>6373</v>
      </c>
      <c r="D894" s="1" t="s">
        <v>2787</v>
      </c>
      <c r="E894" s="1" t="s">
        <v>69</v>
      </c>
      <c r="F894" s="1" t="s">
        <v>58</v>
      </c>
      <c r="G894" s="1" t="s">
        <v>59</v>
      </c>
      <c r="H894" s="1" t="s">
        <v>262</v>
      </c>
      <c r="I894" s="1" t="s">
        <v>263</v>
      </c>
      <c r="J894" s="1" t="s">
        <v>99</v>
      </c>
      <c r="K894" s="1" t="s">
        <v>105</v>
      </c>
      <c r="L894" s="1" t="s">
        <v>2788</v>
      </c>
      <c r="M894" s="1" t="s">
        <v>65</v>
      </c>
      <c r="N894" s="1" t="s">
        <v>2836</v>
      </c>
      <c r="O894" s="1" t="s">
        <v>7671</v>
      </c>
      <c r="P894" s="1" t="s">
        <v>50</v>
      </c>
      <c r="Q894" s="1" t="s">
        <v>7672</v>
      </c>
      <c r="R894" s="1" t="s">
        <v>7673</v>
      </c>
      <c r="S894" s="1" t="s">
        <v>7674</v>
      </c>
      <c r="T894" s="1" t="s">
        <v>52</v>
      </c>
      <c r="U894" s="1" t="s">
        <v>53</v>
      </c>
    </row>
    <row r="895" customFormat="false" ht="15" hidden="false" customHeight="true" outlineLevel="0" collapsed="false">
      <c r="A895" s="1" t="s">
        <v>2789</v>
      </c>
      <c r="B895" s="1" t="s">
        <v>7675</v>
      </c>
      <c r="C895" s="1" t="s">
        <v>7676</v>
      </c>
      <c r="D895" s="1" t="s">
        <v>2790</v>
      </c>
      <c r="E895" s="1" t="s">
        <v>155</v>
      </c>
      <c r="F895" s="1" t="s">
        <v>116</v>
      </c>
      <c r="G895" s="1" t="s">
        <v>78</v>
      </c>
      <c r="H895" s="1" t="s">
        <v>206</v>
      </c>
      <c r="I895" s="1" t="s">
        <v>207</v>
      </c>
      <c r="J895" s="1" t="s">
        <v>62</v>
      </c>
      <c r="K895" s="1" t="s">
        <v>63</v>
      </c>
      <c r="L895" s="1" t="s">
        <v>2791</v>
      </c>
      <c r="M895" s="1" t="s">
        <v>49</v>
      </c>
      <c r="N895" s="1" t="s">
        <v>2822</v>
      </c>
      <c r="O895" s="1" t="s">
        <v>7677</v>
      </c>
      <c r="P895" s="1" t="s">
        <v>128</v>
      </c>
      <c r="Q895" s="1" t="s">
        <v>7678</v>
      </c>
      <c r="R895" s="1" t="s">
        <v>7679</v>
      </c>
      <c r="S895" s="1" t="s">
        <v>7680</v>
      </c>
      <c r="T895" s="1" t="s">
        <v>52</v>
      </c>
      <c r="U895" s="1" t="s">
        <v>130</v>
      </c>
    </row>
    <row r="896" customFormat="false" ht="15" hidden="false" customHeight="true" outlineLevel="0" collapsed="false">
      <c r="A896" s="1" t="s">
        <v>2792</v>
      </c>
      <c r="B896" s="1" t="s">
        <v>5106</v>
      </c>
      <c r="C896" s="1" t="s">
        <v>7681</v>
      </c>
      <c r="D896" s="1" t="s">
        <v>2793</v>
      </c>
      <c r="E896" s="1" t="s">
        <v>69</v>
      </c>
      <c r="F896" s="1" t="s">
        <v>121</v>
      </c>
      <c r="G896" s="1" t="s">
        <v>78</v>
      </c>
      <c r="H896" s="1" t="s">
        <v>79</v>
      </c>
      <c r="I896" s="1" t="s">
        <v>80</v>
      </c>
      <c r="J896" s="1" t="s">
        <v>62</v>
      </c>
      <c r="K896" s="1" t="s">
        <v>63</v>
      </c>
      <c r="L896" s="1" t="s">
        <v>2794</v>
      </c>
      <c r="M896" s="1" t="s">
        <v>72</v>
      </c>
      <c r="N896" s="1" t="s">
        <v>2815</v>
      </c>
      <c r="O896" s="1" t="s">
        <v>7682</v>
      </c>
      <c r="P896" s="1" t="s">
        <v>66</v>
      </c>
      <c r="Q896" s="1" t="s">
        <v>7683</v>
      </c>
      <c r="R896" s="1" t="s">
        <v>7684</v>
      </c>
      <c r="S896" s="1" t="s">
        <v>7685</v>
      </c>
      <c r="T896" s="1" t="s">
        <v>52</v>
      </c>
      <c r="U896" s="1" t="s">
        <v>53</v>
      </c>
    </row>
    <row r="897" customFormat="false" ht="15" hidden="false" customHeight="true" outlineLevel="0" collapsed="false">
      <c r="A897" s="1" t="s">
        <v>2795</v>
      </c>
      <c r="B897" s="1" t="s">
        <v>7686</v>
      </c>
      <c r="C897" s="1" t="s">
        <v>2984</v>
      </c>
      <c r="D897" s="1" t="s">
        <v>2796</v>
      </c>
      <c r="E897" s="1" t="s">
        <v>77</v>
      </c>
      <c r="F897" s="1" t="s">
        <v>41</v>
      </c>
      <c r="G897" s="1" t="s">
        <v>78</v>
      </c>
      <c r="H897" s="1" t="s">
        <v>216</v>
      </c>
      <c r="I897" s="1" t="s">
        <v>217</v>
      </c>
      <c r="J897" s="1" t="s">
        <v>62</v>
      </c>
      <c r="K897" s="1" t="s">
        <v>91</v>
      </c>
      <c r="L897" s="1" t="s">
        <v>2797</v>
      </c>
      <c r="M897" s="1" t="s">
        <v>65</v>
      </c>
      <c r="N897" s="1" t="s">
        <v>2937</v>
      </c>
      <c r="O897" s="1" t="s">
        <v>7687</v>
      </c>
      <c r="P897" s="1" t="s">
        <v>107</v>
      </c>
      <c r="Q897" s="1" t="s">
        <v>7688</v>
      </c>
      <c r="R897" s="1" t="s">
        <v>7689</v>
      </c>
      <c r="S897" s="1" t="s">
        <v>7690</v>
      </c>
      <c r="T897" s="1" t="s">
        <v>138</v>
      </c>
      <c r="U897" s="1" t="s">
        <v>130</v>
      </c>
    </row>
    <row r="898" customFormat="false" ht="15" hidden="false" customHeight="true" outlineLevel="0" collapsed="false">
      <c r="A898" s="1" t="s">
        <v>2798</v>
      </c>
      <c r="B898" s="1" t="s">
        <v>7691</v>
      </c>
      <c r="C898" s="1" t="s">
        <v>5603</v>
      </c>
      <c r="D898" s="1" t="s">
        <v>2799</v>
      </c>
      <c r="E898" s="1" t="s">
        <v>87</v>
      </c>
      <c r="F898" s="1" t="s">
        <v>58</v>
      </c>
      <c r="G898" s="1" t="s">
        <v>78</v>
      </c>
      <c r="H898" s="1" t="s">
        <v>281</v>
      </c>
      <c r="I898" s="1" t="s">
        <v>282</v>
      </c>
      <c r="J898" s="1" t="s">
        <v>99</v>
      </c>
      <c r="K898" s="1" t="s">
        <v>105</v>
      </c>
      <c r="L898" s="1" t="s">
        <v>2800</v>
      </c>
      <c r="M898" s="1" t="s">
        <v>49</v>
      </c>
      <c r="N898" s="1" t="s">
        <v>2836</v>
      </c>
      <c r="O898" s="1" t="s">
        <v>7692</v>
      </c>
      <c r="P898" s="1" t="s">
        <v>128</v>
      </c>
      <c r="Q898" s="1" t="s">
        <v>7693</v>
      </c>
      <c r="R898" s="1" t="s">
        <v>7694</v>
      </c>
      <c r="S898" s="1" t="s">
        <v>7695</v>
      </c>
      <c r="T898" s="1" t="s">
        <v>185</v>
      </c>
      <c r="U898" s="1" t="s">
        <v>130</v>
      </c>
    </row>
    <row r="899" customFormat="false" ht="15" hidden="false" customHeight="true" outlineLevel="0" collapsed="false">
      <c r="A899" s="1" t="s">
        <v>2801</v>
      </c>
      <c r="B899" s="1" t="s">
        <v>4202</v>
      </c>
      <c r="C899" s="1" t="s">
        <v>7696</v>
      </c>
      <c r="D899" s="1" t="s">
        <v>2167</v>
      </c>
      <c r="E899" s="1" t="s">
        <v>168</v>
      </c>
      <c r="F899" s="1" t="s">
        <v>116</v>
      </c>
      <c r="G899" s="1" t="s">
        <v>42</v>
      </c>
      <c r="H899" s="1" t="s">
        <v>270</v>
      </c>
      <c r="I899" s="1" t="s">
        <v>271</v>
      </c>
      <c r="J899" s="1" t="s">
        <v>46</v>
      </c>
      <c r="K899" s="1" t="s">
        <v>47</v>
      </c>
      <c r="L899" s="1" t="s">
        <v>2802</v>
      </c>
      <c r="M899" s="1" t="s">
        <v>72</v>
      </c>
      <c r="N899" s="1" t="s">
        <v>2937</v>
      </c>
      <c r="O899" s="1" t="s">
        <v>7697</v>
      </c>
      <c r="P899" s="1" t="s">
        <v>128</v>
      </c>
      <c r="Q899" s="1" t="s">
        <v>7698</v>
      </c>
      <c r="R899" s="1" t="s">
        <v>7699</v>
      </c>
      <c r="S899" s="1" t="s">
        <v>7700</v>
      </c>
      <c r="T899" s="1" t="s">
        <v>52</v>
      </c>
      <c r="U899" s="1" t="s">
        <v>53</v>
      </c>
    </row>
    <row r="900" customFormat="false" ht="15" hidden="false" customHeight="true" outlineLevel="0" collapsed="false">
      <c r="A900" s="1" t="s">
        <v>2803</v>
      </c>
      <c r="B900" s="1" t="s">
        <v>7153</v>
      </c>
      <c r="C900" s="1" t="s">
        <v>2954</v>
      </c>
      <c r="D900" s="1" t="s">
        <v>2804</v>
      </c>
      <c r="E900" s="1" t="s">
        <v>96</v>
      </c>
      <c r="F900" s="1" t="s">
        <v>41</v>
      </c>
      <c r="G900" s="1" t="s">
        <v>42</v>
      </c>
      <c r="H900" s="1" t="s">
        <v>384</v>
      </c>
      <c r="I900" s="1" t="s">
        <v>385</v>
      </c>
      <c r="J900" s="1" t="s">
        <v>62</v>
      </c>
      <c r="K900" s="1" t="s">
        <v>63</v>
      </c>
      <c r="L900" s="1" t="s">
        <v>2805</v>
      </c>
      <c r="M900" s="1" t="s">
        <v>72</v>
      </c>
      <c r="N900" s="1" t="s">
        <v>2937</v>
      </c>
      <c r="O900" s="1" t="s">
        <v>7701</v>
      </c>
      <c r="P900" s="1" t="s">
        <v>50</v>
      </c>
      <c r="Q900" s="1" t="s">
        <v>7702</v>
      </c>
      <c r="R900" s="1" t="s">
        <v>7703</v>
      </c>
      <c r="S900" s="1" t="s">
        <v>7704</v>
      </c>
      <c r="T900" s="1" t="s">
        <v>52</v>
      </c>
      <c r="U900" s="1" t="s">
        <v>53</v>
      </c>
    </row>
    <row r="901" customFormat="false" ht="15" hidden="false" customHeight="true" outlineLevel="0" collapsed="false">
      <c r="A901" s="1" t="s">
        <v>2806</v>
      </c>
      <c r="B901" s="1" t="s">
        <v>4790</v>
      </c>
      <c r="C901" s="1" t="s">
        <v>7705</v>
      </c>
      <c r="D901" s="1" t="s">
        <v>2807</v>
      </c>
      <c r="E901" s="1" t="s">
        <v>40</v>
      </c>
      <c r="F901" s="1" t="s">
        <v>41</v>
      </c>
      <c r="G901" s="1" t="s">
        <v>42</v>
      </c>
      <c r="H901" s="1" t="s">
        <v>149</v>
      </c>
      <c r="I901" s="1" t="s">
        <v>150</v>
      </c>
      <c r="J901" s="1" t="s">
        <v>62</v>
      </c>
      <c r="K901" s="1" t="s">
        <v>91</v>
      </c>
      <c r="L901" s="1" t="s">
        <v>2808</v>
      </c>
      <c r="M901" s="1" t="s">
        <v>72</v>
      </c>
      <c r="N901" s="1" t="s">
        <v>2829</v>
      </c>
      <c r="O901" s="1" t="s">
        <v>7706</v>
      </c>
      <c r="P901" s="1" t="s">
        <v>84</v>
      </c>
      <c r="Q901" s="1" t="s">
        <v>7707</v>
      </c>
      <c r="R901" s="1" t="s">
        <v>7708</v>
      </c>
      <c r="S901" s="1" t="s">
        <v>7709</v>
      </c>
      <c r="T901" s="1" t="s">
        <v>185</v>
      </c>
      <c r="U901" s="1" t="s">
        <v>93</v>
      </c>
    </row>
    <row r="902" customFormat="false" ht="15" hidden="false" customHeight="true" outlineLevel="0" collapsed="false">
      <c r="A902" s="1" t="s">
        <v>1648</v>
      </c>
      <c r="B902" s="1" t="s">
        <v>2813</v>
      </c>
      <c r="C902" s="1" t="s">
        <v>2814</v>
      </c>
      <c r="D902" s="1" t="s">
        <v>1649</v>
      </c>
      <c r="E902" s="1" t="s">
        <v>141</v>
      </c>
      <c r="F902" s="1" t="s">
        <v>58</v>
      </c>
      <c r="G902" s="1" t="s">
        <v>59</v>
      </c>
      <c r="H902" s="1" t="s">
        <v>60</v>
      </c>
      <c r="I902" s="1" t="s">
        <v>61</v>
      </c>
      <c r="J902" s="1" t="s">
        <v>99</v>
      </c>
      <c r="K902" s="1" t="s">
        <v>105</v>
      </c>
      <c r="L902" s="1" t="s">
        <v>1650</v>
      </c>
      <c r="M902" s="1" t="s">
        <v>49</v>
      </c>
      <c r="N902" s="1" t="s">
        <v>2815</v>
      </c>
      <c r="O902" s="1" t="s">
        <v>2816</v>
      </c>
      <c r="P902" s="1" t="s">
        <v>203</v>
      </c>
      <c r="Q902" s="1" t="s">
        <v>2817</v>
      </c>
      <c r="R902" s="1" t="s">
        <v>2818</v>
      </c>
      <c r="S902" s="1" t="s">
        <v>2819</v>
      </c>
      <c r="T902" s="1" t="s">
        <v>52</v>
      </c>
      <c r="U902" s="1" t="s">
        <v>53</v>
      </c>
    </row>
    <row r="903" customFormat="false" ht="15" hidden="false" customHeight="true" outlineLevel="0" collapsed="false">
      <c r="A903" s="1" t="s">
        <v>1931</v>
      </c>
      <c r="B903" s="1" t="s">
        <v>2820</v>
      </c>
      <c r="C903" s="1" t="s">
        <v>2821</v>
      </c>
      <c r="D903" s="1" t="s">
        <v>1932</v>
      </c>
      <c r="E903" s="1" t="s">
        <v>87</v>
      </c>
      <c r="F903" s="1" t="s">
        <v>116</v>
      </c>
      <c r="G903" s="1" t="s">
        <v>59</v>
      </c>
      <c r="H903" s="1" t="s">
        <v>125</v>
      </c>
      <c r="I903" s="1" t="s">
        <v>126</v>
      </c>
      <c r="J903" s="1" t="s">
        <v>99</v>
      </c>
      <c r="K903" s="1" t="s">
        <v>105</v>
      </c>
      <c r="L903" s="1" t="s">
        <v>1933</v>
      </c>
      <c r="M903" s="1" t="s">
        <v>65</v>
      </c>
      <c r="N903" s="1" t="s">
        <v>2822</v>
      </c>
      <c r="O903" s="1" t="s">
        <v>2823</v>
      </c>
      <c r="P903" s="1" t="s">
        <v>84</v>
      </c>
      <c r="Q903" s="1" t="s">
        <v>2824</v>
      </c>
      <c r="R903" s="1" t="s">
        <v>2825</v>
      </c>
      <c r="S903" s="1" t="s">
        <v>2826</v>
      </c>
      <c r="T903" s="1" t="s">
        <v>52</v>
      </c>
      <c r="U903" s="1" t="s">
        <v>53</v>
      </c>
    </row>
    <row r="904" customFormat="false" ht="15" hidden="false" customHeight="true" outlineLevel="0" collapsed="false">
      <c r="A904" s="1" t="s">
        <v>2210</v>
      </c>
      <c r="B904" s="1" t="s">
        <v>2827</v>
      </c>
      <c r="C904" s="1" t="s">
        <v>2828</v>
      </c>
      <c r="D904" s="1" t="s">
        <v>1177</v>
      </c>
      <c r="E904" s="1" t="s">
        <v>69</v>
      </c>
      <c r="F904" s="1" t="s">
        <v>41</v>
      </c>
      <c r="G904" s="1" t="s">
        <v>78</v>
      </c>
      <c r="H904" s="1" t="s">
        <v>110</v>
      </c>
      <c r="I904" s="1" t="s">
        <v>111</v>
      </c>
      <c r="J904" s="1" t="s">
        <v>46</v>
      </c>
      <c r="K904" s="1" t="s">
        <v>151</v>
      </c>
      <c r="L904" s="1" t="s">
        <v>2211</v>
      </c>
      <c r="M904" s="1" t="s">
        <v>72</v>
      </c>
      <c r="N904" s="1" t="s">
        <v>2829</v>
      </c>
      <c r="O904" s="1" t="s">
        <v>2830</v>
      </c>
      <c r="P904" s="1" t="s">
        <v>107</v>
      </c>
      <c r="Q904" s="1" t="s">
        <v>2831</v>
      </c>
      <c r="R904" s="1" t="s">
        <v>2832</v>
      </c>
      <c r="S904" s="1" t="s">
        <v>2833</v>
      </c>
      <c r="T904" s="1" t="s">
        <v>52</v>
      </c>
      <c r="U904" s="1" t="s">
        <v>53</v>
      </c>
    </row>
    <row r="905" customFormat="false" ht="15" hidden="false" customHeight="true" outlineLevel="0" collapsed="false">
      <c r="A905" s="1" t="s">
        <v>2239</v>
      </c>
      <c r="B905" s="1" t="s">
        <v>2834</v>
      </c>
      <c r="C905" s="1" t="s">
        <v>2835</v>
      </c>
      <c r="D905" s="1" t="s">
        <v>2240</v>
      </c>
      <c r="E905" s="1" t="s">
        <v>141</v>
      </c>
      <c r="F905" s="1" t="s">
        <v>121</v>
      </c>
      <c r="G905" s="1" t="s">
        <v>78</v>
      </c>
      <c r="H905" s="1" t="s">
        <v>281</v>
      </c>
      <c r="I905" s="1" t="s">
        <v>282</v>
      </c>
      <c r="J905" s="1" t="s">
        <v>62</v>
      </c>
      <c r="K905" s="1" t="s">
        <v>188</v>
      </c>
      <c r="L905" s="1" t="s">
        <v>2241</v>
      </c>
      <c r="N905" s="1" t="s">
        <v>2836</v>
      </c>
      <c r="O905" s="1" t="s">
        <v>2837</v>
      </c>
      <c r="P905" s="1" t="s">
        <v>107</v>
      </c>
      <c r="Q905" s="1" t="s">
        <v>2838</v>
      </c>
      <c r="R905" s="1" t="s">
        <v>2839</v>
      </c>
      <c r="S905" s="1" t="s">
        <v>2840</v>
      </c>
      <c r="T905" s="1" t="s">
        <v>52</v>
      </c>
      <c r="U905" s="1" t="s">
        <v>53</v>
      </c>
    </row>
    <row r="906" customFormat="false" ht="15" hidden="false" customHeight="true" outlineLevel="0" collapsed="false">
      <c r="A906" s="1" t="s">
        <v>974</v>
      </c>
      <c r="B906" s="1" t="s">
        <v>2841</v>
      </c>
      <c r="C906" s="1" t="s">
        <v>2842</v>
      </c>
      <c r="D906" s="1" t="s">
        <v>975</v>
      </c>
      <c r="E906" s="1" t="s">
        <v>155</v>
      </c>
      <c r="F906" s="1" t="s">
        <v>58</v>
      </c>
      <c r="H906" s="1" t="s">
        <v>196</v>
      </c>
      <c r="I906" s="1" t="s">
        <v>197</v>
      </c>
      <c r="J906" s="1" t="s">
        <v>62</v>
      </c>
      <c r="K906" s="1" t="s">
        <v>91</v>
      </c>
      <c r="L906" s="1" t="s">
        <v>976</v>
      </c>
      <c r="M906" s="1" t="s">
        <v>49</v>
      </c>
      <c r="N906" s="1" t="s">
        <v>2815</v>
      </c>
      <c r="O906" s="1" t="s">
        <v>2843</v>
      </c>
      <c r="P906" s="1" t="s">
        <v>977</v>
      </c>
      <c r="Q906" s="1" t="s">
        <v>2844</v>
      </c>
      <c r="R906" s="1" t="s">
        <v>2845</v>
      </c>
      <c r="S906" s="1" t="s">
        <v>2846</v>
      </c>
      <c r="T906" s="1" t="s">
        <v>52</v>
      </c>
      <c r="U906" s="1" t="s">
        <v>53</v>
      </c>
    </row>
    <row r="907" customFormat="false" ht="15" hidden="false" customHeight="true" outlineLevel="0" collapsed="false">
      <c r="A907" s="1" t="s">
        <v>2030</v>
      </c>
      <c r="B907" s="1" t="s">
        <v>2847</v>
      </c>
      <c r="C907" s="1" t="s">
        <v>2848</v>
      </c>
      <c r="D907" s="1" t="s">
        <v>2031</v>
      </c>
      <c r="E907" s="1" t="s">
        <v>159</v>
      </c>
      <c r="F907" s="1" t="s">
        <v>58</v>
      </c>
      <c r="G907" s="1" t="s">
        <v>78</v>
      </c>
      <c r="H907" s="1" t="s">
        <v>206</v>
      </c>
      <c r="I907" s="1" t="s">
        <v>207</v>
      </c>
      <c r="J907" s="1" t="s">
        <v>62</v>
      </c>
      <c r="K907" s="1" t="s">
        <v>81</v>
      </c>
      <c r="L907" s="1" t="s">
        <v>2032</v>
      </c>
      <c r="M907" s="1" t="s">
        <v>72</v>
      </c>
      <c r="N907" s="1" t="s">
        <v>2829</v>
      </c>
      <c r="O907" s="1" t="s">
        <v>2849</v>
      </c>
      <c r="P907" s="1" t="s">
        <v>66</v>
      </c>
      <c r="Q907" s="1" t="s">
        <v>2850</v>
      </c>
      <c r="R907" s="1" t="s">
        <v>2851</v>
      </c>
      <c r="S907" s="1" t="s">
        <v>2852</v>
      </c>
      <c r="T907" s="1" t="s">
        <v>52</v>
      </c>
      <c r="U907" s="1" t="s">
        <v>53</v>
      </c>
    </row>
    <row r="908" customFormat="false" ht="15" hidden="false" customHeight="true" outlineLevel="0" collapsed="false">
      <c r="A908" s="1" t="s">
        <v>2312</v>
      </c>
      <c r="B908" s="1" t="s">
        <v>2853</v>
      </c>
      <c r="C908" s="1" t="s">
        <v>2854</v>
      </c>
      <c r="D908" s="1" t="s">
        <v>2313</v>
      </c>
      <c r="E908" s="1" t="s">
        <v>87</v>
      </c>
      <c r="F908" s="1" t="s">
        <v>116</v>
      </c>
      <c r="G908" s="1" t="s">
        <v>78</v>
      </c>
      <c r="H908" s="1" t="s">
        <v>281</v>
      </c>
      <c r="I908" s="1" t="s">
        <v>282</v>
      </c>
      <c r="J908" s="1" t="s">
        <v>99</v>
      </c>
      <c r="K908" s="1" t="s">
        <v>308</v>
      </c>
      <c r="L908" s="1" t="s">
        <v>2314</v>
      </c>
      <c r="M908" s="1" t="s">
        <v>65</v>
      </c>
      <c r="N908" s="1" t="s">
        <v>2815</v>
      </c>
      <c r="O908" s="1" t="s">
        <v>2855</v>
      </c>
      <c r="P908" s="1" t="s">
        <v>107</v>
      </c>
      <c r="Q908" s="1" t="s">
        <v>2856</v>
      </c>
      <c r="R908" s="1" t="s">
        <v>2857</v>
      </c>
      <c r="S908" s="1" t="s">
        <v>2858</v>
      </c>
      <c r="T908" s="1" t="s">
        <v>52</v>
      </c>
      <c r="U908" s="1" t="s">
        <v>53</v>
      </c>
    </row>
    <row r="909" customFormat="false" ht="15" hidden="false" customHeight="true" outlineLevel="0" collapsed="false">
      <c r="A909" s="1" t="s">
        <v>546</v>
      </c>
      <c r="B909" s="1" t="s">
        <v>2859</v>
      </c>
      <c r="C909" s="1" t="s">
        <v>2860</v>
      </c>
      <c r="D909" s="1" t="s">
        <v>547</v>
      </c>
      <c r="E909" s="1" t="s">
        <v>40</v>
      </c>
      <c r="F909" s="1" t="s">
        <v>41</v>
      </c>
      <c r="G909" s="1" t="s">
        <v>88</v>
      </c>
      <c r="H909" s="1" t="s">
        <v>221</v>
      </c>
      <c r="I909" s="1" t="s">
        <v>222</v>
      </c>
      <c r="J909" s="1" t="s">
        <v>99</v>
      </c>
      <c r="K909" s="1" t="s">
        <v>201</v>
      </c>
      <c r="L909" s="1" t="s">
        <v>548</v>
      </c>
      <c r="M909" s="1" t="s">
        <v>49</v>
      </c>
      <c r="N909" s="1" t="s">
        <v>2861</v>
      </c>
      <c r="O909" s="1" t="s">
        <v>2862</v>
      </c>
      <c r="P909" s="1" t="s">
        <v>107</v>
      </c>
      <c r="Q909" s="1" t="s">
        <v>2863</v>
      </c>
      <c r="R909" s="1" t="s">
        <v>2864</v>
      </c>
      <c r="S909" s="1" t="s">
        <v>2865</v>
      </c>
      <c r="T909" s="1" t="s">
        <v>52</v>
      </c>
      <c r="U909" s="1" t="s">
        <v>53</v>
      </c>
    </row>
    <row r="910" customFormat="false" ht="15" hidden="false" customHeight="true" outlineLevel="0" collapsed="false">
      <c r="A910" s="1" t="s">
        <v>2283</v>
      </c>
      <c r="B910" s="1" t="s">
        <v>2866</v>
      </c>
      <c r="C910" s="1" t="s">
        <v>2867</v>
      </c>
      <c r="D910" s="1" t="s">
        <v>173</v>
      </c>
      <c r="E910" s="1" t="s">
        <v>298</v>
      </c>
      <c r="F910" s="1" t="s">
        <v>116</v>
      </c>
      <c r="G910" s="1" t="s">
        <v>88</v>
      </c>
      <c r="H910" s="1" t="s">
        <v>211</v>
      </c>
      <c r="I910" s="1" t="s">
        <v>212</v>
      </c>
      <c r="J910" s="1" t="s">
        <v>46</v>
      </c>
      <c r="K910" s="1" t="s">
        <v>70</v>
      </c>
      <c r="L910" s="1" t="s">
        <v>2284</v>
      </c>
      <c r="M910" s="1" t="s">
        <v>65</v>
      </c>
      <c r="N910" s="1" t="s">
        <v>2868</v>
      </c>
      <c r="O910" s="1" t="s">
        <v>2869</v>
      </c>
      <c r="P910" s="1" t="s">
        <v>50</v>
      </c>
      <c r="Q910" s="1" t="s">
        <v>2870</v>
      </c>
      <c r="R910" s="1" t="s">
        <v>2871</v>
      </c>
      <c r="S910" s="1" t="s">
        <v>2872</v>
      </c>
      <c r="T910" s="1" t="s">
        <v>52</v>
      </c>
      <c r="U910" s="1" t="s">
        <v>53</v>
      </c>
    </row>
    <row r="911" customFormat="false" ht="15" hidden="false" customHeight="true" outlineLevel="0" collapsed="false">
      <c r="A911" s="1" t="s">
        <v>1340</v>
      </c>
      <c r="B911" s="1" t="s">
        <v>2873</v>
      </c>
      <c r="C911" s="1" t="s">
        <v>2874</v>
      </c>
      <c r="D911" s="1" t="s">
        <v>1341</v>
      </c>
      <c r="E911" s="1" t="s">
        <v>192</v>
      </c>
      <c r="F911" s="1" t="s">
        <v>58</v>
      </c>
      <c r="G911" s="1" t="s">
        <v>78</v>
      </c>
      <c r="H911" s="1" t="s">
        <v>110</v>
      </c>
      <c r="I911" s="1" t="s">
        <v>111</v>
      </c>
      <c r="J911" s="1" t="s">
        <v>46</v>
      </c>
      <c r="K911" s="1" t="s">
        <v>47</v>
      </c>
      <c r="L911" s="1" t="s">
        <v>1342</v>
      </c>
      <c r="M911" s="1" t="s">
        <v>65</v>
      </c>
      <c r="N911" s="1" t="s">
        <v>2836</v>
      </c>
      <c r="O911" s="1" t="s">
        <v>2875</v>
      </c>
      <c r="P911" s="1" t="s">
        <v>84</v>
      </c>
      <c r="Q911" s="1" t="s">
        <v>2876</v>
      </c>
      <c r="R911" s="1" t="s">
        <v>2877</v>
      </c>
      <c r="S911" s="1" t="s">
        <v>2878</v>
      </c>
      <c r="T911" s="1" t="s">
        <v>52</v>
      </c>
      <c r="U911" s="1" t="s">
        <v>53</v>
      </c>
    </row>
    <row r="912" customFormat="false" ht="15" hidden="false" customHeight="true" outlineLevel="0" collapsed="false">
      <c r="A912" s="1" t="s">
        <v>515</v>
      </c>
      <c r="B912" s="1" t="s">
        <v>2879</v>
      </c>
      <c r="C912" s="1" t="s">
        <v>2880</v>
      </c>
      <c r="D912" s="1" t="s">
        <v>516</v>
      </c>
      <c r="E912" s="1" t="s">
        <v>159</v>
      </c>
      <c r="F912" s="1" t="s">
        <v>58</v>
      </c>
      <c r="G912" s="1" t="s">
        <v>2881</v>
      </c>
      <c r="H912" s="1" t="s">
        <v>149</v>
      </c>
      <c r="I912" s="1" t="s">
        <v>150</v>
      </c>
      <c r="J912" s="1" t="s">
        <v>99</v>
      </c>
      <c r="K912" s="1" t="s">
        <v>105</v>
      </c>
      <c r="L912" s="1" t="s">
        <v>517</v>
      </c>
      <c r="M912" s="1" t="s">
        <v>65</v>
      </c>
      <c r="N912" s="1" t="s">
        <v>2836</v>
      </c>
      <c r="O912" s="1" t="s">
        <v>2882</v>
      </c>
      <c r="P912" s="1" t="s">
        <v>66</v>
      </c>
      <c r="Q912" s="1" t="s">
        <v>2882</v>
      </c>
      <c r="R912" s="1" t="s">
        <v>2883</v>
      </c>
      <c r="S912" s="1" t="s">
        <v>2884</v>
      </c>
      <c r="T912" s="1" t="s">
        <v>129</v>
      </c>
      <c r="U912" s="1" t="s">
        <v>93</v>
      </c>
    </row>
    <row r="913" customFormat="false" ht="15" hidden="false" customHeight="true" outlineLevel="0" collapsed="false">
      <c r="A913" s="1" t="s">
        <v>897</v>
      </c>
      <c r="B913" s="1" t="s">
        <v>2885</v>
      </c>
      <c r="C913" s="1" t="s">
        <v>2886</v>
      </c>
      <c r="D913" s="1" t="s">
        <v>898</v>
      </c>
      <c r="E913" s="1" t="s">
        <v>77</v>
      </c>
      <c r="F913" s="1" t="s">
        <v>58</v>
      </c>
      <c r="G913" s="1" t="s">
        <v>59</v>
      </c>
      <c r="H913" s="1" t="s">
        <v>125</v>
      </c>
      <c r="I913" s="1" t="s">
        <v>126</v>
      </c>
      <c r="J913" s="1" t="s">
        <v>62</v>
      </c>
      <c r="K913" s="1" t="s">
        <v>81</v>
      </c>
      <c r="L913" s="1" t="s">
        <v>899</v>
      </c>
      <c r="M913" s="1" t="s">
        <v>83</v>
      </c>
      <c r="N913" s="1" t="s">
        <v>2829</v>
      </c>
      <c r="O913" s="1" t="s">
        <v>2887</v>
      </c>
      <c r="P913" s="1" t="s">
        <v>107</v>
      </c>
      <c r="Q913" s="1" t="s">
        <v>2888</v>
      </c>
      <c r="R913" s="1" t="s">
        <v>2889</v>
      </c>
      <c r="S913" s="1" t="s">
        <v>2890</v>
      </c>
      <c r="T913" s="1" t="s">
        <v>138</v>
      </c>
      <c r="U913" s="1" t="s">
        <v>130</v>
      </c>
    </row>
    <row r="914" customFormat="false" ht="15" hidden="false" customHeight="true" outlineLevel="0" collapsed="false">
      <c r="A914" s="1" t="s">
        <v>1275</v>
      </c>
      <c r="B914" s="1" t="s">
        <v>2891</v>
      </c>
      <c r="C914" s="1" t="s">
        <v>2892</v>
      </c>
      <c r="D914" s="1" t="s">
        <v>1276</v>
      </c>
      <c r="E914" s="1" t="s">
        <v>298</v>
      </c>
      <c r="F914" s="1" t="s">
        <v>58</v>
      </c>
      <c r="G914" s="1" t="s">
        <v>59</v>
      </c>
      <c r="H914" s="1" t="s">
        <v>60</v>
      </c>
      <c r="I914" s="1" t="s">
        <v>61</v>
      </c>
      <c r="J914" s="1" t="s">
        <v>46</v>
      </c>
      <c r="K914" s="1" t="s">
        <v>2893</v>
      </c>
      <c r="L914" s="1" t="s">
        <v>1277</v>
      </c>
      <c r="M914" s="1" t="s">
        <v>65</v>
      </c>
      <c r="N914" s="1" t="s">
        <v>2836</v>
      </c>
      <c r="O914" s="1" t="s">
        <v>2894</v>
      </c>
      <c r="P914" s="1" t="s">
        <v>66</v>
      </c>
      <c r="Q914" s="1" t="s">
        <v>2894</v>
      </c>
      <c r="R914" s="1" t="s">
        <v>2895</v>
      </c>
      <c r="S914" s="1" t="s">
        <v>2896</v>
      </c>
      <c r="T914" s="1" t="s">
        <v>52</v>
      </c>
      <c r="U914" s="1" t="s">
        <v>53</v>
      </c>
    </row>
    <row r="915" customFormat="false" ht="15" hidden="false" customHeight="true" outlineLevel="0" collapsed="false">
      <c r="A915" s="1" t="s">
        <v>986</v>
      </c>
      <c r="B915" s="1" t="s">
        <v>2897</v>
      </c>
      <c r="C915" s="1" t="s">
        <v>2898</v>
      </c>
      <c r="D915" s="1" t="s">
        <v>987</v>
      </c>
      <c r="E915" s="1" t="s">
        <v>115</v>
      </c>
      <c r="F915" s="1" t="s">
        <v>41</v>
      </c>
      <c r="G915" s="1" t="s">
        <v>78</v>
      </c>
      <c r="H915" s="1" t="s">
        <v>206</v>
      </c>
      <c r="I915" s="1" t="s">
        <v>207</v>
      </c>
      <c r="J915" s="1" t="s">
        <v>99</v>
      </c>
      <c r="K915" s="1" t="s">
        <v>105</v>
      </c>
      <c r="L915" s="1" t="s">
        <v>988</v>
      </c>
      <c r="M915" s="1" t="s">
        <v>83</v>
      </c>
      <c r="N915" s="1" t="s">
        <v>2899</v>
      </c>
      <c r="O915" s="1" t="s">
        <v>2900</v>
      </c>
      <c r="P915" s="1" t="s">
        <v>66</v>
      </c>
      <c r="Q915" s="1" t="s">
        <v>2901</v>
      </c>
      <c r="R915" s="1" t="s">
        <v>2902</v>
      </c>
      <c r="S915" s="1" t="s">
        <v>2903</v>
      </c>
      <c r="T915" s="1" t="s">
        <v>52</v>
      </c>
      <c r="U915" s="1" t="s">
        <v>53</v>
      </c>
    </row>
    <row r="916" customFormat="false" ht="15" hidden="false" customHeight="true" outlineLevel="0" collapsed="false">
      <c r="A916" s="1" t="s">
        <v>2263</v>
      </c>
      <c r="B916" s="1" t="s">
        <v>2904</v>
      </c>
      <c r="C916" s="1" t="s">
        <v>2905</v>
      </c>
      <c r="D916" s="1" t="s">
        <v>2264</v>
      </c>
      <c r="E916" s="1" t="s">
        <v>69</v>
      </c>
      <c r="F916" s="1" t="s">
        <v>121</v>
      </c>
      <c r="G916" s="1" t="s">
        <v>88</v>
      </c>
      <c r="H916" s="1" t="s">
        <v>97</v>
      </c>
      <c r="I916" s="1" t="s">
        <v>98</v>
      </c>
      <c r="J916" s="1" t="s">
        <v>62</v>
      </c>
      <c r="K916" s="1" t="s">
        <v>91</v>
      </c>
      <c r="L916" s="1" t="s">
        <v>2265</v>
      </c>
      <c r="M916" s="1" t="s">
        <v>72</v>
      </c>
      <c r="N916" s="1" t="s">
        <v>2906</v>
      </c>
      <c r="O916" s="1" t="s">
        <v>2907</v>
      </c>
      <c r="P916" s="1" t="s">
        <v>66</v>
      </c>
      <c r="Q916" s="1" t="s">
        <v>2908</v>
      </c>
      <c r="R916" s="1" t="s">
        <v>2909</v>
      </c>
      <c r="S916" s="1" t="s">
        <v>2910</v>
      </c>
      <c r="T916" s="1" t="s">
        <v>52</v>
      </c>
      <c r="U916" s="1" t="s">
        <v>53</v>
      </c>
    </row>
    <row r="917" customFormat="false" ht="15" hidden="false" customHeight="true" outlineLevel="0" collapsed="false">
      <c r="A917" s="1" t="s">
        <v>1788</v>
      </c>
      <c r="B917" s="1" t="s">
        <v>2911</v>
      </c>
      <c r="C917" s="1" t="s">
        <v>2912</v>
      </c>
      <c r="D917" s="1" t="s">
        <v>1789</v>
      </c>
      <c r="E917" s="1" t="s">
        <v>57</v>
      </c>
      <c r="F917" s="1" t="s">
        <v>116</v>
      </c>
      <c r="G917" s="1" t="s">
        <v>78</v>
      </c>
      <c r="H917" s="1" t="s">
        <v>79</v>
      </c>
      <c r="I917" s="1" t="s">
        <v>80</v>
      </c>
      <c r="J917" s="1" t="s">
        <v>46</v>
      </c>
      <c r="K917" s="1" t="s">
        <v>70</v>
      </c>
      <c r="L917" s="1" t="s">
        <v>1790</v>
      </c>
      <c r="M917" s="1" t="s">
        <v>49</v>
      </c>
      <c r="N917" s="1" t="s">
        <v>2822</v>
      </c>
      <c r="O917" s="1" t="s">
        <v>2913</v>
      </c>
      <c r="P917" s="1" t="s">
        <v>203</v>
      </c>
      <c r="Q917" s="1" t="s">
        <v>2914</v>
      </c>
      <c r="R917" s="1" t="s">
        <v>2915</v>
      </c>
      <c r="S917" s="1" t="s">
        <v>2916</v>
      </c>
      <c r="T917" s="1" t="s">
        <v>52</v>
      </c>
      <c r="U917" s="1" t="s">
        <v>53</v>
      </c>
    </row>
    <row r="918" customFormat="false" ht="15" hidden="false" customHeight="true" outlineLevel="0" collapsed="false">
      <c r="A918" s="1" t="s">
        <v>2665</v>
      </c>
      <c r="B918" s="1" t="s">
        <v>2917</v>
      </c>
      <c r="C918" s="1" t="s">
        <v>2918</v>
      </c>
      <c r="D918" s="1" t="s">
        <v>2666</v>
      </c>
      <c r="E918" s="1" t="s">
        <v>69</v>
      </c>
      <c r="F918" s="1" t="s">
        <v>121</v>
      </c>
      <c r="G918" s="1" t="s">
        <v>88</v>
      </c>
      <c r="H918" s="1" t="s">
        <v>211</v>
      </c>
      <c r="I918" s="1" t="s">
        <v>212</v>
      </c>
      <c r="J918" s="1" t="s">
        <v>62</v>
      </c>
      <c r="K918" s="1" t="s">
        <v>188</v>
      </c>
      <c r="L918" s="1" t="s">
        <v>2667</v>
      </c>
      <c r="M918" s="1" t="s">
        <v>83</v>
      </c>
      <c r="N918" s="1" t="s">
        <v>2822</v>
      </c>
      <c r="O918" s="1" t="s">
        <v>2919</v>
      </c>
      <c r="P918" s="1" t="s">
        <v>50</v>
      </c>
      <c r="Q918" s="1" t="s">
        <v>2920</v>
      </c>
      <c r="R918" s="1" t="s">
        <v>2921</v>
      </c>
      <c r="S918" s="1" t="s">
        <v>2922</v>
      </c>
      <c r="T918" s="1" t="s">
        <v>52</v>
      </c>
      <c r="U918" s="1" t="s">
        <v>53</v>
      </c>
    </row>
    <row r="919" customFormat="false" ht="15" hidden="false" customHeight="true" outlineLevel="0" collapsed="false">
      <c r="A919" s="1" t="s">
        <v>528</v>
      </c>
      <c r="B919" s="1" t="s">
        <v>2923</v>
      </c>
      <c r="C919" s="1" t="s">
        <v>2924</v>
      </c>
      <c r="D919" s="1" t="s">
        <v>529</v>
      </c>
      <c r="E919" s="1" t="s">
        <v>141</v>
      </c>
      <c r="F919" s="1" t="s">
        <v>116</v>
      </c>
      <c r="G919" s="1" t="s">
        <v>88</v>
      </c>
      <c r="H919" s="1" t="s">
        <v>97</v>
      </c>
      <c r="I919" s="1" t="s">
        <v>98</v>
      </c>
      <c r="J919" s="1" t="s">
        <v>46</v>
      </c>
      <c r="K919" s="1" t="s">
        <v>151</v>
      </c>
      <c r="L919" s="1" t="s">
        <v>530</v>
      </c>
      <c r="M919" s="1" t="s">
        <v>49</v>
      </c>
      <c r="N919" s="1" t="s">
        <v>2868</v>
      </c>
      <c r="O919" s="1" t="s">
        <v>2925</v>
      </c>
      <c r="P919" s="1" t="s">
        <v>128</v>
      </c>
      <c r="Q919" s="1" t="s">
        <v>2926</v>
      </c>
      <c r="R919" s="1" t="s">
        <v>2927</v>
      </c>
      <c r="S919" s="1" t="s">
        <v>2928</v>
      </c>
      <c r="T919" s="1" t="s">
        <v>52</v>
      </c>
      <c r="U919" s="1" t="s">
        <v>53</v>
      </c>
    </row>
    <row r="920" customFormat="false" ht="15" hidden="false" customHeight="true" outlineLevel="0" collapsed="false">
      <c r="A920" s="1" t="s">
        <v>2158</v>
      </c>
      <c r="B920" s="1" t="s">
        <v>2929</v>
      </c>
      <c r="C920" s="1" t="s">
        <v>2930</v>
      </c>
      <c r="D920" s="1" t="s">
        <v>2159</v>
      </c>
      <c r="E920" s="1" t="s">
        <v>145</v>
      </c>
      <c r="F920" s="1" t="s">
        <v>58</v>
      </c>
      <c r="G920" s="1" t="s">
        <v>42</v>
      </c>
      <c r="H920" s="1" t="s">
        <v>384</v>
      </c>
      <c r="I920" s="1" t="s">
        <v>385</v>
      </c>
      <c r="J920" s="1" t="s">
        <v>99</v>
      </c>
      <c r="K920" s="1" t="s">
        <v>201</v>
      </c>
      <c r="L920" s="1" t="s">
        <v>2160</v>
      </c>
      <c r="M920" s="1" t="s">
        <v>65</v>
      </c>
      <c r="N920" s="1" t="s">
        <v>2906</v>
      </c>
      <c r="O920" s="1" t="s">
        <v>2931</v>
      </c>
      <c r="P920" s="1" t="s">
        <v>107</v>
      </c>
      <c r="Q920" s="1" t="s">
        <v>2932</v>
      </c>
      <c r="R920" s="1" t="s">
        <v>2933</v>
      </c>
      <c r="S920" s="1" t="s">
        <v>2934</v>
      </c>
      <c r="T920" s="1" t="s">
        <v>52</v>
      </c>
      <c r="U920" s="1" t="s">
        <v>53</v>
      </c>
    </row>
    <row r="921" customFormat="false" ht="15" hidden="false" customHeight="true" outlineLevel="0" collapsed="false">
      <c r="A921" s="1" t="s">
        <v>102</v>
      </c>
      <c r="B921" s="1" t="s">
        <v>2935</v>
      </c>
      <c r="C921" s="1" t="s">
        <v>2936</v>
      </c>
      <c r="D921" s="1" t="s">
        <v>103</v>
      </c>
      <c r="E921" s="1" t="s">
        <v>104</v>
      </c>
      <c r="F921" s="1" t="s">
        <v>41</v>
      </c>
      <c r="G921" s="1" t="s">
        <v>59</v>
      </c>
      <c r="H921" s="1" t="s">
        <v>60</v>
      </c>
      <c r="I921" s="1" t="s">
        <v>61</v>
      </c>
      <c r="J921" s="1" t="s">
        <v>99</v>
      </c>
      <c r="K921" s="1" t="s">
        <v>105</v>
      </c>
      <c r="L921" s="1" t="s">
        <v>106</v>
      </c>
      <c r="M921" s="1" t="s">
        <v>83</v>
      </c>
      <c r="N921" s="1" t="s">
        <v>2937</v>
      </c>
      <c r="O921" s="1" t="s">
        <v>2938</v>
      </c>
      <c r="P921" s="1" t="s">
        <v>107</v>
      </c>
      <c r="Q921" s="1" t="s">
        <v>2939</v>
      </c>
      <c r="R921" s="1" t="s">
        <v>2940</v>
      </c>
      <c r="S921" s="1" t="s">
        <v>2941</v>
      </c>
      <c r="T921" s="1" t="s">
        <v>52</v>
      </c>
      <c r="U921" s="1" t="s">
        <v>53</v>
      </c>
    </row>
    <row r="922" customFormat="false" ht="15" hidden="false" customHeight="true" outlineLevel="0" collapsed="false">
      <c r="A922" s="1" t="s">
        <v>1138</v>
      </c>
      <c r="B922" s="1" t="s">
        <v>3648</v>
      </c>
      <c r="C922" s="1" t="s">
        <v>4785</v>
      </c>
      <c r="D922" s="1" t="s">
        <v>1139</v>
      </c>
      <c r="E922" s="1" t="s">
        <v>159</v>
      </c>
      <c r="F922" s="1" t="s">
        <v>121</v>
      </c>
      <c r="G922" s="1" t="s">
        <v>59</v>
      </c>
      <c r="H922" s="1" t="s">
        <v>60</v>
      </c>
      <c r="I922" s="1" t="s">
        <v>61</v>
      </c>
      <c r="J922" s="1" t="s">
        <v>46</v>
      </c>
      <c r="K922" s="1" t="s">
        <v>183</v>
      </c>
      <c r="L922" s="1" t="s">
        <v>1140</v>
      </c>
      <c r="M922" s="1" t="s">
        <v>49</v>
      </c>
      <c r="N922" s="1" t="s">
        <v>2937</v>
      </c>
      <c r="O922" s="1" t="s">
        <v>4786</v>
      </c>
      <c r="P922" s="1" t="s">
        <v>66</v>
      </c>
      <c r="Q922" s="1" t="s">
        <v>7710</v>
      </c>
      <c r="R922" s="1" t="s">
        <v>4788</v>
      </c>
      <c r="S922" s="1" t="s">
        <v>4789</v>
      </c>
      <c r="T922" s="1" t="s">
        <v>52</v>
      </c>
      <c r="U922" s="1" t="s">
        <v>53</v>
      </c>
    </row>
    <row r="923" customFormat="false" ht="15" hidden="false" customHeight="true" outlineLevel="0" collapsed="false">
      <c r="A923" s="1" t="s">
        <v>414</v>
      </c>
      <c r="B923" s="1" t="s">
        <v>3461</v>
      </c>
      <c r="C923" s="1" t="s">
        <v>2966</v>
      </c>
      <c r="D923" s="1" t="s">
        <v>415</v>
      </c>
      <c r="E923" s="1" t="s">
        <v>155</v>
      </c>
      <c r="F923" s="1" t="s">
        <v>58</v>
      </c>
      <c r="G923" s="1" t="s">
        <v>59</v>
      </c>
      <c r="H923" s="1" t="s">
        <v>174</v>
      </c>
      <c r="I923" s="1" t="s">
        <v>175</v>
      </c>
      <c r="J923" s="1" t="s">
        <v>99</v>
      </c>
      <c r="K923" s="1" t="s">
        <v>105</v>
      </c>
      <c r="L923" s="1" t="s">
        <v>416</v>
      </c>
      <c r="M923" s="1" t="s">
        <v>72</v>
      </c>
      <c r="N923" s="1" t="s">
        <v>2822</v>
      </c>
      <c r="O923" s="1" t="s">
        <v>3462</v>
      </c>
      <c r="P923" s="1" t="s">
        <v>107</v>
      </c>
      <c r="Q923" s="1" t="s">
        <v>7711</v>
      </c>
      <c r="R923" s="1" t="s">
        <v>3464</v>
      </c>
      <c r="S923" s="1" t="s">
        <v>3465</v>
      </c>
      <c r="T923" s="1" t="s">
        <v>52</v>
      </c>
      <c r="U923" s="1" t="s">
        <v>130</v>
      </c>
    </row>
    <row r="924" customFormat="false" ht="15" hidden="false" customHeight="true" outlineLevel="0" collapsed="false">
      <c r="A924" s="1" t="s">
        <v>1263</v>
      </c>
      <c r="B924" s="1" t="s">
        <v>5010</v>
      </c>
      <c r="C924" s="1" t="s">
        <v>5010</v>
      </c>
      <c r="D924" s="1" t="s">
        <v>1264</v>
      </c>
      <c r="E924" s="1" t="s">
        <v>159</v>
      </c>
      <c r="F924" s="1" t="s">
        <v>58</v>
      </c>
      <c r="G924" s="1" t="s">
        <v>42</v>
      </c>
      <c r="H924" s="1" t="s">
        <v>163</v>
      </c>
      <c r="I924" s="1" t="s">
        <v>164</v>
      </c>
      <c r="J924" s="1" t="s">
        <v>46</v>
      </c>
      <c r="K924" s="1" t="s">
        <v>151</v>
      </c>
      <c r="L924" s="1" t="s">
        <v>1265</v>
      </c>
      <c r="M924" s="1" t="s">
        <v>49</v>
      </c>
      <c r="N924" s="1" t="s">
        <v>2899</v>
      </c>
      <c r="O924" s="1" t="s">
        <v>5011</v>
      </c>
      <c r="P924" s="1" t="s">
        <v>66</v>
      </c>
      <c r="Q924" s="1" t="s">
        <v>7712</v>
      </c>
      <c r="R924" s="1" t="s">
        <v>5013</v>
      </c>
      <c r="S924" s="1" t="s">
        <v>5014</v>
      </c>
      <c r="T924" s="1" t="s">
        <v>52</v>
      </c>
      <c r="U924" s="1" t="s">
        <v>130</v>
      </c>
    </row>
    <row r="925" customFormat="false" ht="15" hidden="false" customHeight="true" outlineLevel="0" collapsed="false">
      <c r="A925" s="1" t="s">
        <v>819</v>
      </c>
      <c r="B925" s="1" t="s">
        <v>4213</v>
      </c>
      <c r="C925" s="1" t="s">
        <v>4214</v>
      </c>
      <c r="D925" s="1" t="s">
        <v>820</v>
      </c>
      <c r="E925" s="1" t="s">
        <v>69</v>
      </c>
      <c r="F925" s="1" t="s">
        <v>58</v>
      </c>
      <c r="G925" s="1" t="s">
        <v>42</v>
      </c>
      <c r="H925" s="1" t="s">
        <v>149</v>
      </c>
      <c r="I925" s="1" t="s">
        <v>150</v>
      </c>
      <c r="J925" s="1" t="s">
        <v>62</v>
      </c>
      <c r="K925" s="1" t="s">
        <v>81</v>
      </c>
      <c r="L925" s="1" t="s">
        <v>821</v>
      </c>
      <c r="M925" s="1" t="s">
        <v>83</v>
      </c>
      <c r="N925" s="1" t="s">
        <v>2937</v>
      </c>
      <c r="O925" s="1" t="s">
        <v>4215</v>
      </c>
      <c r="P925" s="1" t="s">
        <v>84</v>
      </c>
      <c r="Q925" s="1" t="s">
        <v>7713</v>
      </c>
      <c r="R925" s="1" t="s">
        <v>4217</v>
      </c>
      <c r="S925" s="1" t="s">
        <v>4218</v>
      </c>
      <c r="T925" s="1" t="s">
        <v>52</v>
      </c>
      <c r="U925" s="1" t="s">
        <v>130</v>
      </c>
    </row>
    <row r="926" customFormat="false" ht="15" hidden="false" customHeight="true" outlineLevel="0" collapsed="false">
      <c r="A926" s="1" t="s">
        <v>1088</v>
      </c>
      <c r="B926" s="1" t="s">
        <v>4112</v>
      </c>
      <c r="C926" s="1" t="s">
        <v>2995</v>
      </c>
      <c r="D926" s="1" t="s">
        <v>1089</v>
      </c>
      <c r="E926" s="1" t="s">
        <v>69</v>
      </c>
      <c r="F926" s="1" t="s">
        <v>116</v>
      </c>
      <c r="G926" s="1" t="s">
        <v>88</v>
      </c>
      <c r="H926" s="1" t="s">
        <v>97</v>
      </c>
      <c r="I926" s="1" t="s">
        <v>98</v>
      </c>
      <c r="J926" s="1" t="s">
        <v>46</v>
      </c>
      <c r="K926" s="1" t="s">
        <v>117</v>
      </c>
      <c r="L926" s="1" t="s">
        <v>1090</v>
      </c>
      <c r="M926" s="1" t="s">
        <v>83</v>
      </c>
      <c r="N926" s="1" t="s">
        <v>2899</v>
      </c>
      <c r="O926" s="1" t="s">
        <v>4695</v>
      </c>
      <c r="P926" s="1" t="s">
        <v>107</v>
      </c>
      <c r="Q926" s="1" t="s">
        <v>7714</v>
      </c>
      <c r="R926" s="1" t="s">
        <v>4697</v>
      </c>
      <c r="S926" s="1" t="s">
        <v>4698</v>
      </c>
      <c r="T926" s="1" t="s">
        <v>185</v>
      </c>
      <c r="U926" s="1" t="s">
        <v>53</v>
      </c>
    </row>
    <row r="927" customFormat="false" ht="15" hidden="false" customHeight="true" outlineLevel="0" collapsed="false">
      <c r="A927" s="1" t="s">
        <v>656</v>
      </c>
      <c r="B927" s="1" t="s">
        <v>2989</v>
      </c>
      <c r="C927" s="1" t="s">
        <v>3907</v>
      </c>
      <c r="D927" s="1" t="s">
        <v>657</v>
      </c>
      <c r="E927" s="1" t="s">
        <v>168</v>
      </c>
      <c r="F927" s="1" t="s">
        <v>116</v>
      </c>
      <c r="G927" s="1" t="s">
        <v>59</v>
      </c>
      <c r="H927" s="1" t="s">
        <v>174</v>
      </c>
      <c r="I927" s="1" t="s">
        <v>175</v>
      </c>
      <c r="J927" s="1" t="s">
        <v>99</v>
      </c>
      <c r="K927" s="1" t="s">
        <v>105</v>
      </c>
      <c r="L927" s="1" t="s">
        <v>658</v>
      </c>
      <c r="M927" s="1" t="s">
        <v>83</v>
      </c>
      <c r="N927" s="1" t="s">
        <v>2822</v>
      </c>
      <c r="O927" s="1" t="s">
        <v>3908</v>
      </c>
      <c r="P927" s="1" t="s">
        <v>66</v>
      </c>
      <c r="Q927" s="1" t="s">
        <v>7715</v>
      </c>
      <c r="R927" s="1" t="s">
        <v>3910</v>
      </c>
      <c r="S927" s="1" t="s">
        <v>3911</v>
      </c>
      <c r="T927" s="1" t="s">
        <v>52</v>
      </c>
      <c r="U927" s="1" t="s">
        <v>130</v>
      </c>
    </row>
    <row r="928" customFormat="false" ht="15" hidden="false" customHeight="true" outlineLevel="0" collapsed="false">
      <c r="A928" s="1" t="s">
        <v>1413</v>
      </c>
      <c r="B928" s="1" t="s">
        <v>5274</v>
      </c>
      <c r="C928" s="1" t="s">
        <v>5275</v>
      </c>
      <c r="D928" s="1" t="s">
        <v>1414</v>
      </c>
      <c r="E928" s="1" t="s">
        <v>192</v>
      </c>
      <c r="F928" s="1" t="s">
        <v>41</v>
      </c>
      <c r="G928" s="1" t="s">
        <v>78</v>
      </c>
      <c r="H928" s="1" t="s">
        <v>216</v>
      </c>
      <c r="I928" s="1" t="s">
        <v>217</v>
      </c>
      <c r="J928" s="1" t="s">
        <v>99</v>
      </c>
      <c r="K928" s="1" t="s">
        <v>100</v>
      </c>
      <c r="L928" s="1" t="s">
        <v>1415</v>
      </c>
      <c r="M928" s="1" t="s">
        <v>5276</v>
      </c>
      <c r="N928" s="1" t="s">
        <v>2899</v>
      </c>
      <c r="O928" s="1" t="s">
        <v>5277</v>
      </c>
      <c r="P928" s="1" t="s">
        <v>50</v>
      </c>
      <c r="Q928" s="1" t="s">
        <v>7716</v>
      </c>
      <c r="R928" s="1" t="s">
        <v>5279</v>
      </c>
      <c r="S928" s="1" t="s">
        <v>5280</v>
      </c>
      <c r="T928" s="1" t="s">
        <v>52</v>
      </c>
      <c r="U928" s="1" t="s">
        <v>130</v>
      </c>
    </row>
    <row r="929" customFormat="false" ht="15" hidden="false" customHeight="true" outlineLevel="0" collapsed="false">
      <c r="A929" s="1" t="s">
        <v>1853</v>
      </c>
      <c r="B929" s="1" t="s">
        <v>5980</v>
      </c>
      <c r="C929" s="1" t="s">
        <v>6061</v>
      </c>
      <c r="D929" s="1" t="s">
        <v>1854</v>
      </c>
      <c r="E929" s="1" t="s">
        <v>141</v>
      </c>
      <c r="F929" s="1" t="s">
        <v>58</v>
      </c>
      <c r="G929" s="1" t="s">
        <v>42</v>
      </c>
      <c r="H929" s="1" t="s">
        <v>163</v>
      </c>
      <c r="I929" s="1" t="s">
        <v>164</v>
      </c>
      <c r="J929" s="1" t="s">
        <v>99</v>
      </c>
      <c r="K929" s="1" t="s">
        <v>201</v>
      </c>
      <c r="L929" s="1" t="s">
        <v>1855</v>
      </c>
      <c r="N929" s="1" t="s">
        <v>2829</v>
      </c>
      <c r="O929" s="1" t="s">
        <v>6062</v>
      </c>
      <c r="P929" s="1" t="s">
        <v>66</v>
      </c>
      <c r="Q929" s="1" t="s">
        <v>7717</v>
      </c>
      <c r="R929" s="1" t="s">
        <v>6064</v>
      </c>
      <c r="S929" s="1" t="s">
        <v>6065</v>
      </c>
      <c r="T929" s="1" t="s">
        <v>185</v>
      </c>
      <c r="U929" s="1" t="s">
        <v>53</v>
      </c>
    </row>
    <row r="930" customFormat="false" ht="15" hidden="false" customHeight="true" outlineLevel="0" collapsed="false">
      <c r="A930" s="1" t="s">
        <v>573</v>
      </c>
      <c r="B930" s="1" t="s">
        <v>3745</v>
      </c>
      <c r="C930" s="1" t="s">
        <v>3746</v>
      </c>
      <c r="D930" s="1" t="s">
        <v>574</v>
      </c>
      <c r="E930" s="1" t="s">
        <v>115</v>
      </c>
      <c r="F930" s="1" t="s">
        <v>121</v>
      </c>
      <c r="G930" s="1" t="s">
        <v>42</v>
      </c>
      <c r="H930" s="1" t="s">
        <v>44</v>
      </c>
      <c r="I930" s="1" t="s">
        <v>45</v>
      </c>
      <c r="J930" s="1" t="s">
        <v>99</v>
      </c>
      <c r="K930" s="1" t="s">
        <v>201</v>
      </c>
      <c r="L930" s="1" t="s">
        <v>575</v>
      </c>
      <c r="M930" s="1" t="s">
        <v>49</v>
      </c>
      <c r="N930" s="1" t="s">
        <v>2829</v>
      </c>
      <c r="O930" s="1" t="s">
        <v>3747</v>
      </c>
      <c r="P930" s="1" t="s">
        <v>107</v>
      </c>
      <c r="Q930" s="1" t="s">
        <v>7718</v>
      </c>
      <c r="R930" s="1" t="s">
        <v>3749</v>
      </c>
      <c r="S930" s="1" t="s">
        <v>3750</v>
      </c>
      <c r="T930" s="1" t="s">
        <v>52</v>
      </c>
      <c r="U930" s="1" t="s">
        <v>130</v>
      </c>
    </row>
    <row r="931" customFormat="false" ht="15" hidden="false" customHeight="true" outlineLevel="0" collapsed="false">
      <c r="A931" s="1" t="s">
        <v>962</v>
      </c>
      <c r="B931" s="1" t="s">
        <v>4473</v>
      </c>
      <c r="C931" s="1" t="s">
        <v>4474</v>
      </c>
      <c r="D931" s="1" t="s">
        <v>963</v>
      </c>
      <c r="E931" s="1" t="s">
        <v>77</v>
      </c>
      <c r="F931" s="1" t="s">
        <v>41</v>
      </c>
      <c r="G931" s="1" t="s">
        <v>78</v>
      </c>
      <c r="H931" s="1" t="s">
        <v>110</v>
      </c>
      <c r="I931" s="1" t="s">
        <v>111</v>
      </c>
      <c r="J931" s="1" t="s">
        <v>62</v>
      </c>
      <c r="K931" s="1" t="s">
        <v>91</v>
      </c>
      <c r="L931" s="1" t="s">
        <v>964</v>
      </c>
      <c r="M931" s="1" t="s">
        <v>72</v>
      </c>
      <c r="N931" s="1" t="s">
        <v>2906</v>
      </c>
      <c r="O931" s="1" t="s">
        <v>4475</v>
      </c>
      <c r="P931" s="1" t="s">
        <v>203</v>
      </c>
      <c r="Q931" s="1" t="s">
        <v>7719</v>
      </c>
      <c r="R931" s="1" t="s">
        <v>4477</v>
      </c>
      <c r="S931" s="1" t="s">
        <v>4478</v>
      </c>
      <c r="T931" s="1" t="s">
        <v>52</v>
      </c>
      <c r="U931" s="1" t="s">
        <v>130</v>
      </c>
    </row>
    <row r="932" customFormat="false" ht="15" hidden="false" customHeight="true" outlineLevel="0" collapsed="false">
      <c r="A932" s="1" t="s">
        <v>515</v>
      </c>
      <c r="B932" s="1" t="s">
        <v>2879</v>
      </c>
      <c r="C932" s="1" t="s">
        <v>2880</v>
      </c>
      <c r="D932" s="1" t="s">
        <v>516</v>
      </c>
      <c r="E932" s="1" t="s">
        <v>159</v>
      </c>
      <c r="F932" s="1" t="s">
        <v>58</v>
      </c>
      <c r="G932" s="1" t="s">
        <v>2881</v>
      </c>
      <c r="H932" s="1" t="s">
        <v>149</v>
      </c>
      <c r="I932" s="1" t="s">
        <v>150</v>
      </c>
      <c r="J932" s="1" t="s">
        <v>99</v>
      </c>
      <c r="K932" s="1" t="s">
        <v>105</v>
      </c>
      <c r="L932" s="1" t="s">
        <v>517</v>
      </c>
      <c r="M932" s="1" t="s">
        <v>65</v>
      </c>
      <c r="N932" s="1" t="s">
        <v>2836</v>
      </c>
      <c r="O932" s="1" t="s">
        <v>2882</v>
      </c>
      <c r="P932" s="1" t="s">
        <v>66</v>
      </c>
      <c r="Q932" s="1" t="s">
        <v>7720</v>
      </c>
      <c r="R932" s="1" t="s">
        <v>2883</v>
      </c>
      <c r="S932" s="1" t="s">
        <v>2884</v>
      </c>
      <c r="T932" s="1" t="s">
        <v>129</v>
      </c>
      <c r="U932" s="1" t="s">
        <v>130</v>
      </c>
    </row>
    <row r="933" customFormat="false" ht="15" hidden="false" customHeight="true" outlineLevel="0" collapsed="false">
      <c r="A933" s="1" t="s">
        <v>1150</v>
      </c>
      <c r="B933" s="1" t="s">
        <v>4809</v>
      </c>
      <c r="C933" s="1" t="s">
        <v>4810</v>
      </c>
      <c r="D933" s="1" t="s">
        <v>1151</v>
      </c>
      <c r="E933" s="1" t="s">
        <v>145</v>
      </c>
      <c r="F933" s="1" t="s">
        <v>121</v>
      </c>
      <c r="G933" s="1" t="s">
        <v>88</v>
      </c>
      <c r="H933" s="1" t="s">
        <v>97</v>
      </c>
      <c r="I933" s="1" t="s">
        <v>98</v>
      </c>
      <c r="J933" s="1" t="s">
        <v>46</v>
      </c>
      <c r="K933" s="1" t="s">
        <v>47</v>
      </c>
      <c r="L933" s="1" t="s">
        <v>1152</v>
      </c>
      <c r="M933" s="1" t="s">
        <v>72</v>
      </c>
      <c r="N933" s="1" t="s">
        <v>2822</v>
      </c>
      <c r="O933" s="1" t="s">
        <v>4811</v>
      </c>
      <c r="P933" s="1" t="s">
        <v>203</v>
      </c>
      <c r="Q933" s="1" t="s">
        <v>7721</v>
      </c>
      <c r="R933" s="1" t="s">
        <v>4813</v>
      </c>
      <c r="S933" s="1" t="s">
        <v>4814</v>
      </c>
      <c r="T933" s="1" t="s">
        <v>52</v>
      </c>
      <c r="U933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2026-06-26T09:40:36Z</dcterms:created>
  <dc:creator>openpyxl</dc:creator>
  <dc:description/>
  <dc:language>en-US</dc:language>
  <cp:lastModifiedBy/>
  <dcterms:modified xsi:type="dcterms:W3CDTF">2026-06-26T09:46:26Z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